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Parameters" sheetId="2" state="visible" r:id="rId2"/>
    <sheet name="Tiers" sheetId="3" state="visible" r:id="rId3"/>
    <sheet name="Tier_Shares" sheetId="4" state="visible" r:id="rId4"/>
    <sheet name="Lidar" sheetId="5" state="visible" r:id="rId5"/>
    <sheet name="Presence_per_Tier" sheetId="6" state="visible" r:id="rId6"/>
    <sheet name="Uncertainty" sheetId="7" state="visible" r:id="rId7"/>
    <sheet name="Validation" sheetId="8" state="visible" r:id="rId8"/>
    <sheet name="Modules_vs_Eleme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3" borderId="1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1" pivotButton="0" quotePrefix="0" xfId="0"/>
    <xf numFmtId="0" fontId="0" fillId="5" borderId="1" pivotButton="0" quotePrefix="0" xfId="0"/>
    <xf numFmtId="2" fontId="0" fillId="3" borderId="1" pivotButton="0" quotePrefix="0" xfId="0"/>
    <xf numFmtId="164" fontId="0" fillId="6" borderId="0" pivotButton="0" quotePrefix="0" xfId="0"/>
    <xf numFmtId="2" fontId="0" fillId="6" borderId="0" pivotButton="0" quotePrefix="0" xfId="0"/>
    <xf numFmtId="0" fontId="0" fillId="3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4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19_ADAS_sensor_adoption.xlsx</t>
        </is>
      </c>
    </row>
    <row r="2">
      <c r="A2" s="2" t="inlineStr"/>
      <c r="B2" s="3" t="inlineStr"/>
    </row>
    <row r="3">
      <c r="A3" s="2" t="inlineStr">
        <is>
          <t>Source</t>
        </is>
      </c>
      <c r="B3" s="3" t="inlineStr">
        <is>
          <t>Every number here comes from docs/ADAS_Sensor_Adoption_Report_2025_2070.md. Section numbers in each sheet point back to it. Change the report and this file together, or they will diverge.</t>
        </is>
      </c>
    </row>
    <row r="4">
      <c r="A4" s="2" t="inlineStr">
        <is>
          <t>Regenerate</t>
        </is>
      </c>
      <c r="B4" s="3" t="inlineStr">
        <is>
          <t>python3 tools/make_19_adas_sensor_adoption.py</t>
        </is>
      </c>
    </row>
    <row r="5">
      <c r="A5" s="2" t="inlineStr"/>
      <c r="B5" s="3" t="inlineStr"/>
    </row>
    <row r="6">
      <c r="A6" s="2" t="inlineStr">
        <is>
          <t>Replaces</t>
        </is>
      </c>
      <c r="B6" s="3" t="inlineStr">
        <is>
          <t>18_ sheet Sensors_per_Level, which was keyed on SAE CERTIFICATION level and entirely unsourced.</t>
        </is>
      </c>
    </row>
    <row r="7">
      <c r="A7" s="2" t="inlineStr">
        <is>
          <t>Why</t>
        </is>
      </c>
      <c r="B7" s="3" t="inlineStr">
        <is>
          <t>Wiring follows INSTALLED HARDWARE, not the certificate. A car does not grow a wire when a regulator grants liability transfer. Volvo's EX90 has 31 sensors and is certified L2; BMW's i7 had 25 and was certified L3.</t>
        </is>
      </c>
    </row>
    <row r="8">
      <c r="A8" s="2" t="inlineStr"/>
      <c r="B8" s="3" t="inlineStr"/>
    </row>
    <row r="9">
      <c r="A9" s="2" t="inlineStr">
        <is>
          <t>Colours</t>
        </is>
      </c>
      <c r="B9" s="3" t="inlineStr">
        <is>
          <t>GREEN = fact, sourced and dated.  YELLOW = derived by a stated rule.  ORANGE = assumption, no source. Argue with orange first.</t>
        </is>
      </c>
    </row>
    <row r="10">
      <c r="A10" s="2" t="inlineStr"/>
      <c r="B10" s="3" t="inlineStr"/>
    </row>
    <row r="11">
      <c r="A11" s="2" t="inlineStr">
        <is>
          <t>Three drivers</t>
        </is>
      </c>
      <c r="B11" s="3" t="inlineStr">
        <is>
          <t>A = hardware tier (sheet Tier_Shares). B = lidar penetration (sheet Lidar), SEPARATE because lidar tracks cost and Chinese competitive pressure, not tier or certification. C = post-2040 sensor-count scenario (sheet Scenarios), which removes the need to forecast unknown sensor modalities.</t>
        </is>
      </c>
    </row>
    <row r="12">
      <c r="A12" s="2" t="inlineStr"/>
      <c r="B12" s="3" t="inlineStr"/>
    </row>
    <row r="13">
      <c r="A13" s="2" t="inlineStr">
        <is>
          <t>To switch scenario</t>
        </is>
      </c>
      <c r="B13" s="3" t="inlineStr">
        <is>
          <t>ONE cell: Scenarios!B5 (Active_Scenario). SAMPLE = all three inside one run's band (default, and what to quote). S1/S2/S3 = pin one, outputs get a _S1/_S2/_S3 suffix. No code editing.</t>
        </is>
      </c>
    </row>
    <row r="14">
      <c r="A14" s="2" t="inlineStr"/>
      <c r="B14" s="3" t="inlineStr"/>
    </row>
    <row r="15">
      <c r="A15" s="2" t="inlineStr">
        <is>
          <t>On uncertainty</t>
        </is>
      </c>
      <c r="B15" s="3" t="inlineStr">
        <is>
          <t>See sheet Uncertainty. These are predictions, not ground truth. Where two credible sources disagree, that disagreement MEASURES the real uncertainty - it is data about the band width, not an error to be corrected. A mismatch inside the observed spread is not evidence of a mistake.</t>
        </is>
      </c>
    </row>
    <row r="16">
      <c r="A16" s="2" t="inlineStr"/>
      <c r="B16" s="3" t="inlineStr"/>
    </row>
    <row r="17">
      <c r="A17" s="2" t="inlineStr">
        <is>
          <t>Weakest input</t>
        </is>
      </c>
      <c r="B17" s="3" t="inlineStr">
        <is>
          <t>Driver C multipliers (report S9.2). The two mechanisms behind them are observable; the specific values 1.0 / 1.4 / 2.0 are not sourced. Largest single lever on the 2070 answer.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78" customWidth="1" min="3" max="3"/>
    <col width="15" customWidth="1" min="4" max="4"/>
  </cols>
  <sheetData>
    <row r="1">
      <c r="A1" s="1" t="inlineStr">
        <is>
          <t>Levers - report S4.2 and S5.3</t>
        </is>
      </c>
    </row>
    <row r="3">
      <c r="A3" s="4" t="inlineStr">
        <is>
          <t>Parameter</t>
        </is>
      </c>
      <c r="B3" s="4" t="inlineStr">
        <is>
          <t>Value</t>
        </is>
      </c>
      <c r="C3" s="4" t="inlineStr">
        <is>
          <t>Meaning</t>
        </is>
      </c>
      <c r="D3" s="4" t="inlineStr">
        <is>
          <t>Tag</t>
        </is>
      </c>
    </row>
    <row r="4">
      <c r="A4" t="inlineStr">
        <is>
          <t>Tier_Band_Shift_Y</t>
        </is>
      </c>
      <c r="B4" s="5" t="n">
        <v>5</v>
      </c>
      <c r="C4" s="3" t="inlineStr">
        <is>
          <t>Min/Max band for Driver A, as a TIME SHIFT on the whole tier curve. Shifting preserves sum-to-1 by construction; independent Min/Mode/Max columns per tier would not.</t>
        </is>
      </c>
      <c r="D4" s="6" t="inlineStr">
        <is>
          <t>ASSUMPTION</t>
        </is>
      </c>
    </row>
    <row r="5">
      <c r="A5" t="inlineStr">
        <is>
          <t>Lidar_Europe_Lag_Y_Mean</t>
        </is>
      </c>
      <c r="B5" s="5" t="n">
        <v>7</v>
      </c>
      <c r="C5" s="3" t="inlineStr">
        <is>
          <t>China reached 21% lidar penetration in NEVs in 2025. Europe follows after this lag. SAMPLED, not fixed, so the hypothesis is testable.</t>
        </is>
      </c>
      <c r="D5" s="6" t="inlineStr">
        <is>
          <t>ASSUMPTION</t>
        </is>
      </c>
    </row>
    <row r="6">
      <c r="A6" t="inlineStr">
        <is>
          <t>Lidar_Europe_Lag_Y_SD</t>
        </is>
      </c>
      <c r="B6" s="5" t="n">
        <v>3</v>
      </c>
      <c r="C6" s="3" t="inlineStr">
        <is>
          <t>Spread on the lag above.</t>
        </is>
      </c>
      <c r="D6" s="6" t="inlineStr">
        <is>
          <t>ASSUMPTION</t>
        </is>
      </c>
    </row>
    <row r="7">
      <c r="A7" t="inlineStr">
        <is>
          <t>Lidar_Segment_Offset_Factor</t>
        </is>
      </c>
      <c r="B7" s="5" t="n">
        <v>0.5</v>
      </c>
      <c r="C7" s="3" t="inlineStr">
        <is>
          <t>Lidar's segment offset as a fraction of Driver A's. Half, because the BYD Seagull (A-segment, ~$10,300) shows lidar entering from below.</t>
        </is>
      </c>
      <c r="D7" s="6" t="inlineStr">
        <is>
          <t>ASSUMPTION</t>
        </is>
      </c>
    </row>
    <row r="8">
      <c r="A8" t="inlineStr">
        <is>
          <t>Lidar_Units_Per_Equipped_H3</t>
        </is>
      </c>
      <c r="B8" s="5" t="n">
        <v>1</v>
      </c>
      <c r="C8" s="3" t="inlineStr">
        <is>
          <t>Measured: EQS 1, i7 1. No European car has shipped with more.</t>
        </is>
      </c>
      <c r="D8" s="7" t="inlineStr">
        <is>
          <t>FACT</t>
        </is>
      </c>
    </row>
    <row r="9">
      <c r="A9" t="inlineStr">
        <is>
          <t>Lidar_Units_Per_Equipped_H4</t>
        </is>
      </c>
      <c r="B9" s="5" t="n">
        <v>1</v>
      </c>
      <c r="C9" s="3" t="inlineStr">
        <is>
          <t>Mode. Range 1-3; multi-lidar exists only in Chinese flagships.</t>
        </is>
      </c>
      <c r="D9" s="6" t="inlineStr">
        <is>
          <t>ASSUMPTION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32" customWidth="1" min="3" max="3"/>
    <col width="16" customWidth="1" min="13" max="13"/>
    <col width="15" customWidth="1" min="14" max="14"/>
  </cols>
  <sheetData>
    <row r="1">
      <c r="A1" s="1" t="inlineStr">
        <is>
          <t>ADAS hardware tiers - report S3</t>
        </is>
      </c>
    </row>
    <row r="2">
      <c r="A2" s="3" t="inlineStr">
        <is>
          <t>PER SEGMENT. Camera and radar counts are derived from 06_ composed through Presence_per_Tier, as MODULE counts (boxes needing a cable, not chips). H0 carries the GSR-2 legal floor: front camera AND driver-facing camera AND AEB radar. Ultrasonic scales with vehicle size.</t>
        </is>
      </c>
    </row>
    <row r="4">
      <c r="A4" s="4" t="inlineStr">
        <is>
          <t>Segment</t>
        </is>
      </c>
      <c r="B4" s="4" t="inlineStr">
        <is>
          <t>Tier</t>
        </is>
      </c>
      <c r="C4" s="4" t="inlineStr">
        <is>
          <t>Name</t>
        </is>
      </c>
      <c r="D4" s="4" t="inlineStr">
        <is>
          <t>Cam_min</t>
        </is>
      </c>
      <c r="E4" s="4" t="inlineStr">
        <is>
          <t>Cam_max</t>
        </is>
      </c>
      <c r="F4" s="4" t="inlineStr">
        <is>
          <t>Radar_min</t>
        </is>
      </c>
      <c r="G4" s="4" t="inlineStr">
        <is>
          <t>Radar_max</t>
        </is>
      </c>
      <c r="H4" s="4" t="inlineStr">
        <is>
          <t>Ultra_min</t>
        </is>
      </c>
      <c r="I4" s="4" t="inlineStr">
        <is>
          <t>Ultra_max</t>
        </is>
      </c>
      <c r="J4" s="4" t="inlineStr">
        <is>
          <t>Lidar_min</t>
        </is>
      </c>
      <c r="K4" s="4" t="inlineStr">
        <is>
          <t>Lidar_max</t>
        </is>
      </c>
      <c r="L4" s="4" t="inlineStr">
        <is>
          <t>Ranging_mode</t>
        </is>
      </c>
      <c r="M4" s="4" t="inlineStr">
        <is>
          <t>SAE label seen</t>
        </is>
      </c>
      <c r="N4" s="4" t="inlineStr">
        <is>
          <t>Tag</t>
        </is>
      </c>
    </row>
    <row r="5">
      <c r="A5" s="8" t="inlineStr">
        <is>
          <t>AB</t>
        </is>
      </c>
      <c r="B5" s="8" t="inlineStr">
        <is>
          <t>H0</t>
        </is>
      </c>
      <c r="C5" s="8" t="inlineStr">
        <is>
          <t>GSR-2 mandated floor</t>
        </is>
      </c>
      <c r="D5" s="5" t="n">
        <v>2</v>
      </c>
      <c r="E5" s="5" t="n">
        <v>3</v>
      </c>
      <c r="F5" s="5" t="n">
        <v>1</v>
      </c>
      <c r="G5" s="5" t="n">
        <v>1</v>
      </c>
      <c r="H5" s="5" t="n">
        <v>1</v>
      </c>
      <c r="I5" s="5" t="n">
        <v>3</v>
      </c>
      <c r="J5" s="5" t="n">
        <v>0</v>
      </c>
      <c r="K5" s="5" t="n">
        <v>0</v>
      </c>
      <c r="L5" s="5" t="n">
        <v>1</v>
      </c>
      <c r="M5" s="8" t="inlineStr">
        <is>
          <t>L0 / L1</t>
        </is>
      </c>
      <c r="N5" s="5" t="inlineStr">
        <is>
          <t>DERIVED</t>
        </is>
      </c>
    </row>
    <row r="6">
      <c r="A6" s="8" t="inlineStr">
        <is>
          <t>AB</t>
        </is>
      </c>
      <c r="B6" s="8" t="inlineStr">
        <is>
          <t>H1</t>
        </is>
      </c>
      <c r="C6" s="8" t="inlineStr">
        <is>
          <t>ACC + lane keeping</t>
        </is>
      </c>
      <c r="D6" s="5" t="n">
        <v>2</v>
      </c>
      <c r="E6" s="5" t="n">
        <v>4</v>
      </c>
      <c r="F6" s="5" t="n">
        <v>1</v>
      </c>
      <c r="G6" s="5" t="n">
        <v>3</v>
      </c>
      <c r="H6" s="5" t="n">
        <v>3</v>
      </c>
      <c r="I6" s="5" t="n">
        <v>8</v>
      </c>
      <c r="J6" s="5" t="n">
        <v>0</v>
      </c>
      <c r="K6" s="5" t="n">
        <v>0</v>
      </c>
      <c r="L6" s="5" t="n">
        <v>2</v>
      </c>
      <c r="M6" s="8" t="inlineStr">
        <is>
          <t>L2</t>
        </is>
      </c>
      <c r="N6" s="5" t="inlineStr">
        <is>
          <t>DERIVED</t>
        </is>
      </c>
    </row>
    <row r="7">
      <c r="A7" s="8" t="inlineStr">
        <is>
          <t>AB</t>
        </is>
      </c>
      <c r="B7" s="8" t="inlineStr">
        <is>
          <t>H2</t>
        </is>
      </c>
      <c r="C7" s="8" t="inlineStr">
        <is>
          <t>hands-off highway</t>
        </is>
      </c>
      <c r="D7" s="5" t="n">
        <v>4</v>
      </c>
      <c r="E7" s="5" t="n">
        <v>6</v>
      </c>
      <c r="F7" s="5" t="n">
        <v>2</v>
      </c>
      <c r="G7" s="5" t="n">
        <v>5</v>
      </c>
      <c r="H7" s="5" t="n">
        <v>4</v>
      </c>
      <c r="I7" s="5" t="n">
        <v>8</v>
      </c>
      <c r="J7" s="5" t="n">
        <v>0</v>
      </c>
      <c r="K7" s="5" t="n">
        <v>0</v>
      </c>
      <c r="L7" s="5" t="n">
        <v>4</v>
      </c>
      <c r="M7" s="8" t="inlineStr">
        <is>
          <t>L2+</t>
        </is>
      </c>
      <c r="N7" s="5" t="inlineStr">
        <is>
          <t>DERIVED</t>
        </is>
      </c>
    </row>
    <row r="8">
      <c r="A8" s="8" t="inlineStr">
        <is>
          <t>AB</t>
        </is>
      </c>
      <c r="B8" s="8" t="inlineStr">
        <is>
          <t>H3</t>
        </is>
      </c>
      <c r="C8" s="8" t="inlineStr">
        <is>
          <t>urban + highway 'L2++'</t>
        </is>
      </c>
      <c r="D8" s="5" t="n">
        <v>5</v>
      </c>
      <c r="E8" s="5" t="n">
        <v>6</v>
      </c>
      <c r="F8" s="5" t="n">
        <v>3</v>
      </c>
      <c r="G8" s="5" t="n">
        <v>5</v>
      </c>
      <c r="H8" s="5" t="n">
        <v>4</v>
      </c>
      <c r="I8" s="5" t="n">
        <v>8</v>
      </c>
      <c r="J8" s="5" t="n">
        <v>0</v>
      </c>
      <c r="K8" s="5" t="n">
        <v>1</v>
      </c>
      <c r="L8" s="5" t="n">
        <v>5.3</v>
      </c>
      <c r="M8" s="8" t="inlineStr">
        <is>
          <t>L2++ or L3</t>
        </is>
      </c>
      <c r="N8" s="9" t="inlineStr">
        <is>
          <t>FACT-anchored</t>
        </is>
      </c>
    </row>
    <row r="9">
      <c r="A9" s="8" t="inlineStr">
        <is>
          <t>AB</t>
        </is>
      </c>
      <c r="B9" s="8" t="inlineStr">
        <is>
          <t>H4</t>
        </is>
      </c>
      <c r="C9" s="8" t="inlineStr">
        <is>
          <t>redundant, liability transfer</t>
        </is>
      </c>
      <c r="D9" s="5" t="n">
        <v>5</v>
      </c>
      <c r="E9" s="5" t="n">
        <v>6</v>
      </c>
      <c r="F9" s="5" t="n">
        <v>3</v>
      </c>
      <c r="G9" s="5" t="n">
        <v>5</v>
      </c>
      <c r="H9" s="5" t="n">
        <v>4</v>
      </c>
      <c r="I9" s="5" t="n">
        <v>8</v>
      </c>
      <c r="J9" s="5" t="n">
        <v>1</v>
      </c>
      <c r="K9" s="5" t="n">
        <v>3</v>
      </c>
      <c r="L9" s="5" t="n">
        <v>7</v>
      </c>
      <c r="M9" s="8" t="inlineStr">
        <is>
          <t>L3</t>
        </is>
      </c>
      <c r="N9" s="9" t="inlineStr">
        <is>
          <t>FACT-anchored</t>
        </is>
      </c>
    </row>
    <row r="10">
      <c r="A10" s="8" t="inlineStr">
        <is>
          <t>CD</t>
        </is>
      </c>
      <c r="B10" s="8" t="inlineStr">
        <is>
          <t>H0</t>
        </is>
      </c>
      <c r="C10" s="8" t="inlineStr">
        <is>
          <t>GSR-2 mandated floor</t>
        </is>
      </c>
      <c r="D10" s="5" t="n">
        <v>2</v>
      </c>
      <c r="E10" s="5" t="n">
        <v>5</v>
      </c>
      <c r="F10" s="5" t="n">
        <v>1</v>
      </c>
      <c r="G10" s="5" t="n">
        <v>1</v>
      </c>
      <c r="H10" s="5" t="n">
        <v>2</v>
      </c>
      <c r="I10" s="5" t="n">
        <v>3</v>
      </c>
      <c r="J10" s="5" t="n">
        <v>0</v>
      </c>
      <c r="K10" s="5" t="n">
        <v>0</v>
      </c>
      <c r="L10" s="5" t="n">
        <v>1</v>
      </c>
      <c r="M10" s="8" t="inlineStr">
        <is>
          <t>L0 / L1</t>
        </is>
      </c>
      <c r="N10" s="5" t="inlineStr">
        <is>
          <t>DERIVED</t>
        </is>
      </c>
    </row>
    <row r="11">
      <c r="A11" s="8" t="inlineStr">
        <is>
          <t>CD</t>
        </is>
      </c>
      <c r="B11" s="8" t="inlineStr">
        <is>
          <t>H1</t>
        </is>
      </c>
      <c r="C11" s="8" t="inlineStr">
        <is>
          <t>ACC + lane keeping</t>
        </is>
      </c>
      <c r="D11" s="5" t="n">
        <v>2</v>
      </c>
      <c r="E11" s="5" t="n">
        <v>7</v>
      </c>
      <c r="F11" s="5" t="n">
        <v>1</v>
      </c>
      <c r="G11" s="5" t="n">
        <v>3</v>
      </c>
      <c r="H11" s="5" t="n">
        <v>7</v>
      </c>
      <c r="I11" s="5" t="n">
        <v>9</v>
      </c>
      <c r="J11" s="5" t="n">
        <v>0</v>
      </c>
      <c r="K11" s="5" t="n">
        <v>0</v>
      </c>
      <c r="L11" s="5" t="n">
        <v>2</v>
      </c>
      <c r="M11" s="8" t="inlineStr">
        <is>
          <t>L2</t>
        </is>
      </c>
      <c r="N11" s="5" t="inlineStr">
        <is>
          <t>DERIVED</t>
        </is>
      </c>
    </row>
    <row r="12">
      <c r="A12" s="8" t="inlineStr">
        <is>
          <t>CD</t>
        </is>
      </c>
      <c r="B12" s="8" t="inlineStr">
        <is>
          <t>H2</t>
        </is>
      </c>
      <c r="C12" s="8" t="inlineStr">
        <is>
          <t>hands-off highway</t>
        </is>
      </c>
      <c r="D12" s="5" t="n">
        <v>4</v>
      </c>
      <c r="E12" s="5" t="n">
        <v>10</v>
      </c>
      <c r="F12" s="5" t="n">
        <v>2</v>
      </c>
      <c r="G12" s="5" t="n">
        <v>5</v>
      </c>
      <c r="H12" s="5" t="n">
        <v>8</v>
      </c>
      <c r="I12" s="5" t="n">
        <v>10</v>
      </c>
      <c r="J12" s="5" t="n">
        <v>0</v>
      </c>
      <c r="K12" s="5" t="n">
        <v>0</v>
      </c>
      <c r="L12" s="5" t="n">
        <v>4</v>
      </c>
      <c r="M12" s="8" t="inlineStr">
        <is>
          <t>L2+</t>
        </is>
      </c>
      <c r="N12" s="5" t="inlineStr">
        <is>
          <t>DERIVED</t>
        </is>
      </c>
    </row>
    <row r="13">
      <c r="A13" s="8" t="inlineStr">
        <is>
          <t>CD</t>
        </is>
      </c>
      <c r="B13" s="8" t="inlineStr">
        <is>
          <t>H3</t>
        </is>
      </c>
      <c r="C13" s="8" t="inlineStr">
        <is>
          <t>urban + highway 'L2++'</t>
        </is>
      </c>
      <c r="D13" s="5" t="n">
        <v>5</v>
      </c>
      <c r="E13" s="5" t="n">
        <v>10</v>
      </c>
      <c r="F13" s="5" t="n">
        <v>3</v>
      </c>
      <c r="G13" s="5" t="n">
        <v>5</v>
      </c>
      <c r="H13" s="5" t="n">
        <v>8</v>
      </c>
      <c r="I13" s="5" t="n">
        <v>10</v>
      </c>
      <c r="J13" s="5" t="n">
        <v>0</v>
      </c>
      <c r="K13" s="5" t="n">
        <v>1</v>
      </c>
      <c r="L13" s="5" t="n">
        <v>5.3</v>
      </c>
      <c r="M13" s="8" t="inlineStr">
        <is>
          <t>L2++ or L3</t>
        </is>
      </c>
      <c r="N13" s="9" t="inlineStr">
        <is>
          <t>FACT-anchored</t>
        </is>
      </c>
    </row>
    <row r="14">
      <c r="A14" s="8" t="inlineStr">
        <is>
          <t>CD</t>
        </is>
      </c>
      <c r="B14" s="8" t="inlineStr">
        <is>
          <t>H4</t>
        </is>
      </c>
      <c r="C14" s="8" t="inlineStr">
        <is>
          <t>redundant, liability transfer</t>
        </is>
      </c>
      <c r="D14" s="5" t="n">
        <v>5</v>
      </c>
      <c r="E14" s="5" t="n">
        <v>10</v>
      </c>
      <c r="F14" s="5" t="n">
        <v>3</v>
      </c>
      <c r="G14" s="5" t="n">
        <v>5</v>
      </c>
      <c r="H14" s="5" t="n">
        <v>8</v>
      </c>
      <c r="I14" s="5" t="n">
        <v>10</v>
      </c>
      <c r="J14" s="5" t="n">
        <v>1</v>
      </c>
      <c r="K14" s="5" t="n">
        <v>3</v>
      </c>
      <c r="L14" s="5" t="n">
        <v>7</v>
      </c>
      <c r="M14" s="8" t="inlineStr">
        <is>
          <t>L3</t>
        </is>
      </c>
      <c r="N14" s="9" t="inlineStr">
        <is>
          <t>FACT-anchored</t>
        </is>
      </c>
    </row>
    <row r="15">
      <c r="A15" s="8" t="inlineStr">
        <is>
          <t>EF</t>
        </is>
      </c>
      <c r="B15" s="8" t="inlineStr">
        <is>
          <t>H0</t>
        </is>
      </c>
      <c r="C15" s="8" t="inlineStr">
        <is>
          <t>GSR-2 mandated floor</t>
        </is>
      </c>
      <c r="D15" s="5" t="n">
        <v>2</v>
      </c>
      <c r="E15" s="5" t="n">
        <v>5</v>
      </c>
      <c r="F15" s="5" t="n">
        <v>1</v>
      </c>
      <c r="G15" s="5" t="n">
        <v>1</v>
      </c>
      <c r="H15" s="5" t="n">
        <v>2</v>
      </c>
      <c r="I15" s="5" t="n">
        <v>4</v>
      </c>
      <c r="J15" s="5" t="n">
        <v>0</v>
      </c>
      <c r="K15" s="5" t="n">
        <v>0</v>
      </c>
      <c r="L15" s="5" t="n">
        <v>1</v>
      </c>
      <c r="M15" s="8" t="inlineStr">
        <is>
          <t>L0 / L1</t>
        </is>
      </c>
      <c r="N15" s="5" t="inlineStr">
        <is>
          <t>DERIVED</t>
        </is>
      </c>
    </row>
    <row r="16">
      <c r="A16" s="8" t="inlineStr">
        <is>
          <t>EF</t>
        </is>
      </c>
      <c r="B16" s="8" t="inlineStr">
        <is>
          <t>H1</t>
        </is>
      </c>
      <c r="C16" s="8" t="inlineStr">
        <is>
          <t>ACC + lane keeping</t>
        </is>
      </c>
      <c r="D16" s="5" t="n">
        <v>4</v>
      </c>
      <c r="E16" s="5" t="n">
        <v>7</v>
      </c>
      <c r="F16" s="5" t="n">
        <v>2</v>
      </c>
      <c r="G16" s="5" t="n">
        <v>3</v>
      </c>
      <c r="H16" s="5" t="n">
        <v>7</v>
      </c>
      <c r="I16" s="5" t="n">
        <v>11</v>
      </c>
      <c r="J16" s="5" t="n">
        <v>0</v>
      </c>
      <c r="K16" s="5" t="n">
        <v>0</v>
      </c>
      <c r="L16" s="5" t="n">
        <v>2</v>
      </c>
      <c r="M16" s="8" t="inlineStr">
        <is>
          <t>L2</t>
        </is>
      </c>
      <c r="N16" s="5" t="inlineStr">
        <is>
          <t>DERIVED</t>
        </is>
      </c>
    </row>
    <row r="17">
      <c r="A17" s="8" t="inlineStr">
        <is>
          <t>EF</t>
        </is>
      </c>
      <c r="B17" s="8" t="inlineStr">
        <is>
          <t>H2</t>
        </is>
      </c>
      <c r="C17" s="8" t="inlineStr">
        <is>
          <t>hands-off highway</t>
        </is>
      </c>
      <c r="D17" s="5" t="n">
        <v>7</v>
      </c>
      <c r="E17" s="5" t="n">
        <v>10</v>
      </c>
      <c r="F17" s="5" t="n">
        <v>4</v>
      </c>
      <c r="G17" s="5" t="n">
        <v>5</v>
      </c>
      <c r="H17" s="5" t="n">
        <v>8</v>
      </c>
      <c r="I17" s="5" t="n">
        <v>12</v>
      </c>
      <c r="J17" s="5" t="n">
        <v>0</v>
      </c>
      <c r="K17" s="5" t="n">
        <v>0</v>
      </c>
      <c r="L17" s="5" t="n">
        <v>4</v>
      </c>
      <c r="M17" s="8" t="inlineStr">
        <is>
          <t>L2+</t>
        </is>
      </c>
      <c r="N17" s="5" t="inlineStr">
        <is>
          <t>DERIVED</t>
        </is>
      </c>
    </row>
    <row r="18">
      <c r="A18" s="8" t="inlineStr">
        <is>
          <t>EF</t>
        </is>
      </c>
      <c r="B18" s="8" t="inlineStr">
        <is>
          <t>H3</t>
        </is>
      </c>
      <c r="C18" s="8" t="inlineStr">
        <is>
          <t>urban + highway 'L2++'</t>
        </is>
      </c>
      <c r="D18" s="5" t="n">
        <v>8</v>
      </c>
      <c r="E18" s="5" t="n">
        <v>11</v>
      </c>
      <c r="F18" s="5" t="n">
        <v>5</v>
      </c>
      <c r="G18" s="5" t="n">
        <v>5</v>
      </c>
      <c r="H18" s="5" t="n">
        <v>8</v>
      </c>
      <c r="I18" s="5" t="n">
        <v>12</v>
      </c>
      <c r="J18" s="5" t="n">
        <v>0</v>
      </c>
      <c r="K18" s="5" t="n">
        <v>1</v>
      </c>
      <c r="L18" s="5" t="n">
        <v>5.3</v>
      </c>
      <c r="M18" s="8" t="inlineStr">
        <is>
          <t>L2++ or L3</t>
        </is>
      </c>
      <c r="N18" s="9" t="inlineStr">
        <is>
          <t>FACT-anchored</t>
        </is>
      </c>
    </row>
    <row r="19">
      <c r="A19" s="8" t="inlineStr">
        <is>
          <t>EF</t>
        </is>
      </c>
      <c r="B19" s="8" t="inlineStr">
        <is>
          <t>H4</t>
        </is>
      </c>
      <c r="C19" s="8" t="inlineStr">
        <is>
          <t>redundant, liability transfer</t>
        </is>
      </c>
      <c r="D19" s="5" t="n">
        <v>8</v>
      </c>
      <c r="E19" s="5" t="n">
        <v>11</v>
      </c>
      <c r="F19" s="5" t="n">
        <v>5</v>
      </c>
      <c r="G19" s="5" t="n">
        <v>5</v>
      </c>
      <c r="H19" s="5" t="n">
        <v>8</v>
      </c>
      <c r="I19" s="5" t="n">
        <v>12</v>
      </c>
      <c r="J19" s="5" t="n">
        <v>1</v>
      </c>
      <c r="K19" s="5" t="n">
        <v>3</v>
      </c>
      <c r="L19" s="5" t="n">
        <v>7</v>
      </c>
      <c r="M19" s="8" t="inlineStr">
        <is>
          <t>L3</t>
        </is>
      </c>
      <c r="N19" s="9" t="inlineStr">
        <is>
          <t>FACT-anchored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9" customWidth="1" min="8" max="8"/>
    <col width="16" customWidth="1" min="9" max="9"/>
  </cols>
  <sheetData>
    <row r="1">
      <c r="A1" s="1" t="inlineStr">
        <is>
          <t>Driver A - tier share of new BEV sales (MODE) - report S4.1</t>
        </is>
      </c>
    </row>
    <row r="2">
      <c r="A2" s="3" t="inlineStr">
        <is>
          <t>Mode only. The Min/Max band is a TIME SHIFT of Tier_Band_Shift_Y years on the whole curve (Parameters sheet) - this keeps shares summing to 1, which independent Min/Mode/Max columns would not. Rows sum to 1 by construction; sheet Validation V6 checks it.</t>
        </is>
      </c>
    </row>
    <row r="4">
      <c r="A4" s="4" t="inlineStr">
        <is>
          <t>Segment</t>
        </is>
      </c>
      <c r="B4" s="4" t="inlineStr">
        <is>
          <t>Year</t>
        </is>
      </c>
      <c r="C4" s="4" t="inlineStr">
        <is>
          <t>H0</t>
        </is>
      </c>
      <c r="D4" s="4" t="inlineStr">
        <is>
          <t>H1</t>
        </is>
      </c>
      <c r="E4" s="4" t="inlineStr">
        <is>
          <t>H2</t>
        </is>
      </c>
      <c r="F4" s="4" t="inlineStr">
        <is>
          <t>H3</t>
        </is>
      </c>
      <c r="G4" s="4" t="inlineStr">
        <is>
          <t>H4</t>
        </is>
      </c>
      <c r="H4" s="4" t="inlineStr">
        <is>
          <t>Sum</t>
        </is>
      </c>
      <c r="I4" s="4" t="inlineStr">
        <is>
          <t>Ranging_derived</t>
        </is>
      </c>
    </row>
    <row r="5">
      <c r="A5" t="inlineStr">
        <is>
          <t>AB</t>
        </is>
      </c>
      <c r="B5" t="n">
        <v>2025</v>
      </c>
      <c r="C5" s="10" t="n">
        <v>0.45</v>
      </c>
      <c r="D5" s="10" t="n">
        <v>0.45</v>
      </c>
      <c r="E5" s="10" t="n">
        <v>0.1</v>
      </c>
      <c r="F5" s="10" t="n">
        <v>0</v>
      </c>
      <c r="G5" s="10" t="n">
        <v>0</v>
      </c>
      <c r="H5" s="11">
        <f>SUM(C5:G5)</f>
        <v/>
      </c>
      <c r="I5" s="12">
        <f>C5*1.0+D5*2.0+E5*4.0+F5*5.3+G5*7.0</f>
        <v/>
      </c>
    </row>
    <row r="6">
      <c r="A6" t="inlineStr">
        <is>
          <t>AB</t>
        </is>
      </c>
      <c r="B6" t="n">
        <v>2030</v>
      </c>
      <c r="C6" s="10" t="n">
        <v>0.25</v>
      </c>
      <c r="D6" s="10" t="n">
        <v>0.45</v>
      </c>
      <c r="E6" s="10" t="n">
        <v>0.25</v>
      </c>
      <c r="F6" s="10" t="n">
        <v>0.05</v>
      </c>
      <c r="G6" s="10" t="n">
        <v>0</v>
      </c>
      <c r="H6" s="11">
        <f>SUM(C6:G6)</f>
        <v/>
      </c>
      <c r="I6" s="12">
        <f>C6*1.0+D6*2.0+E6*4.0+F6*5.3+G6*7.0</f>
        <v/>
      </c>
    </row>
    <row r="7">
      <c r="A7" t="inlineStr">
        <is>
          <t>AB</t>
        </is>
      </c>
      <c r="B7" t="n">
        <v>2035</v>
      </c>
      <c r="C7" s="10" t="n">
        <v>0.1</v>
      </c>
      <c r="D7" s="10" t="n">
        <v>0.35</v>
      </c>
      <c r="E7" s="10" t="n">
        <v>0.4</v>
      </c>
      <c r="F7" s="10" t="n">
        <v>0.15</v>
      </c>
      <c r="G7" s="10" t="n">
        <v>0</v>
      </c>
      <c r="H7" s="11">
        <f>SUM(C7:G7)</f>
        <v/>
      </c>
      <c r="I7" s="12">
        <f>C7*1.0+D7*2.0+E7*4.0+F7*5.3+G7*7.0</f>
        <v/>
      </c>
    </row>
    <row r="8">
      <c r="A8" t="inlineStr">
        <is>
          <t>AB</t>
        </is>
      </c>
      <c r="B8" t="n">
        <v>2040</v>
      </c>
      <c r="C8" s="10" t="n">
        <v>0.05</v>
      </c>
      <c r="D8" s="10" t="n">
        <v>0.25</v>
      </c>
      <c r="E8" s="10" t="n">
        <v>0.4</v>
      </c>
      <c r="F8" s="10" t="n">
        <v>0.28</v>
      </c>
      <c r="G8" s="10" t="n">
        <v>0.02</v>
      </c>
      <c r="H8" s="11">
        <f>SUM(C8:G8)</f>
        <v/>
      </c>
      <c r="I8" s="12">
        <f>C8*1.0+D8*2.0+E8*4.0+F8*5.3+G8*7.0</f>
        <v/>
      </c>
    </row>
    <row r="9">
      <c r="A9" t="inlineStr">
        <is>
          <t>AB</t>
        </is>
      </c>
      <c r="B9" t="n">
        <v>2050</v>
      </c>
      <c r="C9" s="10" t="n">
        <v>0</v>
      </c>
      <c r="D9" s="10" t="n">
        <v>0.1</v>
      </c>
      <c r="E9" s="10" t="n">
        <v>0.3</v>
      </c>
      <c r="F9" s="10" t="n">
        <v>0.45</v>
      </c>
      <c r="G9" s="10" t="n">
        <v>0.15</v>
      </c>
      <c r="H9" s="11">
        <f>SUM(C9:G9)</f>
        <v/>
      </c>
      <c r="I9" s="12">
        <f>C9*1.0+D9*2.0+E9*4.0+F9*5.3+G9*7.0</f>
        <v/>
      </c>
    </row>
    <row r="10">
      <c r="A10" t="inlineStr">
        <is>
          <t>AB</t>
        </is>
      </c>
      <c r="B10" t="n">
        <v>2060</v>
      </c>
      <c r="C10" s="10" t="n">
        <v>0</v>
      </c>
      <c r="D10" s="10" t="n">
        <v>0.1</v>
      </c>
      <c r="E10" s="10" t="n">
        <v>0.3</v>
      </c>
      <c r="F10" s="10" t="n">
        <v>0.45</v>
      </c>
      <c r="G10" s="10" t="n">
        <v>0.15</v>
      </c>
      <c r="H10" s="11">
        <f>SUM(C10:G10)</f>
        <v/>
      </c>
      <c r="I10" s="12">
        <f>C10*1.0+D10*2.0+E10*4.0+F10*5.3+G10*7.0</f>
        <v/>
      </c>
    </row>
    <row r="11">
      <c r="A11" t="inlineStr">
        <is>
          <t>AB</t>
        </is>
      </c>
      <c r="B11" t="n">
        <v>2070</v>
      </c>
      <c r="C11" s="10" t="n">
        <v>0</v>
      </c>
      <c r="D11" s="10" t="n">
        <v>0.1</v>
      </c>
      <c r="E11" s="10" t="n">
        <v>0.3</v>
      </c>
      <c r="F11" s="10" t="n">
        <v>0.45</v>
      </c>
      <c r="G11" s="10" t="n">
        <v>0.15</v>
      </c>
      <c r="H11" s="11">
        <f>SUM(C11:G11)</f>
        <v/>
      </c>
      <c r="I11" s="12">
        <f>C11*1.0+D11*2.0+E11*4.0+F11*5.3+G11*7.0</f>
        <v/>
      </c>
    </row>
    <row r="13">
      <c r="A13" t="inlineStr">
        <is>
          <t>CD</t>
        </is>
      </c>
      <c r="B13" t="n">
        <v>2025</v>
      </c>
      <c r="C13" s="10" t="n">
        <v>0.1</v>
      </c>
      <c r="D13" s="10" t="n">
        <v>0.45</v>
      </c>
      <c r="E13" s="10" t="n">
        <v>0.35</v>
      </c>
      <c r="F13" s="10" t="n">
        <v>0.1</v>
      </c>
      <c r="G13" s="10" t="n">
        <v>0</v>
      </c>
      <c r="H13" s="11">
        <f>SUM(C13:G13)</f>
        <v/>
      </c>
      <c r="I13" s="12">
        <f>C13*1.0+D13*2.0+E13*4.0+F13*5.3+G13*7.0</f>
        <v/>
      </c>
    </row>
    <row r="14">
      <c r="A14" t="inlineStr">
        <is>
          <t>CD</t>
        </is>
      </c>
      <c r="B14" t="n">
        <v>2030</v>
      </c>
      <c r="C14" s="10" t="n">
        <v>0.05</v>
      </c>
      <c r="D14" s="10" t="n">
        <v>0.25</v>
      </c>
      <c r="E14" s="10" t="n">
        <v>0.4</v>
      </c>
      <c r="F14" s="10" t="n">
        <v>0.28</v>
      </c>
      <c r="G14" s="10" t="n">
        <v>0.02</v>
      </c>
      <c r="H14" s="11">
        <f>SUM(C14:G14)</f>
        <v/>
      </c>
      <c r="I14" s="12">
        <f>C14*1.0+D14*2.0+E14*4.0+F14*5.3+G14*7.0</f>
        <v/>
      </c>
    </row>
    <row r="15">
      <c r="A15" t="inlineStr">
        <is>
          <t>CD</t>
        </is>
      </c>
      <c r="B15" t="n">
        <v>2035</v>
      </c>
      <c r="C15" s="10" t="n">
        <v>0</v>
      </c>
      <c r="D15" s="10" t="n">
        <v>0.1</v>
      </c>
      <c r="E15" s="10" t="n">
        <v>0.3</v>
      </c>
      <c r="F15" s="10" t="n">
        <v>0.45</v>
      </c>
      <c r="G15" s="10" t="n">
        <v>0.15</v>
      </c>
      <c r="H15" s="11">
        <f>SUM(C15:G15)</f>
        <v/>
      </c>
      <c r="I15" s="12">
        <f>C15*1.0+D15*2.0+E15*4.0+F15*5.3+G15*7.0</f>
        <v/>
      </c>
    </row>
    <row r="16">
      <c r="A16" t="inlineStr">
        <is>
          <t>CD</t>
        </is>
      </c>
      <c r="B16" t="n">
        <v>2040</v>
      </c>
      <c r="C16" s="10" t="n">
        <v>0</v>
      </c>
      <c r="D16" s="10" t="n">
        <v>0.05</v>
      </c>
      <c r="E16" s="10" t="n">
        <v>0.2</v>
      </c>
      <c r="F16" s="10" t="n">
        <v>0.5</v>
      </c>
      <c r="G16" s="10" t="n">
        <v>0.25</v>
      </c>
      <c r="H16" s="11">
        <f>SUM(C16:G16)</f>
        <v/>
      </c>
      <c r="I16" s="12">
        <f>C16*1.0+D16*2.0+E16*4.0+F16*5.3+G16*7.0</f>
        <v/>
      </c>
    </row>
    <row r="17">
      <c r="A17" t="inlineStr">
        <is>
          <t>CD</t>
        </is>
      </c>
      <c r="B17" t="n">
        <v>2050</v>
      </c>
      <c r="C17" s="10" t="n">
        <v>0</v>
      </c>
      <c r="D17" s="10" t="n">
        <v>0</v>
      </c>
      <c r="E17" s="10" t="n">
        <v>0.1</v>
      </c>
      <c r="F17" s="10" t="n">
        <v>0.5</v>
      </c>
      <c r="G17" s="10" t="n">
        <v>0.4</v>
      </c>
      <c r="H17" s="11">
        <f>SUM(C17:G17)</f>
        <v/>
      </c>
      <c r="I17" s="12">
        <f>C17*1.0+D17*2.0+E17*4.0+F17*5.3+G17*7.0</f>
        <v/>
      </c>
    </row>
    <row r="18">
      <c r="A18" t="inlineStr">
        <is>
          <t>CD</t>
        </is>
      </c>
      <c r="B18" t="n">
        <v>2060</v>
      </c>
      <c r="C18" s="10" t="n">
        <v>0</v>
      </c>
      <c r="D18" s="10" t="n">
        <v>0</v>
      </c>
      <c r="E18" s="10" t="n">
        <v>0.1</v>
      </c>
      <c r="F18" s="10" t="n">
        <v>0.5</v>
      </c>
      <c r="G18" s="10" t="n">
        <v>0.4</v>
      </c>
      <c r="H18" s="11">
        <f>SUM(C18:G18)</f>
        <v/>
      </c>
      <c r="I18" s="12">
        <f>C18*1.0+D18*2.0+E18*4.0+F18*5.3+G18*7.0</f>
        <v/>
      </c>
    </row>
    <row r="19">
      <c r="A19" t="inlineStr">
        <is>
          <t>CD</t>
        </is>
      </c>
      <c r="B19" t="n">
        <v>2070</v>
      </c>
      <c r="C19" s="10" t="n">
        <v>0</v>
      </c>
      <c r="D19" s="10" t="n">
        <v>0</v>
      </c>
      <c r="E19" s="10" t="n">
        <v>0.1</v>
      </c>
      <c r="F19" s="10" t="n">
        <v>0.5</v>
      </c>
      <c r="G19" s="10" t="n">
        <v>0.4</v>
      </c>
      <c r="H19" s="11">
        <f>SUM(C19:G19)</f>
        <v/>
      </c>
      <c r="I19" s="12">
        <f>C19*1.0+D19*2.0+E19*4.0+F19*5.3+G19*7.0</f>
        <v/>
      </c>
    </row>
    <row r="21">
      <c r="A21" t="inlineStr">
        <is>
          <t>EF</t>
        </is>
      </c>
      <c r="B21" t="n">
        <v>2025</v>
      </c>
      <c r="C21" s="10" t="n">
        <v>0</v>
      </c>
      <c r="D21" s="10" t="n">
        <v>0.1</v>
      </c>
      <c r="E21" s="10" t="n">
        <v>0.25</v>
      </c>
      <c r="F21" s="10" t="n">
        <v>0.5</v>
      </c>
      <c r="G21" s="10" t="n">
        <v>0.15</v>
      </c>
      <c r="H21" s="11">
        <f>SUM(C21:G21)</f>
        <v/>
      </c>
      <c r="I21" s="12">
        <f>C21*1.0+D21*2.0+E21*4.0+F21*5.3+G21*7.0</f>
        <v/>
      </c>
    </row>
    <row r="22">
      <c r="A22" t="inlineStr">
        <is>
          <t>EF</t>
        </is>
      </c>
      <c r="B22" t="n">
        <v>2030</v>
      </c>
      <c r="C22" s="10" t="n">
        <v>0</v>
      </c>
      <c r="D22" s="10" t="n">
        <v>0.05</v>
      </c>
      <c r="E22" s="10" t="n">
        <v>0.15</v>
      </c>
      <c r="F22" s="10" t="n">
        <v>0.5</v>
      </c>
      <c r="G22" s="10" t="n">
        <v>0.3</v>
      </c>
      <c r="H22" s="11">
        <f>SUM(C22:G22)</f>
        <v/>
      </c>
      <c r="I22" s="12">
        <f>C22*1.0+D22*2.0+E22*4.0+F22*5.3+G22*7.0</f>
        <v/>
      </c>
    </row>
    <row r="23">
      <c r="A23" t="inlineStr">
        <is>
          <t>EF</t>
        </is>
      </c>
      <c r="B23" t="n">
        <v>2035</v>
      </c>
      <c r="C23" s="10" t="n">
        <v>0</v>
      </c>
      <c r="D23" s="10" t="n">
        <v>0</v>
      </c>
      <c r="E23" s="10" t="n">
        <v>0.1</v>
      </c>
      <c r="F23" s="10" t="n">
        <v>0.45</v>
      </c>
      <c r="G23" s="10" t="n">
        <v>0.45</v>
      </c>
      <c r="H23" s="11">
        <f>SUM(C23:G23)</f>
        <v/>
      </c>
      <c r="I23" s="12">
        <f>C23*1.0+D23*2.0+E23*4.0+F23*5.3+G23*7.0</f>
        <v/>
      </c>
    </row>
    <row r="24">
      <c r="A24" t="inlineStr">
        <is>
          <t>EF</t>
        </is>
      </c>
      <c r="B24" t="n">
        <v>2040</v>
      </c>
      <c r="C24" s="10" t="n">
        <v>0</v>
      </c>
      <c r="D24" s="10" t="n">
        <v>0</v>
      </c>
      <c r="E24" s="10" t="n">
        <v>0.05</v>
      </c>
      <c r="F24" s="10" t="n">
        <v>0.4</v>
      </c>
      <c r="G24" s="10" t="n">
        <v>0.55</v>
      </c>
      <c r="H24" s="11">
        <f>SUM(C24:G24)</f>
        <v/>
      </c>
      <c r="I24" s="12">
        <f>C24*1.0+D24*2.0+E24*4.0+F24*5.3+G24*7.0</f>
        <v/>
      </c>
    </row>
    <row r="25">
      <c r="A25" t="inlineStr">
        <is>
          <t>EF</t>
        </is>
      </c>
      <c r="B25" t="n">
        <v>2050</v>
      </c>
      <c r="C25" s="10" t="n">
        <v>0</v>
      </c>
      <c r="D25" s="10" t="n">
        <v>0</v>
      </c>
      <c r="E25" s="10" t="n">
        <v>0</v>
      </c>
      <c r="F25" s="10" t="n">
        <v>0.35</v>
      </c>
      <c r="G25" s="10" t="n">
        <v>0.65</v>
      </c>
      <c r="H25" s="11">
        <f>SUM(C25:G25)</f>
        <v/>
      </c>
      <c r="I25" s="12">
        <f>C25*1.0+D25*2.0+E25*4.0+F25*5.3+G25*7.0</f>
        <v/>
      </c>
    </row>
    <row r="26">
      <c r="A26" t="inlineStr">
        <is>
          <t>EF</t>
        </is>
      </c>
      <c r="B26" t="n">
        <v>2060</v>
      </c>
      <c r="C26" s="10" t="n">
        <v>0</v>
      </c>
      <c r="D26" s="10" t="n">
        <v>0</v>
      </c>
      <c r="E26" s="10" t="n">
        <v>0</v>
      </c>
      <c r="F26" s="10" t="n">
        <v>0.35</v>
      </c>
      <c r="G26" s="10" t="n">
        <v>0.65</v>
      </c>
      <c r="H26" s="11">
        <f>SUM(C26:G26)</f>
        <v/>
      </c>
      <c r="I26" s="12">
        <f>C26*1.0+D26*2.0+E26*4.0+F26*5.3+G26*7.0</f>
        <v/>
      </c>
    </row>
    <row r="27">
      <c r="A27" t="inlineStr">
        <is>
          <t>EF</t>
        </is>
      </c>
      <c r="B27" t="n">
        <v>2070</v>
      </c>
      <c r="C27" s="10" t="n">
        <v>0</v>
      </c>
      <c r="D27" s="10" t="n">
        <v>0</v>
      </c>
      <c r="E27" s="10" t="n">
        <v>0</v>
      </c>
      <c r="F27" s="10" t="n">
        <v>0.35</v>
      </c>
      <c r="G27" s="10" t="n">
        <v>0.65</v>
      </c>
      <c r="H27" s="11">
        <f>SUM(C27:G27)</f>
        <v/>
      </c>
      <c r="I27" s="12">
        <f>C27*1.0+D27*2.0+E27*4.0+F27*5.3+G27*7.0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1" customWidth="1" min="4" max="4"/>
    <col width="13" customWidth="1" min="5" max="5"/>
    <col width="52" customWidth="1" min="6" max="6"/>
  </cols>
  <sheetData>
    <row r="1">
      <c r="A1" s="1" t="inlineStr">
        <is>
          <t>Driver B - lidar-equipped share of new BEV sales, Europe - report S5.3</t>
        </is>
      </c>
    </row>
    <row r="2">
      <c r="A2" s="3" t="inlineStr">
        <is>
          <t>SEPARATE from tier, because lidar tracks cost and Chinese competitive pressure - not certification and not segment. China reached 21% of NEVs in 2025 at ~$200/unit. Mode puts Europe there around 2032-33. The lag is SAMPLED (Parameters sheet), so China-leads-Europe-follows is a testable hypothesis, not a baked-in assumption. Min = 4D imaging radar substitutes; Max = cost collapse plus weather redundancy. Both cases are credible; the band holds both.</t>
        </is>
      </c>
    </row>
    <row r="4">
      <c r="A4" s="4" t="inlineStr">
        <is>
          <t>Year</t>
        </is>
      </c>
      <c r="B4" s="4" t="inlineStr">
        <is>
          <t>Share_Min</t>
        </is>
      </c>
      <c r="C4" s="4" t="inlineStr">
        <is>
          <t>Share_Mode</t>
        </is>
      </c>
      <c r="D4" s="4" t="inlineStr">
        <is>
          <t>Share_Max</t>
        </is>
      </c>
      <c r="E4" s="4" t="inlineStr">
        <is>
          <t>Tag</t>
        </is>
      </c>
      <c r="F4" s="4" t="inlineStr">
        <is>
          <t>Basis</t>
        </is>
      </c>
    </row>
    <row r="5">
      <c r="A5" t="n">
        <v>2025</v>
      </c>
      <c r="B5" s="10" t="n">
        <v>0</v>
      </c>
      <c r="C5" s="10" t="n">
        <v>0.01</v>
      </c>
      <c r="D5" s="10" t="n">
        <v>0.02</v>
      </c>
      <c r="E5" s="7" t="inlineStr">
        <is>
          <t>FACT</t>
        </is>
      </c>
      <c r="F5" s="3" t="inlineStr">
        <is>
          <t>EQS and i7 only; both now withdrawn</t>
        </is>
      </c>
    </row>
    <row r="6">
      <c r="A6" t="n">
        <v>2030</v>
      </c>
      <c r="B6" s="10" t="n">
        <v>0.03</v>
      </c>
      <c r="C6" s="10" t="n">
        <v>0.12</v>
      </c>
      <c r="D6" s="10" t="n">
        <v>0.3</v>
      </c>
      <c r="E6" s="13" t="inlineStr">
        <is>
          <t>DERIVED</t>
        </is>
      </c>
      <c r="F6" s="3" t="inlineStr">
        <is>
          <t>Goldman: 3 m overseas ADAS lidar units by 2030</t>
        </is>
      </c>
    </row>
    <row r="7">
      <c r="A7" t="n">
        <v>2035</v>
      </c>
      <c r="B7" s="10" t="n">
        <v>0.08</v>
      </c>
      <c r="C7" s="10" t="n">
        <v>0.28</v>
      </c>
      <c r="D7" s="10" t="n">
        <v>0.55</v>
      </c>
      <c r="E7" s="6" t="inlineStr">
        <is>
          <t>ASSUMPTION</t>
        </is>
      </c>
      <c r="F7" s="3" t="inlineStr">
        <is>
          <t>China 21% (2025) + sampled lag</t>
        </is>
      </c>
    </row>
    <row r="8">
      <c r="A8" t="n">
        <v>2040</v>
      </c>
      <c r="B8" s="10" t="n">
        <v>0.12</v>
      </c>
      <c r="C8" s="10" t="n">
        <v>0.45</v>
      </c>
      <c r="D8" s="10" t="n">
        <v>0.7</v>
      </c>
      <c r="E8" s="6" t="inlineStr">
        <is>
          <t>ASSUMPTION</t>
        </is>
      </c>
      <c r="F8" s="3" t="inlineStr"/>
    </row>
    <row r="9">
      <c r="A9" t="n">
        <v>2050</v>
      </c>
      <c r="B9" s="10" t="n">
        <v>0.18</v>
      </c>
      <c r="C9" s="10" t="n">
        <v>0.6</v>
      </c>
      <c r="D9" s="10" t="n">
        <v>0.85</v>
      </c>
      <c r="E9" s="6" t="inlineStr">
        <is>
          <t>ASSUMPTION</t>
        </is>
      </c>
      <c r="F9" s="3" t="inlineStr"/>
    </row>
    <row r="10">
      <c r="A10" t="n">
        <v>2060</v>
      </c>
      <c r="B10" s="10" t="n">
        <v>0.22</v>
      </c>
      <c r="C10" s="10" t="n">
        <v>0.66</v>
      </c>
      <c r="D10" s="10" t="n">
        <v>0.88</v>
      </c>
      <c r="E10" s="6" t="inlineStr">
        <is>
          <t>ASSUMPTION</t>
        </is>
      </c>
      <c r="F10" s="3" t="inlineStr">
        <is>
          <t>E3: rise decelerates</t>
        </is>
      </c>
    </row>
    <row r="11">
      <c r="A11" t="n">
        <v>2070</v>
      </c>
      <c r="B11" s="10" t="n">
        <v>0.25</v>
      </c>
      <c r="C11" s="10" t="n">
        <v>0.7</v>
      </c>
      <c r="D11" s="10" t="n">
        <v>0.9</v>
      </c>
      <c r="E11" s="6" t="inlineStr">
        <is>
          <t>ASSUMPTION</t>
        </is>
      </c>
      <c r="F11" s="3" t="inlineStr">
        <is>
          <t>E3: cost curve near materials floor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15" customWidth="1" min="8" max="8"/>
    <col width="42" customWidth="1" min="9" max="9"/>
    <col width="70" customWidth="1" min="15" max="15"/>
  </cols>
  <sheetData>
    <row r="1">
      <c r="A1" s="1" t="inlineStr">
        <is>
          <t>presence(component | tier) - report S6.2</t>
        </is>
      </c>
    </row>
    <row r="2">
      <c r="A2" s="3" t="inlineStr">
        <is>
          <t>Replaces the STATIC Std/Opt/Rare factor in 01_. Compose as:  presence(component, segment, year) = SUM_tier share(tier,segment,year) x presence(component|tier).  Read share() from Tier_Shares - do NOT recompute it, or the sensor and wiring models will silently diverge. Rows are the ADAS sheet of 01_VehicleElectronics.xlsx, in order.</t>
        </is>
      </c>
    </row>
    <row r="4">
      <c r="A4" s="4" t="inlineStr">
        <is>
          <t>#</t>
        </is>
      </c>
      <c r="B4" s="4" t="inlineStr">
        <is>
          <t>Component</t>
        </is>
      </c>
      <c r="C4" s="4" t="inlineStr">
        <is>
          <t>H0</t>
        </is>
      </c>
      <c r="D4" s="4" t="inlineStr">
        <is>
          <t>H1</t>
        </is>
      </c>
      <c r="E4" s="4" t="inlineStr">
        <is>
          <t>H2</t>
        </is>
      </c>
      <c r="F4" s="4" t="inlineStr">
        <is>
          <t>H3</t>
        </is>
      </c>
      <c r="G4" s="4" t="inlineStr">
        <is>
          <t>H4</t>
        </is>
      </c>
      <c r="H4" s="4" t="inlineStr">
        <is>
          <t>Tag</t>
        </is>
      </c>
      <c r="I4" s="4" t="inlineStr">
        <is>
          <t>Basis</t>
        </is>
      </c>
    </row>
    <row r="5">
      <c r="A5" t="n">
        <v>1</v>
      </c>
      <c r="B5" t="inlineStr">
        <is>
          <t>Front ADAS camera</t>
        </is>
      </c>
      <c r="C5" s="10" t="n">
        <v>1</v>
      </c>
      <c r="D5" s="10" t="n">
        <v>1</v>
      </c>
      <c r="E5" s="10" t="n">
        <v>1</v>
      </c>
      <c r="F5" s="10" t="n">
        <v>1</v>
      </c>
      <c r="G5" s="10" t="n">
        <v>1</v>
      </c>
      <c r="H5" s="7" t="inlineStr">
        <is>
          <t>FACT</t>
        </is>
      </c>
      <c r="I5" s="3" t="inlineStr">
        <is>
          <t>GSR-2 mandated since Jul 2024</t>
        </is>
      </c>
    </row>
    <row r="6">
      <c r="A6" t="n">
        <v>2</v>
      </c>
      <c r="B6" t="inlineStr">
        <is>
          <t>Rear view camera</t>
        </is>
      </c>
      <c r="C6" s="10" t="n">
        <v>0.5</v>
      </c>
      <c r="D6" s="10" t="n">
        <v>0.9</v>
      </c>
      <c r="E6" s="10" t="n">
        <v>1</v>
      </c>
      <c r="F6" s="10" t="n">
        <v>1</v>
      </c>
      <c r="G6" s="10" t="n">
        <v>1</v>
      </c>
      <c r="H6" s="6" t="inlineStr">
        <is>
          <t>ASSUMPTION</t>
        </is>
      </c>
      <c r="I6" s="3" t="inlineStr"/>
    </row>
    <row r="7">
      <c r="A7" t="n">
        <v>3</v>
      </c>
      <c r="B7" t="inlineStr">
        <is>
          <t>Side / mirror cameras</t>
        </is>
      </c>
      <c r="C7" s="10" t="n">
        <v>0</v>
      </c>
      <c r="D7" s="10" t="n">
        <v>0.25</v>
      </c>
      <c r="E7" s="10" t="n">
        <v>0.8</v>
      </c>
      <c r="F7" s="10" t="n">
        <v>1</v>
      </c>
      <c r="G7" s="10" t="n">
        <v>1</v>
      </c>
      <c r="H7" s="6" t="inlineStr">
        <is>
          <t>ASSUMPTION</t>
        </is>
      </c>
      <c r="I7" s="3" t="inlineStr">
        <is>
          <t>360 deg needs &gt;=4 cameras</t>
        </is>
      </c>
    </row>
    <row r="8">
      <c r="A8" t="n">
        <v>4</v>
      </c>
      <c r="B8" t="inlineStr">
        <is>
          <t>Front long-range radar</t>
        </is>
      </c>
      <c r="C8" s="10" t="n">
        <v>1</v>
      </c>
      <c r="D8" s="10" t="n">
        <v>1</v>
      </c>
      <c r="E8" s="10" t="n">
        <v>1</v>
      </c>
      <c r="F8" s="10" t="n">
        <v>1</v>
      </c>
      <c r="G8" s="10" t="n">
        <v>1</v>
      </c>
      <c r="H8" s="7" t="inlineStr">
        <is>
          <t>FACT</t>
        </is>
      </c>
      <c r="I8" s="3" t="inlineStr">
        <is>
          <t>GSR-2 AEB</t>
        </is>
      </c>
    </row>
    <row r="9">
      <c r="A9" t="n">
        <v>5</v>
      </c>
      <c r="B9" t="inlineStr">
        <is>
          <t>Corner short/mid-range radars</t>
        </is>
      </c>
      <c r="C9" s="10" t="n">
        <v>0</v>
      </c>
      <c r="D9" s="10" t="n">
        <v>0.3</v>
      </c>
      <c r="E9" s="10" t="n">
        <v>0.85</v>
      </c>
      <c r="F9" s="10" t="n">
        <v>1</v>
      </c>
      <c r="G9" s="10" t="n">
        <v>1</v>
      </c>
      <c r="H9" s="7" t="inlineStr">
        <is>
          <t>FACT-anchored</t>
        </is>
      </c>
      <c r="I9" s="3" t="inlineStr">
        <is>
          <t>5 radar at H3: EQS, EX90</t>
        </is>
      </c>
    </row>
    <row r="10">
      <c r="A10" t="n">
        <v>6</v>
      </c>
      <c r="B10" t="inlineStr">
        <is>
          <t>LiDAR sensor</t>
        </is>
      </c>
      <c r="C10" s="10" t="n">
        <v>0</v>
      </c>
      <c r="D10" s="10" t="n">
        <v>0</v>
      </c>
      <c r="E10" s="10" t="n">
        <v>0</v>
      </c>
      <c r="F10" s="9" t="inlineStr">
        <is>
          <t>Driver B</t>
        </is>
      </c>
      <c r="G10" s="9" t="inlineStr">
        <is>
          <t>Driver B</t>
        </is>
      </c>
      <c r="H10" s="13" t="inlineStr">
        <is>
          <t>DRIVER B</t>
        </is>
      </c>
      <c r="I10" s="3" t="inlineStr">
        <is>
          <t>NOT tier-governed - see Lidar sheet</t>
        </is>
      </c>
    </row>
    <row r="11">
      <c r="A11" t="n">
        <v>7</v>
      </c>
      <c r="B11" t="inlineStr">
        <is>
          <t>Ultrasonic sensors</t>
        </is>
      </c>
      <c r="C11" s="10" t="n">
        <v>0.3</v>
      </c>
      <c r="D11" s="10" t="n">
        <v>0.9</v>
      </c>
      <c r="E11" s="10" t="n">
        <v>1</v>
      </c>
      <c r="F11" s="10" t="n">
        <v>1</v>
      </c>
      <c r="G11" s="10" t="n">
        <v>1</v>
      </c>
      <c r="H11" s="6" t="inlineStr">
        <is>
          <t>ASSUMPTION</t>
        </is>
      </c>
      <c r="I11" s="3" t="inlineStr"/>
    </row>
    <row r="12">
      <c r="A12" t="n">
        <v>8</v>
      </c>
      <c r="B12" t="inlineStr">
        <is>
          <t>Driver monitoring camera</t>
        </is>
      </c>
      <c r="C12" s="10" t="n">
        <v>0.2</v>
      </c>
      <c r="D12" s="10" t="n">
        <v>0.5</v>
      </c>
      <c r="E12" s="10" t="n">
        <v>0.9</v>
      </c>
      <c r="F12" s="10" t="n">
        <v>1</v>
      </c>
      <c r="G12" s="10" t="n">
        <v>1</v>
      </c>
      <c r="H12" s="13" t="inlineStr">
        <is>
          <t>DERIVED</t>
        </is>
      </c>
      <c r="I12" s="3" t="inlineStr">
        <is>
          <t>GSR-2 attention warning</t>
        </is>
      </c>
    </row>
    <row r="13">
      <c r="A13" t="n">
        <v>9</v>
      </c>
      <c r="B13" t="inlineStr">
        <is>
          <t>ADAS camera ECU (basic)</t>
        </is>
      </c>
      <c r="C13" s="10" t="n">
        <v>1</v>
      </c>
      <c r="D13" s="10" t="n">
        <v>1</v>
      </c>
      <c r="E13" s="10" t="n">
        <v>0.5</v>
      </c>
      <c r="F13" s="10" t="n">
        <v>0.2</v>
      </c>
      <c r="G13" s="10" t="n">
        <v>0.1</v>
      </c>
      <c r="H13" s="6" t="inlineStr">
        <is>
          <t>ASSUMPTION</t>
        </is>
      </c>
      <c r="I13" s="3" t="inlineStr">
        <is>
          <t>DECLINES - absorbed by rows 10/11</t>
        </is>
      </c>
    </row>
    <row r="14">
      <c r="A14" t="n">
        <v>10</v>
      </c>
      <c r="B14" t="inlineStr">
        <is>
          <t>ADAS domain controller / fusion ECU</t>
        </is>
      </c>
      <c r="C14" s="10" t="n">
        <v>0</v>
      </c>
      <c r="D14" s="10" t="n">
        <v>0.1</v>
      </c>
      <c r="E14" s="10" t="n">
        <v>0.7</v>
      </c>
      <c r="F14" s="10" t="n">
        <v>1</v>
      </c>
      <c r="G14" s="10" t="n">
        <v>1</v>
      </c>
      <c r="H14" s="6" t="inlineStr">
        <is>
          <t>ASSUMPTION</t>
        </is>
      </c>
      <c r="I14" s="3" t="inlineStr"/>
    </row>
    <row r="15">
      <c r="A15" t="n">
        <v>11</v>
      </c>
      <c r="B15" t="inlineStr">
        <is>
          <t>Automated driving central computer</t>
        </is>
      </c>
      <c r="C15" s="10" t="n">
        <v>0</v>
      </c>
      <c r="D15" s="10" t="n">
        <v>0</v>
      </c>
      <c r="E15" s="10" t="n">
        <v>0.1</v>
      </c>
      <c r="F15" s="10" t="n">
        <v>0.5</v>
      </c>
      <c r="G15" s="10" t="n">
        <v>1</v>
      </c>
      <c r="H15" s="6" t="inlineStr">
        <is>
          <t>ASSUMPTION</t>
        </is>
      </c>
      <c r="I15" s="3" t="inlineStr"/>
    </row>
    <row r="16">
      <c r="A16" t="n">
        <v>12</v>
      </c>
      <c r="B16" t="inlineStr">
        <is>
          <t>Parking assist ECU</t>
        </is>
      </c>
      <c r="C16" s="10" t="n">
        <v>0.2</v>
      </c>
      <c r="D16" s="10" t="n">
        <v>0.8</v>
      </c>
      <c r="E16" s="10" t="n">
        <v>1</v>
      </c>
      <c r="F16" s="10" t="n">
        <v>1</v>
      </c>
      <c r="G16" s="10" t="n">
        <v>1</v>
      </c>
      <c r="H16" s="6" t="inlineStr">
        <is>
          <t>ASSUMPTION</t>
        </is>
      </c>
      <c r="I16" s="3" t="inlineStr"/>
    </row>
    <row r="18">
      <c r="O18" s="14" t="inlineStr">
        <is>
          <t>WATCH: row 9 DECLINES as rows 10 and 11 rise - the smart camera is absorbed into the domain controller. That is a SUBSTITUTION. The static model cannot express it, and such pairs must be drawn jointly, not independently.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22" customWidth="1" min="4" max="4"/>
    <col width="16" customWidth="1" min="5" max="5"/>
    <col width="10" customWidth="1" min="6" max="6"/>
    <col width="62" customWidth="1" min="7" max="7"/>
  </cols>
  <sheetData>
    <row r="1">
      <c r="A1" s="1" t="inlineStr">
        <is>
          <t>How wide is the real uncertainty? Measured from source disagreement</t>
        </is>
      </c>
    </row>
    <row r="2">
      <c r="A2" s="3" t="inlineStr">
        <is>
          <t>These are PREDICTIONS, not ground truth. Where two credible sources disagree about the same quantity, the gap between them is a measurement of the true uncertainty - it is data about how wide the band should be, not an error to correct. A model result that misses a reference by less than the spread below is NOT evidence of a bug.</t>
        </is>
      </c>
    </row>
    <row r="4">
      <c r="A4" s="4" t="inlineStr">
        <is>
          <t>Quantity</t>
        </is>
      </c>
      <c r="B4" s="4" t="inlineStr">
        <is>
          <t>Source A</t>
        </is>
      </c>
      <c r="C4" s="4" t="inlineStr">
        <is>
          <t>Value A</t>
        </is>
      </c>
      <c r="D4" s="4" t="inlineStr">
        <is>
          <t>Source B</t>
        </is>
      </c>
      <c r="E4" s="4" t="inlineStr">
        <is>
          <t>Value B</t>
        </is>
      </c>
      <c r="F4" s="4" t="inlineStr">
        <is>
          <t>Spread</t>
        </is>
      </c>
      <c r="G4" s="4" t="inlineStr">
        <is>
          <t>What it tells us</t>
        </is>
      </c>
    </row>
    <row r="5">
      <c r="A5" s="8" t="inlineStr">
        <is>
          <t>L2+/L3 share of global new sales, 2035</t>
        </is>
      </c>
      <c r="B5" s="8" t="inlineStr">
        <is>
          <t>S&amp;P Global Mobility</t>
        </is>
      </c>
      <c r="C5" s="8" t="inlineStr">
        <is>
          <t>&gt;=31%</t>
        </is>
      </c>
      <c r="D5" s="8" t="inlineStr">
        <is>
          <t>IDTechEx</t>
        </is>
      </c>
      <c r="E5" s="8" t="inlineStr">
        <is>
          <t>&gt;50%</t>
        </is>
      </c>
      <c r="F5" s="15" t="inlineStr">
        <is>
          <t>1.6x</t>
        </is>
      </c>
      <c r="G5" s="16" t="inlineStr">
        <is>
          <t>Two top-tier houses, same quantity, same year. Sets the floor for any 10-year-out forecast band.</t>
        </is>
      </c>
    </row>
    <row r="6">
      <c r="A6" s="8" t="inlineStr">
        <is>
          <t>Ranging sensors per vehicle, 2035</t>
        </is>
      </c>
      <c r="B6" s="8" t="inlineStr">
        <is>
          <t>Yole</t>
        </is>
      </c>
      <c r="C6" s="8" t="inlineStr">
        <is>
          <t>5.5</t>
        </is>
      </c>
      <c r="D6" s="8" t="inlineStr">
        <is>
          <t>this report S4.1</t>
        </is>
      </c>
      <c r="E6" s="8" t="inlineStr">
        <is>
          <t>4.6</t>
        </is>
      </c>
      <c r="F6" s="15" t="inlineStr">
        <is>
          <t>1.20x</t>
        </is>
      </c>
      <c r="G6" s="16" t="inlineStr">
        <is>
          <t>Our tier table is deliberately conservative on the late ramp.</t>
        </is>
      </c>
    </row>
    <row r="7">
      <c r="A7" s="8" t="inlineStr">
        <is>
          <t>AB-&gt;EF adoption lag</t>
        </is>
      </c>
      <c r="B7" s="8" t="inlineStr">
        <is>
          <t>18_ offsets</t>
        </is>
      </c>
      <c r="C7" s="8" t="inlineStr">
        <is>
          <t>10 y</t>
        </is>
      </c>
      <c r="D7" s="8" t="inlineStr">
        <is>
          <t>this report S4.1</t>
        </is>
      </c>
      <c r="E7" s="8" t="inlineStr">
        <is>
          <t>15 y</t>
        </is>
      </c>
      <c r="F7" s="15" t="inlineStr">
        <is>
          <t>5 y</t>
        </is>
      </c>
      <c r="G7" s="16" t="inlineStr">
        <is>
          <t>Confirms +/-5 y is the right order for the Driver A band.</t>
        </is>
      </c>
    </row>
    <row r="8">
      <c r="A8" s="8" t="inlineStr">
        <is>
          <t>CD copper per vehicle, 2025</t>
        </is>
      </c>
      <c r="B8" s="8" t="inlineStr">
        <is>
          <t>model, length-first</t>
        </is>
      </c>
      <c r="C8" s="8" t="inlineStr">
        <is>
          <t>56.4 kg</t>
        </is>
      </c>
      <c r="D8" s="8" t="inlineStr">
        <is>
          <t>source report, stated</t>
        </is>
      </c>
      <c r="E8" s="8" t="inlineStr">
        <is>
          <t>60.3 kg</t>
        </is>
      </c>
      <c r="F8" s="15" t="inlineStr">
        <is>
          <t>6.9%</t>
        </is>
      </c>
      <c r="G8" s="16" t="inlineStr">
        <is>
          <t>Two readings of the SAME source.</t>
        </is>
      </c>
    </row>
    <row r="9">
      <c r="A9" s="8" t="inlineStr">
        <is>
          <t>EF wiring length, 2025</t>
        </is>
      </c>
      <c r="B9" s="8" t="inlineStr">
        <is>
          <t>report row sum</t>
        </is>
      </c>
      <c r="C9" s="8" t="inlineStr">
        <is>
          <t>3646 m</t>
        </is>
      </c>
      <c r="D9" s="8" t="inlineStr">
        <is>
          <t>report stated total</t>
        </is>
      </c>
      <c r="E9" s="8" t="inlineStr">
        <is>
          <t>3546 m</t>
        </is>
      </c>
      <c r="F9" s="15" t="inlineStr">
        <is>
          <t>2.8%</t>
        </is>
      </c>
      <c r="G9" s="16" t="inlineStr">
        <is>
          <t>A single source disagreeing WITH ITSELF. Sets the noise floor: nothing here can claim better than ~3%.</t>
        </is>
      </c>
    </row>
    <row r="10">
      <c r="A10" s="8" t="inlineStr">
        <is>
          <t>SDV total length reduction</t>
        </is>
      </c>
      <c r="B10" s="8" t="inlineStr">
        <is>
          <t>17_ per-category mechanisms</t>
        </is>
      </c>
      <c r="C10" s="8" t="inlineStr">
        <is>
          <t>-12/-11/-8%</t>
        </is>
      </c>
      <c r="D10" s="8" t="inlineStr">
        <is>
          <t>17_ stated segment totals</t>
        </is>
      </c>
      <c r="E10" s="8" t="inlineStr">
        <is>
          <t>-44/-40/-23%</t>
        </is>
      </c>
      <c r="F10" s="15" t="inlineStr">
        <is>
          <t>3-4x</t>
        </is>
      </c>
      <c r="G10" s="16" t="inlineStr">
        <is>
          <t>Largest spread in the whole chain. Structural, not statistical.</t>
        </is>
      </c>
    </row>
    <row r="11">
      <c r="A11" s="8" t="inlineStr">
        <is>
          <t>EF cameras, 2025</t>
        </is>
      </c>
      <c r="B11" s="8" t="inlineStr">
        <is>
          <t>06_ max</t>
        </is>
      </c>
      <c r="C11" s="8" t="inlineStr">
        <is>
          <t>5</t>
        </is>
      </c>
      <c r="D11" s="8" t="inlineStr">
        <is>
          <t>measured EQS / EX90</t>
        </is>
      </c>
      <c r="E11" s="8" t="inlineStr">
        <is>
          <t>6 / 10</t>
        </is>
      </c>
      <c r="F11" s="15" t="inlineStr">
        <is>
          <t>2x</t>
        </is>
      </c>
      <c r="G11" s="16" t="inlineStr">
        <is>
          <t>Within normal disagreement - NOT necessarily an error.</t>
        </is>
      </c>
    </row>
    <row r="12">
      <c r="A12" s="8" t="inlineStr">
        <is>
          <t>EF lidar presence, 2025</t>
        </is>
      </c>
      <c r="B12" s="8" t="inlineStr">
        <is>
          <t>01_ label 'Opt'</t>
        </is>
      </c>
      <c r="C12" s="8" t="inlineStr">
        <is>
          <t>0.50</t>
        </is>
      </c>
      <c r="D12" s="8" t="inlineStr">
        <is>
          <t>measured + Driver B</t>
        </is>
      </c>
      <c r="E12" s="8" t="inlineStr">
        <is>
          <t>0.01</t>
        </is>
      </c>
      <c r="F12" s="15" t="inlineStr">
        <is>
          <t>50x</t>
        </is>
      </c>
      <c r="G12" s="16" t="inlineStr">
        <is>
          <t>FAR outside every band above. This one IS an error.</t>
        </is>
      </c>
    </row>
    <row r="13">
      <c r="A13" s="8" t="inlineStr">
        <is>
          <t>Europe lidar share, 2070</t>
        </is>
      </c>
      <c r="B13" s="8" t="inlineStr">
        <is>
          <t>this report Min</t>
        </is>
      </c>
      <c r="C13" s="8" t="inlineStr">
        <is>
          <t>0.25</t>
        </is>
      </c>
      <c r="D13" s="8" t="inlineStr">
        <is>
          <t>this report Max</t>
        </is>
      </c>
      <c r="E13" s="8" t="inlineStr">
        <is>
          <t>0.90</t>
        </is>
      </c>
      <c r="F13" s="15" t="inlineStr">
        <is>
          <t>3.6x</t>
        </is>
      </c>
      <c r="G13" s="16" t="inlineStr">
        <is>
          <t>Genuinely unknown. Width is honest, not lazy.</t>
        </is>
      </c>
    </row>
    <row r="16">
      <c r="A16" s="1" t="inlineStr">
        <is>
          <t>Calibration that follows</t>
        </is>
      </c>
    </row>
    <row r="17">
      <c r="A17" s="4" t="inlineStr">
        <is>
          <t>Kind of uncertainty</t>
        </is>
      </c>
      <c r="B17" s="4" t="inlineStr">
        <is>
          <t>Magnitude</t>
        </is>
      </c>
      <c r="C17" s="4" t="inlineStr">
        <is>
          <t>Consequence</t>
        </is>
      </c>
    </row>
    <row r="18">
      <c r="A18" t="inlineStr">
        <is>
          <t>Self-consistency floor</t>
        </is>
      </c>
      <c r="B18" s="17" t="inlineStr">
        <is>
          <t>~3%</t>
        </is>
      </c>
      <c r="C18" s="3" t="inlineStr">
        <is>
          <t>A single source disagrees with itself by 2.8-6.9%. No result from this chain can claim better precision than that, however many iterations are run.</t>
        </is>
      </c>
    </row>
    <row r="19">
      <c r="A19" t="inlineStr">
        <is>
          <t>Cross-house forecast spread, 10 y out</t>
        </is>
      </c>
      <c r="B19" s="17" t="inlineStr">
        <is>
          <t>~1.6x</t>
        </is>
      </c>
      <c r="C19" s="3" t="inlineStr">
        <is>
          <t>S&amp;P vs IDTechEx on the same 2035 quantity. Any single-source forecast band narrower than this is over-confident.</t>
        </is>
      </c>
    </row>
    <row r="20">
      <c r="A20" t="inlineStr">
        <is>
          <t>Structural / mechanism uncertainty</t>
        </is>
      </c>
      <c r="B20" s="17" t="inlineStr">
        <is>
          <t>3-4x</t>
        </is>
      </c>
      <c r="C20" s="3" t="inlineStr">
        <is>
          <t>SDV depth, lidar 2070. Where the MECHANISM is contested rather than the value, spreads are multiples, not percentages.</t>
        </is>
      </c>
    </row>
    <row r="21">
      <c r="A21" t="inlineStr">
        <is>
          <t>Threshold for calling something an error</t>
        </is>
      </c>
      <c r="B21" s="17" t="inlineStr">
        <is>
          <t>&gt;10x</t>
        </is>
      </c>
      <c r="C21" s="3" t="inlineStr">
        <is>
          <t>Below that, a mismatch is probably within the range. 01_ lidar at 50x clears it; 06_ cameras at 2x does not.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12" customWidth="1" min="4" max="4"/>
    <col width="26" customWidth="1" min="5" max="5"/>
    <col width="12" customWidth="1" min="6" max="6"/>
    <col width="8" customWidth="1" min="7" max="7"/>
  </cols>
  <sheetData>
    <row r="1">
      <c r="A1" s="1" t="inlineStr">
        <is>
          <t>Targets the code must reproduce - report S8</t>
        </is>
      </c>
    </row>
    <row r="2">
      <c r="A2" s="3" t="inlineStr">
        <is>
          <t>Assert these in BevWiring.py so that a report drifting from the code becomes a TEST FAILURE, not a discovery six months later. Tolerances are set from the Uncertainty sheet - not tighter than the sources themselves agree.</t>
        </is>
      </c>
    </row>
    <row r="4">
      <c r="A4" s="4" t="inlineStr">
        <is>
          <t>#</t>
        </is>
      </c>
      <c r="B4" s="4" t="inlineStr">
        <is>
          <t>Target</t>
        </is>
      </c>
      <c r="C4" s="4" t="inlineStr">
        <is>
          <t>Value</t>
        </is>
      </c>
      <c r="D4" s="4" t="inlineStr">
        <is>
          <t>Tolerance</t>
        </is>
      </c>
      <c r="E4" s="4" t="inlineStr">
        <is>
          <t>Source</t>
        </is>
      </c>
      <c r="F4" s="4" t="inlineStr">
        <is>
          <t>Last run</t>
        </is>
      </c>
      <c r="G4" s="4" t="inlineStr">
        <is>
          <t>Pass?</t>
        </is>
      </c>
    </row>
    <row r="5">
      <c r="A5" s="8" t="inlineStr">
        <is>
          <t>V1</t>
        </is>
      </c>
      <c r="B5" s="8" t="inlineStr">
        <is>
          <t>2025 length AB / CD / EF</t>
        </is>
      </c>
      <c r="C5" s="8" t="inlineStr">
        <is>
          <t>1392 / 2486 / 3546 m</t>
        </is>
      </c>
      <c r="D5" s="8" t="inlineStr">
        <is>
          <t>+/-1%</t>
        </is>
      </c>
      <c r="E5" s="8" t="inlineStr">
        <is>
          <t>existing anchor</t>
        </is>
      </c>
      <c r="F5" s="18" t="n"/>
      <c r="G5" s="18" t="n"/>
    </row>
    <row r="6">
      <c r="A6" s="8" t="inlineStr">
        <is>
          <t>V2</t>
        </is>
      </c>
      <c r="B6" s="8" t="inlineStr">
        <is>
          <t>Metres per camera 2025 AB / CD / EF</t>
        </is>
      </c>
      <c r="C6" s="8" t="inlineStr">
        <is>
          <t>28 / 25 / 31 m</t>
        </is>
      </c>
      <c r="D6" s="8" t="inlineStr">
        <is>
          <t>+/-15%</t>
        </is>
      </c>
      <c r="E6" s="8" t="inlineStr">
        <is>
          <t>17_ / 06_</t>
        </is>
      </c>
      <c r="F6" s="18" t="n"/>
      <c r="G6" s="18" t="n"/>
    </row>
    <row r="7">
      <c r="A7" s="8" t="inlineStr">
        <is>
          <t>V3</t>
        </is>
      </c>
      <c r="B7" s="8" t="inlineStr">
        <is>
          <t>EF ranging sensors (radar+lidar) 2025</t>
        </is>
      </c>
      <c r="C7" s="8" t="inlineStr">
        <is>
          <t>4.9</t>
        </is>
      </c>
      <c r="D7" s="8" t="inlineStr">
        <is>
          <t>+/-1.0</t>
        </is>
      </c>
      <c r="E7" s="8" t="inlineStr">
        <is>
          <t>report S2.2 measured</t>
        </is>
      </c>
      <c r="F7" s="18" t="n"/>
      <c r="G7" s="18" t="n"/>
    </row>
    <row r="8">
      <c r="A8" s="8" t="inlineStr">
        <is>
          <t>V4</t>
        </is>
      </c>
      <c r="B8" s="8" t="inlineStr">
        <is>
          <t>Sales-weighted ranging sensors 2025</t>
        </is>
      </c>
      <c r="C8" s="8" t="inlineStr">
        <is>
          <t>3.0</t>
        </is>
      </c>
      <c r="D8" s="8" t="inlineStr">
        <is>
          <t>+/-1.0</t>
        </is>
      </c>
      <c r="E8" s="8" t="inlineStr">
        <is>
          <t>report S4.1 vs Yole 2.5</t>
        </is>
      </c>
      <c r="F8" s="18" t="n"/>
      <c r="G8" s="18" t="n"/>
    </row>
    <row r="9">
      <c r="A9" s="8" t="inlineStr">
        <is>
          <t>V5</t>
        </is>
      </c>
      <c r="B9" s="8" t="inlineStr">
        <is>
          <t>Lidar-equipped share, Europe, 2025</t>
        </is>
      </c>
      <c r="C9" s="8" t="inlineStr">
        <is>
          <t>0.01</t>
        </is>
      </c>
      <c r="D9" s="8" t="inlineStr">
        <is>
          <t>+/-0.01</t>
        </is>
      </c>
      <c r="E9" s="8" t="inlineStr">
        <is>
          <t>report S2.4</t>
        </is>
      </c>
      <c r="F9" s="18" t="n"/>
      <c r="G9" s="18" t="n"/>
    </row>
    <row r="10">
      <c r="A10" s="8" t="inlineStr">
        <is>
          <t>V6</t>
        </is>
      </c>
      <c r="B10" s="8" t="inlineStr">
        <is>
          <t>Tier shares sum to 1, every segment-year</t>
        </is>
      </c>
      <c r="C10" s="8" t="inlineStr">
        <is>
          <t>1.000</t>
        </is>
      </c>
      <c r="D10" s="8" t="inlineStr">
        <is>
          <t>1e-9</t>
        </is>
      </c>
      <c r="E10" s="8" t="inlineStr">
        <is>
          <t>construction</t>
        </is>
      </c>
      <c r="F10" s="18" t="n"/>
      <c r="G10" s="18" t="n"/>
    </row>
    <row r="11">
      <c r="A11" s="8" t="inlineStr">
        <is>
          <t>V7</t>
        </is>
      </c>
      <c r="B11" s="8" t="inlineStr">
        <is>
          <t>Composed presence vs 01_ static labels 2025</t>
        </is>
      </c>
      <c r="C11" s="8" t="inlineStr">
        <is>
          <t>agree</t>
        </is>
      </c>
      <c r="D11" s="8" t="inlineStr">
        <is>
          <t>+/-0.15</t>
        </is>
      </c>
      <c r="E11" s="8" t="inlineStr">
        <is>
          <t>report S6.3</t>
        </is>
      </c>
      <c r="F11" s="18" t="n"/>
      <c r="G11" s="18" t="n"/>
    </row>
    <row r="12">
      <c r="A12" s="8" t="inlineStr">
        <is>
          <t>V8</t>
        </is>
      </c>
      <c r="B12" s="8" t="inlineStr">
        <is>
          <t>ADAS share of total length 2025 AB/CD/EF</t>
        </is>
      </c>
      <c r="C12" s="8" t="inlineStr">
        <is>
          <t>6 / 9 / 11 %</t>
        </is>
      </c>
      <c r="D12" s="8" t="inlineStr">
        <is>
          <t>+/-3 pp</t>
        </is>
      </c>
      <c r="E12" s="8" t="inlineStr">
        <is>
          <t>interface doc S1</t>
        </is>
      </c>
      <c r="F12" s="18" t="n"/>
      <c r="G12" s="18" t="n"/>
    </row>
    <row r="13">
      <c r="A13" s="8" t="inlineStr">
        <is>
          <t>V9</t>
        </is>
      </c>
      <c r="B13" s="8" t="inlineStr">
        <is>
          <t>Driver C multiplier at 2040, all scenarios</t>
        </is>
      </c>
      <c r="C13" s="8" t="inlineStr">
        <is>
          <t>1.000</t>
        </is>
      </c>
      <c r="D13" s="8" t="inlineStr">
        <is>
          <t>1e-9</t>
        </is>
      </c>
      <c r="E13" s="8" t="inlineStr">
        <is>
          <t>report S7.2</t>
        </is>
      </c>
      <c r="F13" s="18" t="n"/>
      <c r="G13" s="18" t="n"/>
    </row>
    <row r="14">
      <c r="A14" s="8" t="inlineStr">
        <is>
          <t>V10</t>
        </is>
      </c>
      <c r="B14" s="8" t="inlineStr">
        <is>
          <t>Scenario weights sum to 1</t>
        </is>
      </c>
      <c r="C14" s="8" t="inlineStr">
        <is>
          <t>1.000</t>
        </is>
      </c>
      <c r="D14" s="8" t="inlineStr">
        <is>
          <t>1e-9</t>
        </is>
      </c>
      <c r="E14" s="8" t="inlineStr">
        <is>
          <t>construction</t>
        </is>
      </c>
      <c r="F14" s="18" t="n"/>
      <c r="G14" s="18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44" customWidth="1" min="3" max="3"/>
    <col width="20" customWidth="1" min="4" max="4"/>
  </cols>
  <sheetData>
    <row r="1">
      <c r="A1" s="1" t="inlineStr">
        <is>
          <t>One physical box = one harness drop. One element = one chip inside it.</t>
        </is>
      </c>
    </row>
    <row r="2">
      <c r="A2" s="3" t="inlineStr">
        <is>
          <t>06_ enumerates ELEMENTS -- a corner radar appears twice, as an RF transceiver and as a temperature sensor. The wiring model needs MODULES: a radar box takes ONE cable however many chips are inside. PRIMARY is the element whose count equals the module count; the companions ride along in the same box and must never be counted as separate wiring endpoints. Rows with PRIMARY '-' are ECUs, not sensor modules -- their elements are inputs from other modules and are a KNOWN DOUBLE-COUNT RISK (see 06_ sheet Notes).</t>
        </is>
      </c>
    </row>
    <row r="4">
      <c r="A4" s="4" t="inlineStr">
        <is>
          <t>Component</t>
        </is>
      </c>
      <c r="B4" s="4" t="inlineStr">
        <is>
          <t>PRIMARY element (= module count)</t>
        </is>
      </c>
      <c r="C4" s="4" t="inlineStr">
        <is>
          <t>Companion elements</t>
        </is>
      </c>
      <c r="D4" s="4" t="inlineStr">
        <is>
          <t>Elements per module</t>
        </is>
      </c>
    </row>
    <row r="5">
      <c r="A5" s="8" t="inlineStr">
        <is>
          <t>Front ADAS camera</t>
        </is>
      </c>
      <c r="B5" s="8" t="inlineStr">
        <is>
          <t>CMOS image sensor</t>
        </is>
      </c>
      <c r="C5" s="8" t="inlineStr">
        <is>
          <t>temperature sensor</t>
        </is>
      </c>
      <c r="D5" s="8" t="n">
        <v>2</v>
      </c>
    </row>
    <row r="6">
      <c r="A6" s="8" t="inlineStr">
        <is>
          <t>Rear view camera</t>
        </is>
      </c>
      <c r="B6" s="8" t="inlineStr">
        <is>
          <t>CMOS image sensor</t>
        </is>
      </c>
      <c r="C6" s="8" t="inlineStr">
        <is>
          <t>-</t>
        </is>
      </c>
      <c r="D6" s="8" t="n">
        <v>1</v>
      </c>
    </row>
    <row r="7">
      <c r="A7" s="8" t="inlineStr">
        <is>
          <t>Side / mirror cameras</t>
        </is>
      </c>
      <c r="B7" s="8" t="inlineStr">
        <is>
          <t>CMOS image sensor</t>
        </is>
      </c>
      <c r="C7" s="8" t="inlineStr">
        <is>
          <t>-</t>
        </is>
      </c>
      <c r="D7" s="8" t="n">
        <v>1</v>
      </c>
    </row>
    <row r="8">
      <c r="A8" s="8" t="inlineStr">
        <is>
          <t>Front long-range radar</t>
        </is>
      </c>
      <c r="B8" s="8" t="inlineStr">
        <is>
          <t>RF transceiver</t>
        </is>
      </c>
      <c r="C8" s="8" t="inlineStr">
        <is>
          <t>temperature sensor</t>
        </is>
      </c>
      <c r="D8" s="8" t="n">
        <v>2</v>
      </c>
    </row>
    <row r="9">
      <c r="A9" s="8" t="inlineStr">
        <is>
          <t>Corner short/mid-range radars</t>
        </is>
      </c>
      <c r="B9" s="8" t="inlineStr">
        <is>
          <t>RF transceiver</t>
        </is>
      </c>
      <c r="C9" s="8" t="inlineStr">
        <is>
          <t>temperature sensor</t>
        </is>
      </c>
      <c r="D9" s="8" t="n">
        <v>2</v>
      </c>
    </row>
    <row r="10">
      <c r="A10" s="8" t="inlineStr">
        <is>
          <t>LiDAR sensor</t>
        </is>
      </c>
      <c r="B10" s="8" t="inlineStr">
        <is>
          <t>laser diode array</t>
        </is>
      </c>
      <c r="C10" s="8" t="inlineStr">
        <is>
          <t>photodetector array, IMU, temperature sensor</t>
        </is>
      </c>
      <c r="D10" s="8" t="n">
        <v>4</v>
      </c>
    </row>
    <row r="11">
      <c r="A11" s="8" t="inlineStr">
        <is>
          <t>Ultrasonic sensors</t>
        </is>
      </c>
      <c r="B11" s="8" t="inlineStr">
        <is>
          <t>ultrasonic transducer</t>
        </is>
      </c>
      <c r="C11" s="8" t="inlineStr">
        <is>
          <t>-</t>
        </is>
      </c>
      <c r="D11" s="8" t="n">
        <v>1</v>
      </c>
    </row>
    <row r="12">
      <c r="A12" s="8" t="inlineStr">
        <is>
          <t>Driver monitoring camera</t>
        </is>
      </c>
      <c r="B12" s="8" t="inlineStr">
        <is>
          <t>IR camera sensor</t>
        </is>
      </c>
      <c r="C12" s="8" t="inlineStr">
        <is>
          <t>IR LED array</t>
        </is>
      </c>
      <c r="D12" s="8" t="n">
        <v>2</v>
      </c>
    </row>
    <row r="13">
      <c r="A13" s="8" t="inlineStr">
        <is>
          <t>ADAS camera ECU (basic)</t>
        </is>
      </c>
      <c r="B13" s="8" t="inlineStr">
        <is>
          <t>-</t>
        </is>
      </c>
      <c r="C13" s="8" t="inlineStr">
        <is>
          <t>CMOS image sensor, temperature sensor</t>
        </is>
      </c>
      <c r="D13" s="8" t="n">
        <v>0</v>
      </c>
    </row>
    <row r="14">
      <c r="A14" s="8" t="inlineStr">
        <is>
          <t>Parking assist ECU</t>
        </is>
      </c>
      <c r="B14" s="8" t="inlineStr">
        <is>
          <t>-</t>
        </is>
      </c>
      <c r="C14" s="8" t="inlineStr">
        <is>
          <t>ultrasonic sensor, camera input</t>
        </is>
      </c>
      <c r="D14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2026-08-07T09:45:46Z</dcterms:created>
  <dcterms:modified xsi:type="dcterms:W3CDTF">2026-08-07T09:45:46Z</dcterms:modified>
</cp:coreProperties>
</file>