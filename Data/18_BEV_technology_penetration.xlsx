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102400" windowHeight="41680" tabRatio="600" firstSheet="0" activeTab="0" autoFilterDateGrouping="1"/>
  </bookViews>
  <sheets>
    <sheet name="Penetration" sheetId="1" state="visible" r:id="rId1"/>
    <sheet name="Sensors_per_Level" sheetId="2" state="visible" r:id="rId2"/>
    <sheet name="Metres_per_Sensor" sheetId="3" state="visible" r:id="rId3"/>
    <sheet name="Checks" sheetId="4" state="visible" r:id="rId4"/>
    <sheet name="Notes" sheetId="5" state="visible" r:id="rId5"/>
    <sheet name="Report_Scenarios" sheetId="6" state="visible" r:id="rId6"/>
    <sheet name="Conversion" sheetId="7" state="visible" r:id="rId7"/>
    <sheet name="Autonomy_Derived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0">
    <font>
      <name val="Calibri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i val="1"/>
      <sz val="9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rgb="FF0000FF"/>
      <sz val="10"/>
    </font>
    <font>
      <name val="Arial"/>
      <family val="2"/>
      <b val="1"/>
      <sz val="10"/>
    </font>
    <font>
      <name val="Arial"/>
      <family val="2"/>
      <b val="1"/>
      <color rgb="FFC00000"/>
      <sz val="10"/>
    </font>
    <font>
      <name val="Arial"/>
      <family val="2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44546A"/>
      </patternFill>
    </fill>
    <fill>
      <patternFill patternType="solid">
        <fgColor rgb="FFFFFF00"/>
      </patternFill>
    </fill>
    <fill>
      <patternFill patternType="solid">
        <fgColor rgb="FFFFD9B3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" fontId="4" fillId="0" borderId="1" pivotButton="0" quotePrefix="0" xfId="0"/>
    <xf numFmtId="2" fontId="5" fillId="3" borderId="1" pivotButton="0" quotePrefix="0" xfId="0"/>
    <xf numFmtId="0" fontId="4" fillId="4" borderId="1" pivotButton="0" quotePrefix="0" xfId="0"/>
    <xf numFmtId="0" fontId="3" fillId="2" borderId="1" pivotButton="0" quotePrefix="0" xfId="0"/>
    <xf numFmtId="1" fontId="5" fillId="4" borderId="1" pivotButton="0" quotePrefix="0" xfId="0"/>
    <xf numFmtId="164" fontId="5" fillId="3" borderId="1" pivotButton="0" quotePrefix="0" xfId="0"/>
    <xf numFmtId="164" fontId="5" fillId="4" borderId="1" pivotButton="0" quotePrefix="0" xfId="0"/>
    <xf numFmtId="2" fontId="4" fillId="0" borderId="1" pivotButton="0" quotePrefix="0" xfId="0"/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 wrapText="1"/>
    </xf>
    <xf numFmtId="165" fontId="4" fillId="0" borderId="1" pivotButton="0" quotePrefix="0" xfId="0"/>
    <xf numFmtId="165" fontId="5" fillId="5" borderId="1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"/>
  <sheetViews>
    <sheetView tabSelected="1" workbookViewId="0">
      <pane ySplit="5" topLeftCell="A339" activePane="bottomLeft" state="frozen"/>
      <selection pane="bottomLeft" activeCell="A1" sqref="A1"/>
    </sheetView>
  </sheetViews>
  <sheetFormatPr baseColWidth="10" defaultColWidth="8.83203125" defaultRowHeight="15"/>
  <cols>
    <col width="13" customWidth="1" min="1" max="1"/>
    <col width="9" customWidth="1" min="2" max="2"/>
    <col width="13" customWidth="1" min="3" max="3"/>
    <col width="7" customWidth="1" min="4" max="4"/>
    <col width="11" customWidth="1" min="5" max="5"/>
    <col width="12" customWidth="1" min="6" max="6"/>
    <col width="11" customWidth="1" min="7" max="7"/>
    <col width="62" customWidth="1" min="8" max="8"/>
  </cols>
  <sheetData>
    <row r="1" ht="16" customHeight="1">
      <c r="A1" s="1" t="inlineStr">
        <is>
          <t>Technology penetration - share of NEW VEHICLES SOLD</t>
        </is>
      </c>
    </row>
    <row r="2">
      <c r="A2" s="2" t="inlineStr">
        <is>
          <t>One row per Driver x Segment x State x Year. Shares of a driver sum to 1 within a segment-year (see Checks). Add or delete rows freely - the model fits a smooth monotone curve through whatever anchor years are present.</t>
        </is>
      </c>
    </row>
    <row r="3">
      <c r="A3" s="2" t="inlineStr">
        <is>
          <t>YELLOW = editable.  ORANGE source text = my assumption, please correct.  This file supersedes 16_BEV_wiring_transition_parameters.xlsx.</t>
        </is>
      </c>
    </row>
    <row r="5">
      <c r="A5" s="3" t="inlineStr">
        <is>
          <t>Driver</t>
        </is>
      </c>
      <c r="B5" s="3" t="inlineStr">
        <is>
          <t>Segment</t>
        </is>
      </c>
      <c r="C5" s="3" t="inlineStr">
        <is>
          <t>State</t>
        </is>
      </c>
      <c r="D5" s="3" t="inlineStr">
        <is>
          <t>Year</t>
        </is>
      </c>
      <c r="E5" s="3" t="inlineStr">
        <is>
          <t>Share_Min</t>
        </is>
      </c>
      <c r="F5" s="3" t="inlineStr">
        <is>
          <t>Share_Mode</t>
        </is>
      </c>
      <c r="G5" s="3" t="inlineStr">
        <is>
          <t>Share_Max</t>
        </is>
      </c>
      <c r="H5" s="3" t="inlineStr">
        <is>
          <t>Source</t>
        </is>
      </c>
    </row>
    <row r="6">
      <c r="A6" s="4" t="inlineStr">
        <is>
          <t>Architecture</t>
        </is>
      </c>
      <c r="B6" s="4" t="inlineStr">
        <is>
          <t>EF</t>
        </is>
      </c>
      <c r="C6" s="4" t="inlineStr">
        <is>
          <t>Conventional</t>
        </is>
      </c>
      <c r="D6" s="5" t="n">
        <v>2010</v>
      </c>
      <c r="E6" s="6" t="n">
        <v>0.7340422397951084</v>
      </c>
      <c r="F6" s="6" t="n">
        <v>0.8540422397951084</v>
      </c>
      <c r="G6" s="6" t="n">
        <v>0.9740422397951084</v>
      </c>
      <c r="H6" s="4" t="inlineStr">
        <is>
          <t>DERIVED from agreed timing; Conventional-&gt;Transitional timing is my proposal - CORRECT ME</t>
        </is>
      </c>
    </row>
    <row r="7">
      <c r="A7" s="4" t="inlineStr">
        <is>
          <t>Architecture</t>
        </is>
      </c>
      <c r="B7" s="4" t="inlineStr">
        <is>
          <t>EF</t>
        </is>
      </c>
      <c r="C7" s="4" t="inlineStr">
        <is>
          <t>Transitional</t>
        </is>
      </c>
      <c r="D7" s="5" t="n">
        <v>2010</v>
      </c>
      <c r="E7" s="6" t="n">
        <v>0.0253226631616332</v>
      </c>
      <c r="F7" s="6" t="n">
        <v>0.1453226631616332</v>
      </c>
      <c r="G7" s="6" t="n">
        <v>0.2653226631616332</v>
      </c>
      <c r="H7" s="4" t="inlineStr">
        <is>
          <t>DERIVED from agreed timing; Conventional-&gt;Transitional timing is my proposal - CORRECT ME</t>
        </is>
      </c>
    </row>
    <row r="8">
      <c r="A8" s="4" t="inlineStr">
        <is>
          <t>Architecture</t>
        </is>
      </c>
      <c r="B8" s="4" t="inlineStr">
        <is>
          <t>EF</t>
        </is>
      </c>
      <c r="C8" s="4" t="inlineStr">
        <is>
          <t>SDV_Zonal</t>
        </is>
      </c>
      <c r="D8" s="5" t="n">
        <v>2010</v>
      </c>
      <c r="E8" s="6" t="n">
        <v>0</v>
      </c>
      <c r="F8" s="6" t="n">
        <v>0.000635097043258459</v>
      </c>
      <c r="G8" s="6" t="n">
        <v>0.1206350970432584</v>
      </c>
      <c r="H8" s="4" t="inlineStr">
        <is>
          <t>DERIVED from agreed timing; Conventional-&gt;Transitional timing is my proposal - CORRECT ME</t>
        </is>
      </c>
    </row>
    <row r="9">
      <c r="A9" s="4" t="inlineStr">
        <is>
          <t>Architecture</t>
        </is>
      </c>
      <c r="B9" s="4" t="inlineStr">
        <is>
          <t>EF</t>
        </is>
      </c>
      <c r="C9" s="4" t="inlineStr">
        <is>
          <t>Conventional</t>
        </is>
      </c>
      <c r="D9" s="5" t="n">
        <v>2015</v>
      </c>
      <c r="E9" s="6" t="n">
        <v>0.4530837229612793</v>
      </c>
      <c r="F9" s="6" t="n">
        <v>0.5730837229612793</v>
      </c>
      <c r="G9" s="6" t="n">
        <v>0.6930837229612793</v>
      </c>
      <c r="H9" s="4" t="inlineStr">
        <is>
          <t>DERIVED from agreed timing; Conventional-&gt;Transitional timing is my proposal - CORRECT ME</t>
        </is>
      </c>
    </row>
    <row r="10">
      <c r="A10" s="4" t="inlineStr">
        <is>
          <t>Architecture</t>
        </is>
      </c>
      <c r="B10" s="4" t="inlineStr">
        <is>
          <t>EF</t>
        </is>
      </c>
      <c r="C10" s="4" t="inlineStr">
        <is>
          <t>Transitional</t>
        </is>
      </c>
      <c r="D10" s="5" t="n">
        <v>2015</v>
      </c>
      <c r="E10" s="6" t="n">
        <v>0.3029296814538834</v>
      </c>
      <c r="F10" s="6" t="n">
        <v>0.4229296814538834</v>
      </c>
      <c r="G10" s="6" t="n">
        <v>0.5429296814538834</v>
      </c>
      <c r="H10" s="4" t="inlineStr">
        <is>
          <t>DERIVED from agreed timing; Conventional-&gt;Transitional timing is my proposal - CORRECT ME</t>
        </is>
      </c>
    </row>
    <row r="11">
      <c r="A11" s="4" t="inlineStr">
        <is>
          <t>Architecture</t>
        </is>
      </c>
      <c r="B11" s="4" t="inlineStr">
        <is>
          <t>EF</t>
        </is>
      </c>
      <c r="C11" s="4" t="inlineStr">
        <is>
          <t>SDV_Zonal</t>
        </is>
      </c>
      <c r="D11" s="5" t="n">
        <v>2015</v>
      </c>
      <c r="E11" s="6" t="n">
        <v>0</v>
      </c>
      <c r="F11" s="6" t="n">
        <v>0.003986595584837318</v>
      </c>
      <c r="G11" s="6" t="n">
        <v>0.1239865955848373</v>
      </c>
      <c r="H11" s="4" t="inlineStr">
        <is>
          <t>DERIVED from agreed timing; Conventional-&gt;Transitional timing is my proposal - CORRECT ME</t>
        </is>
      </c>
    </row>
    <row r="12">
      <c r="A12" s="4" t="inlineStr">
        <is>
          <t>Architecture</t>
        </is>
      </c>
      <c r="B12" s="4" t="inlineStr">
        <is>
          <t>EF</t>
        </is>
      </c>
      <c r="C12" s="4" t="inlineStr">
        <is>
          <t>Conventional</t>
        </is>
      </c>
      <c r="D12" s="5" t="n">
        <v>2020</v>
      </c>
      <c r="E12" s="6" t="n">
        <v>0.1154523864622997</v>
      </c>
      <c r="F12" s="6" t="n">
        <v>0.2354523864622997</v>
      </c>
      <c r="G12" s="6" t="n">
        <v>0.3554523864622997</v>
      </c>
      <c r="H12" s="4" t="inlineStr">
        <is>
          <t>DERIVED from agreed timing; Conventional-&gt;Transitional timing is my proposal - CORRECT ME</t>
        </is>
      </c>
    </row>
    <row r="13">
      <c r="A13" s="4" t="inlineStr">
        <is>
          <t>Architecture</t>
        </is>
      </c>
      <c r="B13" s="4" t="inlineStr">
        <is>
          <t>EF</t>
        </is>
      </c>
      <c r="C13" s="4" t="inlineStr">
        <is>
          <t>Transitional</t>
        </is>
      </c>
      <c r="D13" s="5" t="n">
        <v>2020</v>
      </c>
      <c r="E13" s="6" t="n">
        <v>0.6199583495110815</v>
      </c>
      <c r="F13" s="6" t="n">
        <v>0.7399583495110815</v>
      </c>
      <c r="G13" s="6" t="n">
        <v>0.8599583495110815</v>
      </c>
      <c r="H13" s="4" t="inlineStr">
        <is>
          <t>DERIVED from agreed timing; Conventional-&gt;Transitional timing is my proposal - CORRECT ME</t>
        </is>
      </c>
    </row>
    <row r="14">
      <c r="A14" s="4" t="inlineStr">
        <is>
          <t>Architecture</t>
        </is>
      </c>
      <c r="B14" s="4" t="inlineStr">
        <is>
          <t>EF</t>
        </is>
      </c>
      <c r="C14" s="4" t="inlineStr">
        <is>
          <t>SDV_Zonal</t>
        </is>
      </c>
      <c r="D14" s="5" t="n">
        <v>2020</v>
      </c>
      <c r="E14" s="6" t="n">
        <v>0</v>
      </c>
      <c r="F14" s="6" t="n">
        <v>0.02458926402661873</v>
      </c>
      <c r="G14" s="6" t="n">
        <v>0.1445892640266187</v>
      </c>
      <c r="H14" s="4" t="inlineStr">
        <is>
          <t>DERIVED from agreed timing; Conventional-&gt;Transitional timing is my proposal - CORRECT ME</t>
        </is>
      </c>
    </row>
    <row r="15">
      <c r="A15" s="4" t="inlineStr">
        <is>
          <t>Architecture</t>
        </is>
      </c>
      <c r="B15" s="4" t="inlineStr">
        <is>
          <t>EF</t>
        </is>
      </c>
      <c r="C15" s="4" t="inlineStr">
        <is>
          <t>Conventional</t>
        </is>
      </c>
      <c r="D15" s="5" t="n">
        <v>2025</v>
      </c>
      <c r="E15" s="6" t="n">
        <v>0</v>
      </c>
      <c r="F15" s="6" t="n">
        <v>0.0659893126563792</v>
      </c>
      <c r="G15" s="6" t="n">
        <v>0.1859893126563792</v>
      </c>
      <c r="H15" s="4" t="inlineStr">
        <is>
          <t>DERIVED from agreed timing; Conventional-&gt;Transitional timing is my proposal - CORRECT ME</t>
        </is>
      </c>
    </row>
    <row r="16">
      <c r="A16" s="4" t="inlineStr">
        <is>
          <t>Architecture</t>
        </is>
      </c>
      <c r="B16" s="4" t="inlineStr">
        <is>
          <t>EF</t>
        </is>
      </c>
      <c r="C16" s="4" t="inlineStr">
        <is>
          <t>Transitional</t>
        </is>
      </c>
      <c r="D16" s="5" t="n">
        <v>2025</v>
      </c>
      <c r="E16" s="6" t="n">
        <v>0.676991839844323</v>
      </c>
      <c r="F16" s="6" t="n">
        <v>0.796991839844323</v>
      </c>
      <c r="G16" s="6" t="n">
        <v>0.916991839844323</v>
      </c>
      <c r="H16" s="4" t="inlineStr">
        <is>
          <t>DERIVED from agreed timing; Conventional-&gt;Transitional timing is my proposal - CORRECT ME</t>
        </is>
      </c>
    </row>
    <row r="17">
      <c r="A17" s="4" t="inlineStr">
        <is>
          <t>Architecture</t>
        </is>
      </c>
      <c r="B17" s="4" t="inlineStr">
        <is>
          <t>EF</t>
        </is>
      </c>
      <c r="C17" s="4" t="inlineStr">
        <is>
          <t>SDV_Zonal</t>
        </is>
      </c>
      <c r="D17" s="5" t="n">
        <v>2025</v>
      </c>
      <c r="E17" s="6" t="n">
        <v>0.01701884749929788</v>
      </c>
      <c r="F17" s="6" t="n">
        <v>0.1370188474992979</v>
      </c>
      <c r="G17" s="6" t="n">
        <v>0.2570188474992979</v>
      </c>
      <c r="H17" s="4" t="inlineStr">
        <is>
          <t>DERIVED from agreed timing; Conventional-&gt;Transitional timing is my proposal - CORRECT ME</t>
        </is>
      </c>
    </row>
    <row r="18">
      <c r="A18" s="4" t="inlineStr">
        <is>
          <t>Architecture</t>
        </is>
      </c>
      <c r="B18" s="4" t="inlineStr">
        <is>
          <t>EF</t>
        </is>
      </c>
      <c r="C18" s="4" t="inlineStr">
        <is>
          <t>Conventional</t>
        </is>
      </c>
      <c r="D18" s="5" t="n">
        <v>2030</v>
      </c>
      <c r="E18" s="6" t="n">
        <v>0</v>
      </c>
      <c r="F18" s="6" t="n">
        <v>0.01595005193219412</v>
      </c>
      <c r="G18" s="6" t="n">
        <v>0.1359500519321941</v>
      </c>
      <c r="H18" s="4" t="inlineStr">
        <is>
          <t>DERIVED from agreed timing; Conventional-&gt;Transitional timing is my proposal - CORRECT ME</t>
        </is>
      </c>
    </row>
    <row r="19">
      <c r="A19" s="4" t="inlineStr">
        <is>
          <t>Architecture</t>
        </is>
      </c>
      <c r="B19" s="4" t="inlineStr">
        <is>
          <t>EF</t>
        </is>
      </c>
      <c r="C19" s="4" t="inlineStr">
        <is>
          <t>Transitional</t>
        </is>
      </c>
      <c r="D19" s="5" t="n">
        <v>2030</v>
      </c>
      <c r="E19" s="6" t="n">
        <v>0.3640499480678059</v>
      </c>
      <c r="F19" s="6" t="n">
        <v>0.4840499480678059</v>
      </c>
      <c r="G19" s="6" t="n">
        <v>0.6040499480678059</v>
      </c>
      <c r="H19" s="4" t="inlineStr">
        <is>
          <t>DERIVED from agreed timing; Conventional-&gt;Transitional timing is my proposal - CORRECT ME</t>
        </is>
      </c>
    </row>
    <row r="20">
      <c r="A20" s="4" t="inlineStr">
        <is>
          <t>Architecture</t>
        </is>
      </c>
      <c r="B20" s="4" t="inlineStr">
        <is>
          <t>EF</t>
        </is>
      </c>
      <c r="C20" s="4" t="inlineStr">
        <is>
          <t>SDV_Zonal</t>
        </is>
      </c>
      <c r="D20" s="5" t="n">
        <v>2030</v>
      </c>
      <c r="E20" s="6" t="n">
        <v>0.38</v>
      </c>
      <c r="F20" s="6" t="n">
        <v>0.5</v>
      </c>
      <c r="G20" s="6" t="n">
        <v>0.62</v>
      </c>
      <c r="H20" s="4" t="inlineStr">
        <is>
          <t>DERIVED from agreed timing; Conventional-&gt;Transitional timing is my proposal - CORRECT ME</t>
        </is>
      </c>
    </row>
    <row r="21">
      <c r="A21" s="4" t="inlineStr">
        <is>
          <t>Architecture</t>
        </is>
      </c>
      <c r="B21" s="4" t="inlineStr">
        <is>
          <t>EF</t>
        </is>
      </c>
      <c r="C21" s="4" t="inlineStr">
        <is>
          <t>Conventional</t>
        </is>
      </c>
      <c r="D21" s="5" t="n">
        <v>2035</v>
      </c>
      <c r="E21" s="6" t="n">
        <v>0</v>
      </c>
      <c r="F21" s="6" t="n">
        <v>0.003704727148547193</v>
      </c>
      <c r="G21" s="6" t="n">
        <v>0.1237047271485472</v>
      </c>
      <c r="H21" s="4" t="inlineStr">
        <is>
          <t>DERIVED from agreed timing; Conventional-&gt;Transitional timing is my proposal - CORRECT ME</t>
        </is>
      </c>
    </row>
    <row r="22">
      <c r="A22" s="4" t="inlineStr">
        <is>
          <t>Architecture</t>
        </is>
      </c>
      <c r="B22" s="4" t="inlineStr">
        <is>
          <t>EF</t>
        </is>
      </c>
      <c r="C22" s="4" t="inlineStr">
        <is>
          <t>Transitional</t>
        </is>
      </c>
      <c r="D22" s="5" t="n">
        <v>2035</v>
      </c>
      <c r="E22" s="6" t="n">
        <v>0.01331412035075075</v>
      </c>
      <c r="F22" s="6" t="n">
        <v>0.1333141203507507</v>
      </c>
      <c r="G22" s="6" t="n">
        <v>0.2533141203507507</v>
      </c>
      <c r="H22" s="4" t="inlineStr">
        <is>
          <t>DERIVED from agreed timing; Conventional-&gt;Transitional timing is my proposal - CORRECT ME</t>
        </is>
      </c>
    </row>
    <row r="23">
      <c r="A23" s="4" t="inlineStr">
        <is>
          <t>Architecture</t>
        </is>
      </c>
      <c r="B23" s="4" t="inlineStr">
        <is>
          <t>EF</t>
        </is>
      </c>
      <c r="C23" s="4" t="inlineStr">
        <is>
          <t>SDV_Zonal</t>
        </is>
      </c>
      <c r="D23" s="5" t="n">
        <v>2035</v>
      </c>
      <c r="E23" s="6" t="n">
        <v>0.7429811525007021</v>
      </c>
      <c r="F23" s="6" t="n">
        <v>0.8629811525007021</v>
      </c>
      <c r="G23" s="6" t="n">
        <v>0.9829811525007021</v>
      </c>
      <c r="H23" s="4" t="inlineStr">
        <is>
          <t>DERIVED from agreed timing; Conventional-&gt;Transitional timing is my proposal - CORRECT ME</t>
        </is>
      </c>
    </row>
    <row r="24">
      <c r="A24" s="4" t="inlineStr">
        <is>
          <t>Architecture</t>
        </is>
      </c>
      <c r="B24" s="4" t="inlineStr">
        <is>
          <t>EF</t>
        </is>
      </c>
      <c r="C24" s="4" t="inlineStr">
        <is>
          <t>Conventional</t>
        </is>
      </c>
      <c r="D24" s="5" t="n">
        <v>2040</v>
      </c>
      <c r="E24" s="6" t="n">
        <v>0</v>
      </c>
      <c r="F24" s="6" t="n">
        <v>0.0008523560072976055</v>
      </c>
      <c r="G24" s="6" t="n">
        <v>0.1208523560072976</v>
      </c>
      <c r="H24" s="4" t="inlineStr">
        <is>
          <t>DERIVED from agreed timing; Conventional-&gt;Transitional timing is my proposal - CORRECT ME</t>
        </is>
      </c>
    </row>
    <row r="25">
      <c r="A25" s="4" t="inlineStr">
        <is>
          <t>Architecture</t>
        </is>
      </c>
      <c r="B25" s="4" t="inlineStr">
        <is>
          <t>EF</t>
        </is>
      </c>
      <c r="C25" s="4" t="inlineStr">
        <is>
          <t>Transitional</t>
        </is>
      </c>
      <c r="D25" s="5" t="n">
        <v>2040</v>
      </c>
      <c r="E25" s="6" t="n">
        <v>0</v>
      </c>
      <c r="F25" s="6" t="n">
        <v>0.02373690801932105</v>
      </c>
      <c r="G25" s="6" t="n">
        <v>0.143736908019321</v>
      </c>
      <c r="H25" s="4" t="inlineStr">
        <is>
          <t>DERIVED from agreed timing; Conventional-&gt;Transitional timing is my proposal - CORRECT ME</t>
        </is>
      </c>
    </row>
    <row r="26">
      <c r="A26" s="4" t="inlineStr">
        <is>
          <t>Architecture</t>
        </is>
      </c>
      <c r="B26" s="4" t="inlineStr">
        <is>
          <t>EF</t>
        </is>
      </c>
      <c r="C26" s="4" t="inlineStr">
        <is>
          <t>SDV_Zonal</t>
        </is>
      </c>
      <c r="D26" s="5" t="n">
        <v>2040</v>
      </c>
      <c r="E26" s="6" t="n">
        <v>0.8554107359733814</v>
      </c>
      <c r="F26" s="6" t="n">
        <v>0.9754107359733813</v>
      </c>
      <c r="G26" s="6" t="n">
        <v>1</v>
      </c>
      <c r="H26" s="4" t="inlineStr">
        <is>
          <t>DERIVED from agreed timing; Conventional-&gt;Transitional timing is my proposal - CORRECT ME</t>
        </is>
      </c>
    </row>
    <row r="27">
      <c r="A27" s="4" t="inlineStr">
        <is>
          <t>Architecture</t>
        </is>
      </c>
      <c r="B27" s="4" t="inlineStr">
        <is>
          <t>EF</t>
        </is>
      </c>
      <c r="C27" s="4" t="inlineStr">
        <is>
          <t>Conventional</t>
        </is>
      </c>
      <c r="D27" s="5" t="n">
        <v>2045</v>
      </c>
      <c r="E27" s="6" t="n">
        <v>0</v>
      </c>
      <c r="F27" s="6" t="n">
        <v>0.0001956723989380293</v>
      </c>
      <c r="G27" s="6" t="n">
        <v>0.120195672398938</v>
      </c>
      <c r="H27" s="4" t="inlineStr">
        <is>
          <t>DERIVED from agreed timing; Conventional-&gt;Transitional timing is my proposal - CORRECT ME</t>
        </is>
      </c>
    </row>
    <row r="28">
      <c r="A28" s="4" t="inlineStr">
        <is>
          <t>Architecture</t>
        </is>
      </c>
      <c r="B28" s="4" t="inlineStr">
        <is>
          <t>EF</t>
        </is>
      </c>
      <c r="C28" s="4" t="inlineStr">
        <is>
          <t>Transitional</t>
        </is>
      </c>
      <c r="D28" s="5" t="n">
        <v>2045</v>
      </c>
      <c r="E28" s="6" t="n">
        <v>0</v>
      </c>
      <c r="F28" s="6" t="n">
        <v>0.003790923185899242</v>
      </c>
      <c r="G28" s="6" t="n">
        <v>0.1237909231858992</v>
      </c>
      <c r="H28" s="4" t="inlineStr">
        <is>
          <t>DERIVED from agreed timing; Conventional-&gt;Transitional timing is my proposal - CORRECT ME</t>
        </is>
      </c>
    </row>
    <row r="29">
      <c r="A29" s="4" t="inlineStr">
        <is>
          <t>Architecture</t>
        </is>
      </c>
      <c r="B29" s="4" t="inlineStr">
        <is>
          <t>EF</t>
        </is>
      </c>
      <c r="C29" s="4" t="inlineStr">
        <is>
          <t>SDV_Zonal</t>
        </is>
      </c>
      <c r="D29" s="5" t="n">
        <v>2045</v>
      </c>
      <c r="E29" s="6" t="n">
        <v>0.8760134044151627</v>
      </c>
      <c r="F29" s="6" t="n">
        <v>0.9960134044151627</v>
      </c>
      <c r="G29" s="6" t="n">
        <v>1</v>
      </c>
      <c r="H29" s="4" t="inlineStr">
        <is>
          <t>DERIVED from agreed timing; Conventional-&gt;Transitional timing is my proposal - CORRECT ME</t>
        </is>
      </c>
    </row>
    <row r="30">
      <c r="A30" s="4" t="inlineStr">
        <is>
          <t>Architecture</t>
        </is>
      </c>
      <c r="B30" s="4" t="inlineStr">
        <is>
          <t>EF</t>
        </is>
      </c>
      <c r="C30" s="4" t="inlineStr">
        <is>
          <t>Conventional</t>
        </is>
      </c>
      <c r="D30" s="5" t="n">
        <v>2050</v>
      </c>
      <c r="E30" s="6" t="n">
        <v>0</v>
      </c>
      <c r="F30" s="6" t="n">
        <v>4.489709667787611e-05</v>
      </c>
      <c r="G30" s="6" t="n">
        <v>0.1200448970966779</v>
      </c>
      <c r="H30" s="4" t="inlineStr">
        <is>
          <t>DERIVED from agreed timing; Conventional-&gt;Transitional timing is my proposal - CORRECT ME</t>
        </is>
      </c>
    </row>
    <row r="31">
      <c r="A31" s="4" t="inlineStr">
        <is>
          <t>Architecture</t>
        </is>
      </c>
      <c r="B31" s="4" t="inlineStr">
        <is>
          <t>EF</t>
        </is>
      </c>
      <c r="C31" s="4" t="inlineStr">
        <is>
          <t>Transitional</t>
        </is>
      </c>
      <c r="D31" s="5" t="n">
        <v>2050</v>
      </c>
      <c r="E31" s="6" t="n">
        <v>0</v>
      </c>
      <c r="F31" s="6" t="n">
        <v>0.0005901999465806052</v>
      </c>
      <c r="G31" s="6" t="n">
        <v>0.1205901999465806</v>
      </c>
      <c r="H31" s="4" t="inlineStr">
        <is>
          <t>DERIVED from agreed timing; Conventional-&gt;Transitional timing is my proposal - CORRECT ME</t>
        </is>
      </c>
    </row>
    <row r="32">
      <c r="A32" s="4" t="inlineStr">
        <is>
          <t>Architecture</t>
        </is>
      </c>
      <c r="B32" s="4" t="inlineStr">
        <is>
          <t>EF</t>
        </is>
      </c>
      <c r="C32" s="4" t="inlineStr">
        <is>
          <t>SDV_Zonal</t>
        </is>
      </c>
      <c r="D32" s="5" t="n">
        <v>2050</v>
      </c>
      <c r="E32" s="6" t="n">
        <v>0.8793649029567415</v>
      </c>
      <c r="F32" s="6" t="n">
        <v>0.9993649029567415</v>
      </c>
      <c r="G32" s="6" t="n">
        <v>1</v>
      </c>
      <c r="H32" s="4" t="inlineStr">
        <is>
          <t>DERIVED from agreed timing; Conventional-&gt;Transitional timing is my proposal - CORRECT ME</t>
        </is>
      </c>
    </row>
    <row r="33">
      <c r="A33" s="4" t="inlineStr">
        <is>
          <t>Architecture</t>
        </is>
      </c>
      <c r="B33" s="4" t="inlineStr">
        <is>
          <t>EF</t>
        </is>
      </c>
      <c r="C33" s="4" t="inlineStr">
        <is>
          <t>Conventional</t>
        </is>
      </c>
      <c r="D33" s="5" t="n">
        <v>2060</v>
      </c>
      <c r="E33" s="6" t="n">
        <v>0</v>
      </c>
      <c r="F33" s="6" t="n">
        <v>2.363105600866611e-06</v>
      </c>
      <c r="G33" s="6" t="n">
        <v>0.1200023631056009</v>
      </c>
      <c r="H33" s="4" t="inlineStr">
        <is>
          <t>DERIVED from agreed timing; Conventional-&gt;Transitional timing is my proposal - CORRECT ME</t>
        </is>
      </c>
    </row>
    <row r="34">
      <c r="A34" s="4" t="inlineStr">
        <is>
          <t>Architecture</t>
        </is>
      </c>
      <c r="B34" s="4" t="inlineStr">
        <is>
          <t>EF</t>
        </is>
      </c>
      <c r="C34" s="4" t="inlineStr">
        <is>
          <t>Transitional</t>
        </is>
      </c>
      <c r="D34" s="5" t="n">
        <v>2060</v>
      </c>
      <c r="E34" s="6" t="n">
        <v>0</v>
      </c>
      <c r="F34" s="6" t="n">
        <v>1.365706139500045e-05</v>
      </c>
      <c r="G34" s="6" t="n">
        <v>0.120013657061395</v>
      </c>
      <c r="H34" s="4" t="inlineStr">
        <is>
          <t>DERIVED from agreed timing; Conventional-&gt;Transitional timing is my proposal - CORRECT ME</t>
        </is>
      </c>
    </row>
    <row r="35">
      <c r="A35" s="4" t="inlineStr">
        <is>
          <t>Architecture</t>
        </is>
      </c>
      <c r="B35" s="4" t="inlineStr">
        <is>
          <t>EF</t>
        </is>
      </c>
      <c r="C35" s="4" t="inlineStr">
        <is>
          <t>SDV_Zonal</t>
        </is>
      </c>
      <c r="D35" s="5" t="n">
        <v>2060</v>
      </c>
      <c r="E35" s="6" t="n">
        <v>0.8799839798330041</v>
      </c>
      <c r="F35" s="6" t="n">
        <v>0.9999839798330041</v>
      </c>
      <c r="G35" s="6" t="n">
        <v>1</v>
      </c>
      <c r="H35" s="4" t="inlineStr">
        <is>
          <t>DERIVED from agreed timing; Conventional-&gt;Transitional timing is my proposal - CORRECT ME</t>
        </is>
      </c>
    </row>
    <row r="36">
      <c r="A36" s="4" t="inlineStr">
        <is>
          <t>Architecture</t>
        </is>
      </c>
      <c r="B36" s="4" t="inlineStr">
        <is>
          <t>EF</t>
        </is>
      </c>
      <c r="C36" s="4" t="inlineStr">
        <is>
          <t>Conventional</t>
        </is>
      </c>
      <c r="D36" s="5" t="n">
        <v>2070</v>
      </c>
      <c r="E36" s="6" t="n">
        <v>0</v>
      </c>
      <c r="F36" s="6" t="n">
        <v>1.243742574486006e-07</v>
      </c>
      <c r="G36" s="6" t="n">
        <v>0.1200001243742574</v>
      </c>
      <c r="H36" s="4" t="inlineStr">
        <is>
          <t>DERIVED from agreed timing; Conventional-&gt;Transitional timing is my proposal - CORRECT ME</t>
        </is>
      </c>
    </row>
    <row r="37">
      <c r="A37" s="4" t="inlineStr">
        <is>
          <t>Architecture</t>
        </is>
      </c>
      <c r="B37" s="4" t="inlineStr">
        <is>
          <t>EF</t>
        </is>
      </c>
      <c r="C37" s="4" t="inlineStr">
        <is>
          <t>Transitional</t>
        </is>
      </c>
      <c r="D37" s="5" t="n">
        <v>2070</v>
      </c>
      <c r="E37" s="6" t="n">
        <v>0</v>
      </c>
      <c r="F37" s="6" t="n">
        <v>2.794866529320927e-07</v>
      </c>
      <c r="G37" s="6" t="n">
        <v>0.1200002794866529</v>
      </c>
      <c r="H37" s="4" t="inlineStr">
        <is>
          <t>DERIVED from agreed timing; Conventional-&gt;Transitional timing is my proposal - CORRECT ME</t>
        </is>
      </c>
    </row>
    <row r="38">
      <c r="A38" s="4" t="inlineStr">
        <is>
          <t>Architecture</t>
        </is>
      </c>
      <c r="B38" s="4" t="inlineStr">
        <is>
          <t>EF</t>
        </is>
      </c>
      <c r="C38" s="4" t="inlineStr">
        <is>
          <t>SDV_Zonal</t>
        </is>
      </c>
      <c r="D38" s="5" t="n">
        <v>2070</v>
      </c>
      <c r="E38" s="6" t="n">
        <v>0.8799995961390896</v>
      </c>
      <c r="F38" s="6" t="n">
        <v>0.9999995961390896</v>
      </c>
      <c r="G38" s="6" t="n">
        <v>1</v>
      </c>
      <c r="H38" s="4" t="inlineStr">
        <is>
          <t>DERIVED from agreed timing; Conventional-&gt;Transitional timing is my proposal - CORRECT ME</t>
        </is>
      </c>
    </row>
    <row r="39">
      <c r="A39" s="4" t="inlineStr">
        <is>
          <t>Architecture</t>
        </is>
      </c>
      <c r="B39" s="4" t="inlineStr">
        <is>
          <t>CD</t>
        </is>
      </c>
      <c r="C39" s="4" t="inlineStr">
        <is>
          <t>Conventional</t>
        </is>
      </c>
      <c r="D39" s="5" t="n">
        <v>2010</v>
      </c>
      <c r="E39" s="6" t="n">
        <v>0.7748633569826218</v>
      </c>
      <c r="F39" s="6" t="n">
        <v>0.8948633569826218</v>
      </c>
      <c r="G39" s="6" t="n">
        <v>1</v>
      </c>
      <c r="H39" s="4" t="inlineStr">
        <is>
          <t>DERIVED from agreed timing; Conventional-&gt;Transitional timing is my proposal - CORRECT ME</t>
        </is>
      </c>
    </row>
    <row r="40">
      <c r="A40" s="4" t="inlineStr">
        <is>
          <t>Architecture</t>
        </is>
      </c>
      <c r="B40" s="4" t="inlineStr">
        <is>
          <t>CD</t>
        </is>
      </c>
      <c r="C40" s="4" t="inlineStr">
        <is>
          <t>Transitional</t>
        </is>
      </c>
      <c r="D40" s="5" t="n">
        <v>2010</v>
      </c>
      <c r="E40" s="6" t="n">
        <v>0</v>
      </c>
      <c r="F40" s="6" t="n">
        <v>0.1036017610808895</v>
      </c>
      <c r="G40" s="6" t="n">
        <v>0.2236017610808895</v>
      </c>
      <c r="H40" s="4" t="inlineStr">
        <is>
          <t>DERIVED from agreed timing; Conventional-&gt;Transitional timing is my proposal - CORRECT ME</t>
        </is>
      </c>
    </row>
    <row r="41">
      <c r="A41" s="4" t="inlineStr">
        <is>
          <t>Architecture</t>
        </is>
      </c>
      <c r="B41" s="4" t="inlineStr">
        <is>
          <t>CD</t>
        </is>
      </c>
      <c r="C41" s="4" t="inlineStr">
        <is>
          <t>SDV_Zonal</t>
        </is>
      </c>
      <c r="D41" s="5" t="n">
        <v>2010</v>
      </c>
      <c r="E41" s="6" t="n">
        <v>0</v>
      </c>
      <c r="F41" s="6" t="n">
        <v>0.001534881936488692</v>
      </c>
      <c r="G41" s="6" t="n">
        <v>0.1215348819364887</v>
      </c>
      <c r="H41" s="4" t="inlineStr">
        <is>
          <t>DERIVED from agreed timing; Conventional-&gt;Transitional timing is my proposal - CORRECT ME</t>
        </is>
      </c>
    </row>
    <row r="42">
      <c r="A42" s="4" t="inlineStr">
        <is>
          <t>Architecture</t>
        </is>
      </c>
      <c r="B42" s="4" t="inlineStr">
        <is>
          <t>CD</t>
        </is>
      </c>
      <c r="C42" s="4" t="inlineStr">
        <is>
          <t>Conventional</t>
        </is>
      </c>
      <c r="D42" s="5" t="n">
        <v>2015</v>
      </c>
      <c r="E42" s="6" t="n">
        <v>0.5706220004145696</v>
      </c>
      <c r="F42" s="6" t="n">
        <v>0.6906220004145696</v>
      </c>
      <c r="G42" s="6" t="n">
        <v>0.8106220004145696</v>
      </c>
      <c r="H42" s="4" t="inlineStr">
        <is>
          <t>DERIVED from agreed timing; Conventional-&gt;Transitional timing is my proposal - CORRECT ME</t>
        </is>
      </c>
    </row>
    <row r="43">
      <c r="A43" s="4" t="inlineStr">
        <is>
          <t>Architecture</t>
        </is>
      </c>
      <c r="B43" s="4" t="inlineStr">
        <is>
          <t>CD</t>
        </is>
      </c>
      <c r="C43" s="4" t="inlineStr">
        <is>
          <t>Transitional</t>
        </is>
      </c>
      <c r="D43" s="5" t="n">
        <v>2015</v>
      </c>
      <c r="E43" s="6" t="n">
        <v>0.182721919841754</v>
      </c>
      <c r="F43" s="6" t="n">
        <v>0.302721919841754</v>
      </c>
      <c r="G43" s="6" t="n">
        <v>0.4227219198417539</v>
      </c>
      <c r="H43" s="4" t="inlineStr">
        <is>
          <t>DERIVED from agreed timing; Conventional-&gt;Transitional timing is my proposal - CORRECT ME</t>
        </is>
      </c>
    </row>
    <row r="44">
      <c r="A44" s="4" t="inlineStr">
        <is>
          <t>Architecture</t>
        </is>
      </c>
      <c r="B44" s="4" t="inlineStr">
        <is>
          <t>CD</t>
        </is>
      </c>
      <c r="C44" s="4" t="inlineStr">
        <is>
          <t>SDV_Zonal</t>
        </is>
      </c>
      <c r="D44" s="5" t="n">
        <v>2015</v>
      </c>
      <c r="E44" s="6" t="n">
        <v>0</v>
      </c>
      <c r="F44" s="6" t="n">
        <v>0.006656079743676453</v>
      </c>
      <c r="G44" s="6" t="n">
        <v>0.1266560797436765</v>
      </c>
      <c r="H44" s="4" t="inlineStr">
        <is>
          <t>DERIVED from agreed timing; Conventional-&gt;Transitional timing is my proposal - CORRECT ME</t>
        </is>
      </c>
    </row>
    <row r="45">
      <c r="A45" s="4" t="inlineStr">
        <is>
          <t>Architecture</t>
        </is>
      </c>
      <c r="B45" s="4" t="inlineStr">
        <is>
          <t>CD</t>
        </is>
      </c>
      <c r="C45" s="4" t="inlineStr">
        <is>
          <t>Conventional</t>
        </is>
      </c>
      <c r="D45" s="5" t="n">
        <v>2020</v>
      </c>
      <c r="E45" s="6" t="n">
        <v>0.2492693602620579</v>
      </c>
      <c r="F45" s="6" t="n">
        <v>0.3692693602620579</v>
      </c>
      <c r="G45" s="6" t="n">
        <v>0.4892693602620579</v>
      </c>
      <c r="H45" s="4" t="inlineStr">
        <is>
          <t>DERIVED from agreed timing; Conventional-&gt;Transitional timing is my proposal - CORRECT ME</t>
        </is>
      </c>
    </row>
    <row r="46">
      <c r="A46" s="4" t="inlineStr">
        <is>
          <t>Architecture</t>
        </is>
      </c>
      <c r="B46" s="4" t="inlineStr">
        <is>
          <t>CD</t>
        </is>
      </c>
      <c r="C46" s="4" t="inlineStr">
        <is>
          <t>Transitional</t>
        </is>
      </c>
      <c r="D46" s="5" t="n">
        <v>2020</v>
      </c>
      <c r="E46" s="6" t="n">
        <v>0.4823519264830597</v>
      </c>
      <c r="F46" s="6" t="n">
        <v>0.6023519264830597</v>
      </c>
      <c r="G46" s="6" t="n">
        <v>0.7223519264830597</v>
      </c>
      <c r="H46" s="4" t="inlineStr">
        <is>
          <t>DERIVED from agreed timing; Conventional-&gt;Transitional timing is my proposal - CORRECT ME</t>
        </is>
      </c>
    </row>
    <row r="47">
      <c r="A47" s="4" t="inlineStr">
        <is>
          <t>Architecture</t>
        </is>
      </c>
      <c r="B47" s="4" t="inlineStr">
        <is>
          <t>CD</t>
        </is>
      </c>
      <c r="C47" s="4" t="inlineStr">
        <is>
          <t>SDV_Zonal</t>
        </is>
      </c>
      <c r="D47" s="5" t="n">
        <v>2020</v>
      </c>
      <c r="E47" s="6" t="n">
        <v>0</v>
      </c>
      <c r="F47" s="6" t="n">
        <v>0.02837871325488236</v>
      </c>
      <c r="G47" s="6" t="n">
        <v>0.1483787132548824</v>
      </c>
      <c r="H47" s="4" t="inlineStr">
        <is>
          <t>DERIVED from agreed timing; Conventional-&gt;Transitional timing is my proposal - CORRECT ME</t>
        </is>
      </c>
    </row>
    <row r="48">
      <c r="A48" s="4" t="inlineStr">
        <is>
          <t>Architecture</t>
        </is>
      </c>
      <c r="B48" s="4" t="inlineStr">
        <is>
          <t>CD</t>
        </is>
      </c>
      <c r="C48" s="4" t="inlineStr">
        <is>
          <t>Conventional</t>
        </is>
      </c>
      <c r="D48" s="5" t="n">
        <v>2025</v>
      </c>
      <c r="E48" s="6" t="n">
        <v>0.01311027054307135</v>
      </c>
      <c r="F48" s="6" t="n">
        <v>0.1331102705430713</v>
      </c>
      <c r="G48" s="6" t="n">
        <v>0.2531102705430713</v>
      </c>
      <c r="H48" s="4" t="inlineStr">
        <is>
          <t>DERIVED from agreed timing; Conventional-&gt;Transitional timing is my proposal - CORRECT ME</t>
        </is>
      </c>
    </row>
    <row r="49">
      <c r="A49" s="4" t="inlineStr">
        <is>
          <t>Architecture</t>
        </is>
      </c>
      <c r="B49" s="4" t="inlineStr">
        <is>
          <t>CD</t>
        </is>
      </c>
      <c r="C49" s="4" t="inlineStr">
        <is>
          <t>Transitional</t>
        </is>
      </c>
      <c r="D49" s="5" t="n">
        <v>2025</v>
      </c>
      <c r="E49" s="6" t="n">
        <v>0.6339548754241621</v>
      </c>
      <c r="F49" s="6" t="n">
        <v>0.7539548754241621</v>
      </c>
      <c r="G49" s="6" t="n">
        <v>0.8739548754241621</v>
      </c>
      <c r="H49" s="4" t="inlineStr">
        <is>
          <t>DERIVED from agreed timing; Conventional-&gt;Transitional timing is my proposal - CORRECT ME</t>
        </is>
      </c>
    </row>
    <row r="50">
      <c r="A50" s="4" t="inlineStr">
        <is>
          <t>Architecture</t>
        </is>
      </c>
      <c r="B50" s="4" t="inlineStr">
        <is>
          <t>CD</t>
        </is>
      </c>
      <c r="C50" s="4" t="inlineStr">
        <is>
          <t>SDV_Zonal</t>
        </is>
      </c>
      <c r="D50" s="5" t="n">
        <v>2025</v>
      </c>
      <c r="E50" s="6" t="n">
        <v>0</v>
      </c>
      <c r="F50" s="6" t="n">
        <v>0.1129348540327666</v>
      </c>
      <c r="G50" s="6" t="n">
        <v>0.2329348540327666</v>
      </c>
      <c r="H50" s="4" t="inlineStr">
        <is>
          <t>DERIVED from agreed timing; Conventional-&gt;Transitional timing is my proposal - CORRECT ME</t>
        </is>
      </c>
    </row>
    <row r="51">
      <c r="A51" s="4" t="inlineStr">
        <is>
          <t>Architecture</t>
        </is>
      </c>
      <c r="B51" s="4" t="inlineStr">
        <is>
          <t>CD</t>
        </is>
      </c>
      <c r="C51" s="4" t="inlineStr">
        <is>
          <t>Conventional</t>
        </is>
      </c>
      <c r="D51" s="5" t="n">
        <v>2030</v>
      </c>
      <c r="E51" s="6" t="n">
        <v>0</v>
      </c>
      <c r="F51" s="6" t="n">
        <v>0.03871234133773149</v>
      </c>
      <c r="G51" s="6" t="n">
        <v>0.1587123413377315</v>
      </c>
      <c r="H51" s="4" t="inlineStr">
        <is>
          <t>DERIVED from agreed timing; Conventional-&gt;Transitional timing is my proposal - CORRECT ME</t>
        </is>
      </c>
    </row>
    <row r="52">
      <c r="A52" s="4" t="inlineStr">
        <is>
          <t>Architecture</t>
        </is>
      </c>
      <c r="B52" s="4" t="inlineStr">
        <is>
          <t>CD</t>
        </is>
      </c>
      <c r="C52" s="4" t="inlineStr">
        <is>
          <t>Transitional</t>
        </is>
      </c>
      <c r="D52" s="5" t="n">
        <v>2030</v>
      </c>
      <c r="E52" s="6" t="n">
        <v>0.4843975724048665</v>
      </c>
      <c r="F52" s="6" t="n">
        <v>0.6043975724048665</v>
      </c>
      <c r="G52" s="6" t="n">
        <v>0.7243975724048665</v>
      </c>
      <c r="H52" s="4" t="inlineStr">
        <is>
          <t>DERIVED from agreed timing; Conventional-&gt;Transitional timing is my proposal - CORRECT ME</t>
        </is>
      </c>
    </row>
    <row r="53">
      <c r="A53" s="4" t="inlineStr">
        <is>
          <t>Architecture</t>
        </is>
      </c>
      <c r="B53" s="4" t="inlineStr">
        <is>
          <t>CD</t>
        </is>
      </c>
      <c r="C53" s="4" t="inlineStr">
        <is>
          <t>SDV_Zonal</t>
        </is>
      </c>
      <c r="D53" s="5" t="n">
        <v>2030</v>
      </c>
      <c r="E53" s="6" t="n">
        <v>0.236890086257402</v>
      </c>
      <c r="F53" s="6" t="n">
        <v>0.356890086257402</v>
      </c>
      <c r="G53" s="6" t="n">
        <v>0.476890086257402</v>
      </c>
      <c r="H53" s="4" t="inlineStr">
        <is>
          <t>DERIVED from agreed timing; Conventional-&gt;Transitional timing is my proposal - CORRECT ME</t>
        </is>
      </c>
    </row>
    <row r="54">
      <c r="A54" s="4" t="inlineStr">
        <is>
          <t>Architecture</t>
        </is>
      </c>
      <c r="B54" s="4" t="inlineStr">
        <is>
          <t>CD</t>
        </is>
      </c>
      <c r="C54" s="4" t="inlineStr">
        <is>
          <t>Conventional</t>
        </is>
      </c>
      <c r="D54" s="5" t="n">
        <v>2035</v>
      </c>
      <c r="E54" s="6" t="n">
        <v>0</v>
      </c>
      <c r="F54" s="6" t="n">
        <v>0.01045156893710975</v>
      </c>
      <c r="G54" s="6" t="n">
        <v>0.1304515689371097</v>
      </c>
      <c r="H54" s="4" t="inlineStr">
        <is>
          <t>DERIVED from agreed timing; Conventional-&gt;Transitional timing is my proposal - CORRECT ME</t>
        </is>
      </c>
    </row>
    <row r="55">
      <c r="A55" s="4" t="inlineStr">
        <is>
          <t>Architecture</t>
        </is>
      </c>
      <c r="B55" s="4" t="inlineStr">
        <is>
          <t>CD</t>
        </is>
      </c>
      <c r="C55" s="4" t="inlineStr">
        <is>
          <t>Transitional</t>
        </is>
      </c>
      <c r="D55" s="5" t="n">
        <v>2035</v>
      </c>
      <c r="E55" s="6" t="n">
        <v>0.1620362772174007</v>
      </c>
      <c r="F55" s="6" t="n">
        <v>0.2820362772174007</v>
      </c>
      <c r="G55" s="6" t="n">
        <v>0.4020362772174007</v>
      </c>
      <c r="H55" s="4" t="inlineStr">
        <is>
          <t>DERIVED from agreed timing; Conventional-&gt;Transitional timing is my proposal - CORRECT ME</t>
        </is>
      </c>
    </row>
    <row r="56">
      <c r="A56" s="4" t="inlineStr">
        <is>
          <t>Architecture</t>
        </is>
      </c>
      <c r="B56" s="4" t="inlineStr">
        <is>
          <t>CD</t>
        </is>
      </c>
      <c r="C56" s="4" t="inlineStr">
        <is>
          <t>SDV_Zonal</t>
        </is>
      </c>
      <c r="D56" s="5" t="n">
        <v>2035</v>
      </c>
      <c r="E56" s="6" t="n">
        <v>0.5875121538454896</v>
      </c>
      <c r="F56" s="6" t="n">
        <v>0.7075121538454896</v>
      </c>
      <c r="G56" s="6" t="n">
        <v>0.8275121538454896</v>
      </c>
      <c r="H56" s="4" t="inlineStr">
        <is>
          <t>DERIVED from agreed timing; Conventional-&gt;Transitional timing is my proposal - CORRECT ME</t>
        </is>
      </c>
    </row>
    <row r="57">
      <c r="A57" s="4" t="inlineStr">
        <is>
          <t>Architecture</t>
        </is>
      </c>
      <c r="B57" s="4" t="inlineStr">
        <is>
          <t>CD</t>
        </is>
      </c>
      <c r="C57" s="4" t="inlineStr">
        <is>
          <t>Conventional</t>
        </is>
      </c>
      <c r="D57" s="5" t="n">
        <v>2040</v>
      </c>
      <c r="E57" s="6" t="n">
        <v>0</v>
      </c>
      <c r="F57" s="6" t="n">
        <v>0.002762430939226457</v>
      </c>
      <c r="G57" s="6" t="n">
        <v>0.1227624309392265</v>
      </c>
      <c r="H57" s="4" t="inlineStr">
        <is>
          <t>DERIVED from agreed timing; Conventional-&gt;Transitional timing is my proposal - CORRECT ME</t>
        </is>
      </c>
    </row>
    <row r="58">
      <c r="A58" s="4" t="inlineStr">
        <is>
          <t>Architecture</t>
        </is>
      </c>
      <c r="B58" s="4" t="inlineStr">
        <is>
          <t>CD</t>
        </is>
      </c>
      <c r="C58" s="4" t="inlineStr">
        <is>
          <t>Transitional</t>
        </is>
      </c>
      <c r="D58" s="5" t="n">
        <v>2040</v>
      </c>
      <c r="E58" s="6" t="n">
        <v>0</v>
      </c>
      <c r="F58" s="6" t="n">
        <v>0.0838631141488656</v>
      </c>
      <c r="G58" s="6" t="n">
        <v>0.2038631141488656</v>
      </c>
      <c r="H58" s="4" t="inlineStr">
        <is>
          <t>DERIVED from agreed timing; Conventional-&gt;Transitional timing is my proposal - CORRECT ME</t>
        </is>
      </c>
    </row>
    <row r="59">
      <c r="A59" s="4" t="inlineStr">
        <is>
          <t>Architecture</t>
        </is>
      </c>
      <c r="B59" s="4" t="inlineStr">
        <is>
          <t>CD</t>
        </is>
      </c>
      <c r="C59" s="4" t="inlineStr">
        <is>
          <t>SDV_Zonal</t>
        </is>
      </c>
      <c r="D59" s="5" t="n">
        <v>2040</v>
      </c>
      <c r="E59" s="6" t="n">
        <v>0.7933744549119079</v>
      </c>
      <c r="F59" s="6" t="n">
        <v>0.9133744549119079</v>
      </c>
      <c r="G59" s="6" t="n">
        <v>1</v>
      </c>
      <c r="H59" s="4" t="inlineStr">
        <is>
          <t>DERIVED from agreed timing; Conventional-&gt;Transitional timing is my proposal - CORRECT ME</t>
        </is>
      </c>
    </row>
    <row r="60">
      <c r="A60" s="4" t="inlineStr">
        <is>
          <t>Architecture</t>
        </is>
      </c>
      <c r="B60" s="4" t="inlineStr">
        <is>
          <t>CD</t>
        </is>
      </c>
      <c r="C60" s="4" t="inlineStr">
        <is>
          <t>Conventional</t>
        </is>
      </c>
      <c r="D60" s="5" t="n">
        <v>2045</v>
      </c>
      <c r="E60" s="6" t="n">
        <v>0</v>
      </c>
      <c r="F60" s="6" t="n">
        <v>0.0007259818394447226</v>
      </c>
      <c r="G60" s="6" t="n">
        <v>0.1207259818394447</v>
      </c>
      <c r="H60" s="4" t="inlineStr">
        <is>
          <t>DERIVED from agreed timing; Conventional-&gt;Transitional timing is my proposal - CORRECT ME</t>
        </is>
      </c>
    </row>
    <row r="61">
      <c r="A61" s="4" t="inlineStr">
        <is>
          <t>Architecture</t>
        </is>
      </c>
      <c r="B61" s="4" t="inlineStr">
        <is>
          <t>CD</t>
        </is>
      </c>
      <c r="C61" s="4" t="inlineStr">
        <is>
          <t>Transitional</t>
        </is>
      </c>
      <c r="D61" s="5" t="n">
        <v>2045</v>
      </c>
      <c r="E61" s="6" t="n">
        <v>0</v>
      </c>
      <c r="F61" s="6" t="n">
        <v>0.0205687533277874</v>
      </c>
      <c r="G61" s="6" t="n">
        <v>0.1405687533277874</v>
      </c>
      <c r="H61" s="4" t="inlineStr">
        <is>
          <t>DERIVED from agreed timing; Conventional-&gt;Transitional timing is my proposal - CORRECT ME</t>
        </is>
      </c>
    </row>
    <row r="62">
      <c r="A62" s="4" t="inlineStr">
        <is>
          <t>Architecture</t>
        </is>
      </c>
      <c r="B62" s="4" t="inlineStr">
        <is>
          <t>CD</t>
        </is>
      </c>
      <c r="C62" s="4" t="inlineStr">
        <is>
          <t>SDV_Zonal</t>
        </is>
      </c>
      <c r="D62" s="5" t="n">
        <v>2045</v>
      </c>
      <c r="E62" s="6" t="n">
        <v>0.8587052648327679</v>
      </c>
      <c r="F62" s="6" t="n">
        <v>0.9787052648327679</v>
      </c>
      <c r="G62" s="6" t="n">
        <v>1</v>
      </c>
      <c r="H62" s="4" t="inlineStr">
        <is>
          <t>DERIVED from agreed timing; Conventional-&gt;Transitional timing is my proposal - CORRECT ME</t>
        </is>
      </c>
    </row>
    <row r="63">
      <c r="A63" s="4" t="inlineStr">
        <is>
          <t>Architecture</t>
        </is>
      </c>
      <c r="B63" s="4" t="inlineStr">
        <is>
          <t>CD</t>
        </is>
      </c>
      <c r="C63" s="4" t="inlineStr">
        <is>
          <t>Conventional</t>
        </is>
      </c>
      <c r="D63" s="5" t="n">
        <v>2050</v>
      </c>
      <c r="E63" s="6" t="n">
        <v>0</v>
      </c>
      <c r="F63" s="6" t="n">
        <v>0.0001905051766042387</v>
      </c>
      <c r="G63" s="6" t="n">
        <v>0.1201905051766042</v>
      </c>
      <c r="H63" s="4" t="inlineStr">
        <is>
          <t>DERIVED from agreed timing; Conventional-&gt;Transitional timing is my proposal - CORRECT ME</t>
        </is>
      </c>
    </row>
    <row r="64">
      <c r="A64" s="4" t="inlineStr">
        <is>
          <t>Architecture</t>
        </is>
      </c>
      <c r="B64" s="4" t="inlineStr">
        <is>
          <t>CD</t>
        </is>
      </c>
      <c r="C64" s="4" t="inlineStr">
        <is>
          <t>Transitional</t>
        </is>
      </c>
      <c r="D64" s="5" t="n">
        <v>2050</v>
      </c>
      <c r="E64" s="6" t="n">
        <v>0</v>
      </c>
      <c r="F64" s="6" t="n">
        <v>0.004776345091920153</v>
      </c>
      <c r="G64" s="6" t="n">
        <v>0.1247763450919201</v>
      </c>
      <c r="H64" s="4" t="inlineStr">
        <is>
          <t>DERIVED from agreed timing; Conventional-&gt;Transitional timing is my proposal - CORRECT ME</t>
        </is>
      </c>
    </row>
    <row r="65">
      <c r="A65" s="4" t="inlineStr">
        <is>
          <t>Architecture</t>
        </is>
      </c>
      <c r="B65" s="4" t="inlineStr">
        <is>
          <t>CD</t>
        </is>
      </c>
      <c r="C65" s="4" t="inlineStr">
        <is>
          <t>SDV_Zonal</t>
        </is>
      </c>
      <c r="D65" s="5" t="n">
        <v>2050</v>
      </c>
      <c r="E65" s="6" t="n">
        <v>0.8750331497314756</v>
      </c>
      <c r="F65" s="6" t="n">
        <v>0.9950331497314756</v>
      </c>
      <c r="G65" s="6" t="n">
        <v>1</v>
      </c>
      <c r="H65" s="4" t="inlineStr">
        <is>
          <t>DERIVED from agreed timing; Conventional-&gt;Transitional timing is my proposal - CORRECT ME</t>
        </is>
      </c>
    </row>
    <row r="66">
      <c r="A66" s="4" t="inlineStr">
        <is>
          <t>Architecture</t>
        </is>
      </c>
      <c r="B66" s="4" t="inlineStr">
        <is>
          <t>CD</t>
        </is>
      </c>
      <c r="C66" s="4" t="inlineStr">
        <is>
          <t>Conventional</t>
        </is>
      </c>
      <c r="D66" s="5" t="n">
        <v>2060</v>
      </c>
      <c r="E66" s="6" t="n">
        <v>0</v>
      </c>
      <c r="F66" s="6" t="n">
        <v>1.310631370832205e-05</v>
      </c>
      <c r="G66" s="6" t="n">
        <v>0.1200131063137083</v>
      </c>
      <c r="H66" s="4" t="inlineStr">
        <is>
          <t>DERIVED from agreed timing; Conventional-&gt;Transitional timing is my proposal - CORRECT ME</t>
        </is>
      </c>
    </row>
    <row r="67">
      <c r="A67" s="4" t="inlineStr">
        <is>
          <t>Architecture</t>
        </is>
      </c>
      <c r="B67" s="4" t="inlineStr">
        <is>
          <t>CD</t>
        </is>
      </c>
      <c r="C67" s="4" t="inlineStr">
        <is>
          <t>Transitional</t>
        </is>
      </c>
      <c r="D67" s="5" t="n">
        <v>2060</v>
      </c>
      <c r="E67" s="6" t="n">
        <v>0</v>
      </c>
      <c r="F67" s="6" t="n">
        <v>0.0002495427369054726</v>
      </c>
      <c r="G67" s="6" t="n">
        <v>0.1202495427369055</v>
      </c>
      <c r="H67" s="4" t="inlineStr">
        <is>
          <t>DERIVED from agreed timing; Conventional-&gt;Transitional timing is my proposal - CORRECT ME</t>
        </is>
      </c>
    </row>
    <row r="68">
      <c r="A68" s="4" t="inlineStr">
        <is>
          <t>Architecture</t>
        </is>
      </c>
      <c r="B68" s="4" t="inlineStr">
        <is>
          <t>CD</t>
        </is>
      </c>
      <c r="C68" s="4" t="inlineStr">
        <is>
          <t>SDV_Zonal</t>
        </is>
      </c>
      <c r="D68" s="5" t="n">
        <v>2060</v>
      </c>
      <c r="E68" s="6" t="n">
        <v>0.8797373509493862</v>
      </c>
      <c r="F68" s="6" t="n">
        <v>0.9997373509493862</v>
      </c>
      <c r="G68" s="6" t="n">
        <v>1</v>
      </c>
      <c r="H68" s="4" t="inlineStr">
        <is>
          <t>DERIVED from agreed timing; Conventional-&gt;Transitional timing is my proposal - CORRECT ME</t>
        </is>
      </c>
    </row>
    <row r="69">
      <c r="A69" s="4" t="inlineStr">
        <is>
          <t>Architecture</t>
        </is>
      </c>
      <c r="B69" s="4" t="inlineStr">
        <is>
          <t>CD</t>
        </is>
      </c>
      <c r="C69" s="4" t="inlineStr">
        <is>
          <t>Conventional</t>
        </is>
      </c>
      <c r="D69" s="5" t="n">
        <v>2070</v>
      </c>
      <c r="E69" s="6" t="n">
        <v>0</v>
      </c>
      <c r="F69" s="6" t="n">
        <v>9.015349874408329e-07</v>
      </c>
      <c r="G69" s="6" t="n">
        <v>0.1200009015349874</v>
      </c>
      <c r="H69" s="4" t="inlineStr">
        <is>
          <t>DERIVED from agreed timing; Conventional-&gt;Transitional timing is my proposal - CORRECT ME</t>
        </is>
      </c>
    </row>
    <row r="70">
      <c r="A70" s="4" t="inlineStr">
        <is>
          <t>Architecture</t>
        </is>
      </c>
      <c r="B70" s="4" t="inlineStr">
        <is>
          <t>CD</t>
        </is>
      </c>
      <c r="C70" s="4" t="inlineStr">
        <is>
          <t>Transitional</t>
        </is>
      </c>
      <c r="D70" s="5" t="n">
        <v>2070</v>
      </c>
      <c r="E70" s="6" t="n">
        <v>0</v>
      </c>
      <c r="F70" s="6" t="n">
        <v>1.292553978304856e-05</v>
      </c>
      <c r="G70" s="6" t="n">
        <v>0.120012925539783</v>
      </c>
      <c r="H70" s="4" t="inlineStr">
        <is>
          <t>DERIVED from agreed timing; Conventional-&gt;Transitional timing is my proposal - CORRECT ME</t>
        </is>
      </c>
    </row>
    <row r="71">
      <c r="A71" s="4" t="inlineStr">
        <is>
          <t>Architecture</t>
        </is>
      </c>
      <c r="B71" s="4" t="inlineStr">
        <is>
          <t>CD</t>
        </is>
      </c>
      <c r="C71" s="4" t="inlineStr">
        <is>
          <t>SDV_Zonal</t>
        </is>
      </c>
      <c r="D71" s="5" t="n">
        <v>2070</v>
      </c>
      <c r="E71" s="6" t="n">
        <v>0.8799861729252295</v>
      </c>
      <c r="F71" s="6" t="n">
        <v>0.9999861729252295</v>
      </c>
      <c r="G71" s="6" t="n">
        <v>1</v>
      </c>
      <c r="H71" s="4" t="inlineStr">
        <is>
          <t>DERIVED from agreed timing; Conventional-&gt;Transitional timing is my proposal - CORRECT ME</t>
        </is>
      </c>
    </row>
    <row r="72">
      <c r="A72" s="4" t="inlineStr">
        <is>
          <t>Architecture</t>
        </is>
      </c>
      <c r="B72" s="4" t="inlineStr">
        <is>
          <t>AB</t>
        </is>
      </c>
      <c r="C72" s="4" t="inlineStr">
        <is>
          <t>Conventional</t>
        </is>
      </c>
      <c r="D72" s="5" t="n">
        <v>2010</v>
      </c>
      <c r="E72" s="6" t="n">
        <v>0.8008315419568237</v>
      </c>
      <c r="F72" s="6" t="n">
        <v>0.9208315419568237</v>
      </c>
      <c r="G72" s="6" t="n">
        <v>1</v>
      </c>
      <c r="H72" s="4" t="inlineStr">
        <is>
          <t>DERIVED from agreed timing; Conventional-&gt;Transitional timing is my proposal - CORRECT ME</t>
        </is>
      </c>
    </row>
    <row r="73">
      <c r="A73" s="4" t="inlineStr">
        <is>
          <t>Architecture</t>
        </is>
      </c>
      <c r="B73" s="4" t="inlineStr">
        <is>
          <t>AB</t>
        </is>
      </c>
      <c r="C73" s="4" t="inlineStr">
        <is>
          <t>Transitional</t>
        </is>
      </c>
      <c r="D73" s="5" t="n">
        <v>2010</v>
      </c>
      <c r="E73" s="6" t="n">
        <v>0</v>
      </c>
      <c r="F73" s="6" t="n">
        <v>0.07496754581169626</v>
      </c>
      <c r="G73" s="6" t="n">
        <v>0.1949675458116963</v>
      </c>
      <c r="H73" s="4" t="inlineStr">
        <is>
          <t>DERIVED from agreed timing; Conventional-&gt;Transitional timing is my proposal - CORRECT ME</t>
        </is>
      </c>
    </row>
    <row r="74">
      <c r="A74" s="4" t="inlineStr">
        <is>
          <t>Architecture</t>
        </is>
      </c>
      <c r="B74" s="4" t="inlineStr">
        <is>
          <t>AB</t>
        </is>
      </c>
      <c r="C74" s="4" t="inlineStr">
        <is>
          <t>SDV_Zonal</t>
        </is>
      </c>
      <c r="D74" s="5" t="n">
        <v>2010</v>
      </c>
      <c r="E74" s="6" t="n">
        <v>0</v>
      </c>
      <c r="F74" s="6" t="n">
        <v>0.004200912231480015</v>
      </c>
      <c r="G74" s="6" t="n">
        <v>0.12420091223148</v>
      </c>
      <c r="H74" s="4" t="inlineStr">
        <is>
          <t>DERIVED from agreed timing; Conventional-&gt;Transitional timing is my proposal - CORRECT ME</t>
        </is>
      </c>
    </row>
    <row r="75">
      <c r="A75" s="4" t="inlineStr">
        <is>
          <t>Architecture</t>
        </is>
      </c>
      <c r="B75" s="4" t="inlineStr">
        <is>
          <t>AB</t>
        </is>
      </c>
      <c r="C75" s="4" t="inlineStr">
        <is>
          <t>Conventional</t>
        </is>
      </c>
      <c r="D75" s="5" t="n">
        <v>2015</v>
      </c>
      <c r="E75" s="6" t="n">
        <v>0.6532667005356617</v>
      </c>
      <c r="F75" s="6" t="n">
        <v>0.7732667005356617</v>
      </c>
      <c r="G75" s="6" t="n">
        <v>0.8932667005356617</v>
      </c>
      <c r="H75" s="4" t="inlineStr">
        <is>
          <t>DERIVED from agreed timing; Conventional-&gt;Transitional timing is my proposal - CORRECT ME</t>
        </is>
      </c>
    </row>
    <row r="76">
      <c r="A76" s="4" t="inlineStr">
        <is>
          <t>Architecture</t>
        </is>
      </c>
      <c r="B76" s="4" t="inlineStr">
        <is>
          <t>AB</t>
        </is>
      </c>
      <c r="C76" s="4" t="inlineStr">
        <is>
          <t>Transitional</t>
        </is>
      </c>
      <c r="D76" s="5" t="n">
        <v>2015</v>
      </c>
      <c r="E76" s="6" t="n">
        <v>0.09480284161550875</v>
      </c>
      <c r="F76" s="6" t="n">
        <v>0.2148028416155087</v>
      </c>
      <c r="G76" s="6" t="n">
        <v>0.3348028416155088</v>
      </c>
      <c r="H76" s="4" t="inlineStr">
        <is>
          <t>DERIVED from agreed timing; Conventional-&gt;Transitional timing is my proposal - CORRECT ME</t>
        </is>
      </c>
    </row>
    <row r="77">
      <c r="A77" s="4" t="inlineStr">
        <is>
          <t>Architecture</t>
        </is>
      </c>
      <c r="B77" s="4" t="inlineStr">
        <is>
          <t>AB</t>
        </is>
      </c>
      <c r="C77" s="4" t="inlineStr">
        <is>
          <t>SDV_Zonal</t>
        </is>
      </c>
      <c r="D77" s="5" t="n">
        <v>2015</v>
      </c>
      <c r="E77" s="6" t="n">
        <v>0</v>
      </c>
      <c r="F77" s="6" t="n">
        <v>0.01193045784882952</v>
      </c>
      <c r="G77" s="6" t="n">
        <v>0.1319304578488295</v>
      </c>
      <c r="H77" s="4" t="inlineStr">
        <is>
          <t>DERIVED from agreed timing; Conventional-&gt;Transitional timing is my proposal - CORRECT ME</t>
        </is>
      </c>
    </row>
    <row r="78">
      <c r="A78" s="4" t="inlineStr">
        <is>
          <t>Architecture</t>
        </is>
      </c>
      <c r="B78" s="4" t="inlineStr">
        <is>
          <t>AB</t>
        </is>
      </c>
      <c r="C78" s="4" t="inlineStr">
        <is>
          <t>Conventional</t>
        </is>
      </c>
      <c r="D78" s="5" t="n">
        <v>2020</v>
      </c>
      <c r="E78" s="6" t="n">
        <v>0.38</v>
      </c>
      <c r="F78" s="6" t="n">
        <v>0.5</v>
      </c>
      <c r="G78" s="6" t="n">
        <v>0.62</v>
      </c>
      <c r="H78" s="4" t="inlineStr">
        <is>
          <t>DERIVED from agreed timing; Conventional-&gt;Transitional timing is my proposal - CORRECT ME</t>
        </is>
      </c>
    </row>
    <row r="79">
      <c r="A79" s="4" t="inlineStr">
        <is>
          <t>Architecture</t>
        </is>
      </c>
      <c r="B79" s="4" t="inlineStr">
        <is>
          <t>AB</t>
        </is>
      </c>
      <c r="C79" s="4" t="inlineStr">
        <is>
          <t>Transitional</t>
        </is>
      </c>
      <c r="D79" s="5" t="n">
        <v>2020</v>
      </c>
      <c r="E79" s="6" t="n">
        <v>0.3465949716436223</v>
      </c>
      <c r="F79" s="6" t="n">
        <v>0.4665949716436223</v>
      </c>
      <c r="G79" s="6" t="n">
        <v>0.5865949716436223</v>
      </c>
      <c r="H79" s="4" t="inlineStr">
        <is>
          <t>DERIVED from agreed timing; Conventional-&gt;Transitional timing is my proposal - CORRECT ME</t>
        </is>
      </c>
    </row>
    <row r="80">
      <c r="A80" s="4" t="inlineStr">
        <is>
          <t>Architecture</t>
        </is>
      </c>
      <c r="B80" s="4" t="inlineStr">
        <is>
          <t>AB</t>
        </is>
      </c>
      <c r="C80" s="4" t="inlineStr">
        <is>
          <t>SDV_Zonal</t>
        </is>
      </c>
      <c r="D80" s="5" t="n">
        <v>2020</v>
      </c>
      <c r="E80" s="6" t="n">
        <v>0</v>
      </c>
      <c r="F80" s="6" t="n">
        <v>0.03340502835637772</v>
      </c>
      <c r="G80" s="6" t="n">
        <v>0.1534050283563777</v>
      </c>
      <c r="H80" s="4" t="inlineStr">
        <is>
          <t>DERIVED from agreed timing; Conventional-&gt;Transitional timing is my proposal - CORRECT ME</t>
        </is>
      </c>
    </row>
    <row r="81">
      <c r="A81" s="4" t="inlineStr">
        <is>
          <t>Architecture</t>
        </is>
      </c>
      <c r="B81" s="4" t="inlineStr">
        <is>
          <t>AB</t>
        </is>
      </c>
      <c r="C81" s="4" t="inlineStr">
        <is>
          <t>Conventional</t>
        </is>
      </c>
      <c r="D81" s="5" t="n">
        <v>2025</v>
      </c>
      <c r="E81" s="6" t="n">
        <v>0.1067332994643383</v>
      </c>
      <c r="F81" s="6" t="n">
        <v>0.2267332994643383</v>
      </c>
      <c r="G81" s="6" t="n">
        <v>0.3467332994643383</v>
      </c>
      <c r="H81" s="4" t="inlineStr">
        <is>
          <t>DERIVED from agreed timing; Conventional-&gt;Transitional timing is my proposal - CORRECT ME</t>
        </is>
      </c>
    </row>
    <row r="82">
      <c r="A82" s="4" t="inlineStr">
        <is>
          <t>Architecture</t>
        </is>
      </c>
      <c r="B82" s="4" t="inlineStr">
        <is>
          <t>AB</t>
        </is>
      </c>
      <c r="C82" s="4" t="inlineStr">
        <is>
          <t>Transitional</t>
        </is>
      </c>
      <c r="D82" s="5" t="n">
        <v>2025</v>
      </c>
      <c r="E82" s="6" t="n">
        <v>0.563254647417919</v>
      </c>
      <c r="F82" s="6" t="n">
        <v>0.683254647417919</v>
      </c>
      <c r="G82" s="6" t="n">
        <v>0.803254647417919</v>
      </c>
      <c r="H82" s="4" t="inlineStr">
        <is>
          <t>DERIVED from agreed timing; Conventional-&gt;Transitional timing is my proposal - CORRECT ME</t>
        </is>
      </c>
    </row>
    <row r="83">
      <c r="A83" s="4" t="inlineStr">
        <is>
          <t>Architecture</t>
        </is>
      </c>
      <c r="B83" s="4" t="inlineStr">
        <is>
          <t>AB</t>
        </is>
      </c>
      <c r="C83" s="4" t="inlineStr">
        <is>
          <t>SDV_Zonal</t>
        </is>
      </c>
      <c r="D83" s="5" t="n">
        <v>2025</v>
      </c>
      <c r="E83" s="6" t="n">
        <v>0</v>
      </c>
      <c r="F83" s="6" t="n">
        <v>0.09001205311774277</v>
      </c>
      <c r="G83" s="6" t="n">
        <v>0.2100120531177428</v>
      </c>
      <c r="H83" s="4" t="inlineStr">
        <is>
          <t>DERIVED from agreed timing; Conventional-&gt;Transitional timing is my proposal - CORRECT ME</t>
        </is>
      </c>
    </row>
    <row r="84">
      <c r="A84" s="4" t="inlineStr">
        <is>
          <t>Architecture</t>
        </is>
      </c>
      <c r="B84" s="4" t="inlineStr">
        <is>
          <t>AB</t>
        </is>
      </c>
      <c r="C84" s="4" t="inlineStr">
        <is>
          <t>Conventional</t>
        </is>
      </c>
      <c r="D84" s="5" t="n">
        <v>2030</v>
      </c>
      <c r="E84" s="6" t="n">
        <v>0</v>
      </c>
      <c r="F84" s="6" t="n">
        <v>0.07916845804317629</v>
      </c>
      <c r="G84" s="6" t="n">
        <v>0.1991684580431763</v>
      </c>
      <c r="H84" s="4" t="inlineStr">
        <is>
          <t>DERIVED from agreed timing; Conventional-&gt;Transitional timing is my proposal - CORRECT ME</t>
        </is>
      </c>
    </row>
    <row r="85">
      <c r="A85" s="4" t="inlineStr">
        <is>
          <t>Architecture</t>
        </is>
      </c>
      <c r="B85" s="4" t="inlineStr">
        <is>
          <t>AB</t>
        </is>
      </c>
      <c r="C85" s="4" t="inlineStr">
        <is>
          <t>Transitional</t>
        </is>
      </c>
      <c r="D85" s="5" t="n">
        <v>2030</v>
      </c>
      <c r="E85" s="6" t="n">
        <v>0.5801849668371629</v>
      </c>
      <c r="F85" s="6" t="n">
        <v>0.7001849668371629</v>
      </c>
      <c r="G85" s="6" t="n">
        <v>0.8201849668371629</v>
      </c>
      <c r="H85" s="4" t="inlineStr">
        <is>
          <t>DERIVED from agreed timing; Conventional-&gt;Transitional timing is my proposal - CORRECT ME</t>
        </is>
      </c>
    </row>
    <row r="86">
      <c r="A86" s="4" t="inlineStr">
        <is>
          <t>Architecture</t>
        </is>
      </c>
      <c r="B86" s="4" t="inlineStr">
        <is>
          <t>AB</t>
        </is>
      </c>
      <c r="C86" s="4" t="inlineStr">
        <is>
          <t>SDV_Zonal</t>
        </is>
      </c>
      <c r="D86" s="5" t="n">
        <v>2030</v>
      </c>
      <c r="E86" s="6" t="n">
        <v>0.1006465751196608</v>
      </c>
      <c r="F86" s="6" t="n">
        <v>0.2206465751196608</v>
      </c>
      <c r="G86" s="6" t="n">
        <v>0.3406465751196608</v>
      </c>
      <c r="H86" s="4" t="inlineStr">
        <is>
          <t>DERIVED from agreed timing; Conventional-&gt;Transitional timing is my proposal - CORRECT ME</t>
        </is>
      </c>
    </row>
    <row r="87">
      <c r="A87" s="4" t="inlineStr">
        <is>
          <t>Architecture</t>
        </is>
      </c>
      <c r="B87" s="4" t="inlineStr">
        <is>
          <t>AB</t>
        </is>
      </c>
      <c r="C87" s="4" t="inlineStr">
        <is>
          <t>Conventional</t>
        </is>
      </c>
      <c r="D87" s="5" t="n">
        <v>2035</v>
      </c>
      <c r="E87" s="6" t="n">
        <v>0</v>
      </c>
      <c r="F87" s="6" t="n">
        <v>0.02458926402661865</v>
      </c>
      <c r="G87" s="6" t="n">
        <v>0.1445892640266186</v>
      </c>
      <c r="H87" s="4" t="inlineStr">
        <is>
          <t>DERIVED from agreed timing; Conventional-&gt;Transitional timing is my proposal - CORRECT ME</t>
        </is>
      </c>
    </row>
    <row r="88">
      <c r="A88" s="4" t="inlineStr">
        <is>
          <t>Architecture</t>
        </is>
      </c>
      <c r="B88" s="4" t="inlineStr">
        <is>
          <t>AB</t>
        </is>
      </c>
      <c r="C88" s="4" t="inlineStr">
        <is>
          <t>Transitional</t>
        </is>
      </c>
      <c r="D88" s="5" t="n">
        <v>2035</v>
      </c>
      <c r="E88" s="6" t="n">
        <v>0.4077970441913201</v>
      </c>
      <c r="F88" s="6" t="n">
        <v>0.5277970441913201</v>
      </c>
      <c r="G88" s="6" t="n">
        <v>0.6477970441913201</v>
      </c>
      <c r="H88" s="4" t="inlineStr">
        <is>
          <t>DERIVED from agreed timing; Conventional-&gt;Transitional timing is my proposal - CORRECT ME</t>
        </is>
      </c>
    </row>
    <row r="89">
      <c r="A89" s="4" t="inlineStr">
        <is>
          <t>Architecture</t>
        </is>
      </c>
      <c r="B89" s="4" t="inlineStr">
        <is>
          <t>AB</t>
        </is>
      </c>
      <c r="C89" s="4" t="inlineStr">
        <is>
          <t>SDV_Zonal</t>
        </is>
      </c>
      <c r="D89" s="5" t="n">
        <v>2035</v>
      </c>
      <c r="E89" s="6" t="n">
        <v>0.3276136917820612</v>
      </c>
      <c r="F89" s="6" t="n">
        <v>0.4476136917820612</v>
      </c>
      <c r="G89" s="6" t="n">
        <v>0.5676136917820612</v>
      </c>
      <c r="H89" s="4" t="inlineStr">
        <is>
          <t>DERIVED from agreed timing; Conventional-&gt;Transitional timing is my proposal - CORRECT ME</t>
        </is>
      </c>
    </row>
    <row r="90">
      <c r="A90" s="4" t="inlineStr">
        <is>
          <t>Architecture</t>
        </is>
      </c>
      <c r="B90" s="4" t="inlineStr">
        <is>
          <t>AB</t>
        </is>
      </c>
      <c r="C90" s="4" t="inlineStr">
        <is>
          <t>Conventional</t>
        </is>
      </c>
      <c r="D90" s="5" t="n">
        <v>2040</v>
      </c>
      <c r="E90" s="6" t="n">
        <v>0</v>
      </c>
      <c r="F90" s="6" t="n">
        <v>0.00733745807066144</v>
      </c>
      <c r="G90" s="6" t="n">
        <v>0.1273374580706614</v>
      </c>
      <c r="H90" s="4" t="inlineStr">
        <is>
          <t>DERIVED from agreed timing; Conventional-&gt;Transitional timing is my proposal - CORRECT ME</t>
        </is>
      </c>
    </row>
    <row r="91">
      <c r="A91" s="4" t="inlineStr">
        <is>
          <t>Architecture</t>
        </is>
      </c>
      <c r="B91" s="4" t="inlineStr">
        <is>
          <t>AB</t>
        </is>
      </c>
      <c r="C91" s="4" t="inlineStr">
        <is>
          <t>Transitional</t>
        </is>
      </c>
      <c r="D91" s="5" t="n">
        <v>2040</v>
      </c>
      <c r="E91" s="6" t="n">
        <v>0.1739302788042035</v>
      </c>
      <c r="F91" s="6" t="n">
        <v>0.2939302788042035</v>
      </c>
      <c r="G91" s="6" t="n">
        <v>0.4139302788042035</v>
      </c>
      <c r="H91" s="4" t="inlineStr">
        <is>
          <t>DERIVED from agreed timing; Conventional-&gt;Transitional timing is my proposal - CORRECT ME</t>
        </is>
      </c>
    </row>
    <row r="92">
      <c r="A92" s="4" t="inlineStr">
        <is>
          <t>Architecture</t>
        </is>
      </c>
      <c r="B92" s="4" t="inlineStr">
        <is>
          <t>AB</t>
        </is>
      </c>
      <c r="C92" s="4" t="inlineStr">
        <is>
          <t>SDV_Zonal</t>
        </is>
      </c>
      <c r="D92" s="5" t="n">
        <v>2040</v>
      </c>
      <c r="E92" s="6" t="n">
        <v>0.578732263125135</v>
      </c>
      <c r="F92" s="6" t="n">
        <v>0.698732263125135</v>
      </c>
      <c r="G92" s="6" t="n">
        <v>0.818732263125135</v>
      </c>
      <c r="H92" s="4" t="inlineStr">
        <is>
          <t>DERIVED from agreed timing; Conventional-&gt;Transitional timing is my proposal - CORRECT ME</t>
        </is>
      </c>
    </row>
    <row r="93">
      <c r="A93" s="4" t="inlineStr">
        <is>
          <t>Architecture</t>
        </is>
      </c>
      <c r="B93" s="4" t="inlineStr">
        <is>
          <t>AB</t>
        </is>
      </c>
      <c r="C93" s="4" t="inlineStr">
        <is>
          <t>Conventional</t>
        </is>
      </c>
      <c r="D93" s="5" t="n">
        <v>2045</v>
      </c>
      <c r="E93" s="6" t="n">
        <v>0</v>
      </c>
      <c r="F93" s="6" t="n">
        <v>0.002162667462892287</v>
      </c>
      <c r="G93" s="6" t="n">
        <v>0.1221626674628923</v>
      </c>
      <c r="H93" s="4" t="inlineStr">
        <is>
          <t>DERIVED from agreed timing; Conventional-&gt;Transitional timing is my proposal - CORRECT ME</t>
        </is>
      </c>
    </row>
    <row r="94">
      <c r="A94" s="4" t="inlineStr">
        <is>
          <t>Architecture</t>
        </is>
      </c>
      <c r="B94" s="4" t="inlineStr">
        <is>
          <t>AB</t>
        </is>
      </c>
      <c r="C94" s="4" t="inlineStr">
        <is>
          <t>Transitional</t>
        </is>
      </c>
      <c r="D94" s="5" t="n">
        <v>2045</v>
      </c>
      <c r="E94" s="6" t="n">
        <v>0.008756775217724</v>
      </c>
      <c r="F94" s="6" t="n">
        <v>0.128756775217724</v>
      </c>
      <c r="G94" s="6" t="n">
        <v>0.248756775217724</v>
      </c>
      <c r="H94" s="4" t="inlineStr">
        <is>
          <t>DERIVED from agreed timing; Conventional-&gt;Transitional timing is my proposal - CORRECT ME</t>
        </is>
      </c>
    </row>
    <row r="95">
      <c r="A95" s="4" t="inlineStr">
        <is>
          <t>Architecture</t>
        </is>
      </c>
      <c r="B95" s="4" t="inlineStr">
        <is>
          <t>AB</t>
        </is>
      </c>
      <c r="C95" s="4" t="inlineStr">
        <is>
          <t>SDV_Zonal</t>
        </is>
      </c>
      <c r="D95" s="5" t="n">
        <v>2045</v>
      </c>
      <c r="E95" s="6" t="n">
        <v>0.7490805573193837</v>
      </c>
      <c r="F95" s="6" t="n">
        <v>0.8690805573193837</v>
      </c>
      <c r="G95" s="6" t="n">
        <v>0.9890805573193837</v>
      </c>
      <c r="H95" s="4" t="inlineStr">
        <is>
          <t>DERIVED from agreed timing; Conventional-&gt;Transitional timing is my proposal - CORRECT ME</t>
        </is>
      </c>
    </row>
    <row r="96">
      <c r="A96" s="4" t="inlineStr">
        <is>
          <t>Architecture</t>
        </is>
      </c>
      <c r="B96" s="4" t="inlineStr">
        <is>
          <t>AB</t>
        </is>
      </c>
      <c r="C96" s="4" t="inlineStr">
        <is>
          <t>Conventional</t>
        </is>
      </c>
      <c r="D96" s="5" t="n">
        <v>2050</v>
      </c>
      <c r="E96" s="6" t="n">
        <v>0</v>
      </c>
      <c r="F96" s="6" t="n">
        <v>0.0006350970432584813</v>
      </c>
      <c r="G96" s="6" t="n">
        <v>0.1206350970432585</v>
      </c>
      <c r="H96" s="4" t="inlineStr">
        <is>
          <t>DERIVED from agreed timing; Conventional-&gt;Transitional timing is my proposal - CORRECT ME</t>
        </is>
      </c>
    </row>
    <row r="97">
      <c r="A97" s="4" t="inlineStr">
        <is>
          <t>Architecture</t>
        </is>
      </c>
      <c r="B97" s="4" t="inlineStr">
        <is>
          <t>AB</t>
        </is>
      </c>
      <c r="C97" s="4" t="inlineStr">
        <is>
          <t>Transitional</t>
        </is>
      </c>
      <c r="D97" s="5" t="n">
        <v>2050</v>
      </c>
      <c r="E97" s="6" t="n">
        <v>0</v>
      </c>
      <c r="F97" s="6" t="n">
        <v>0.04936490295674145</v>
      </c>
      <c r="G97" s="6" t="n">
        <v>0.1693649029567414</v>
      </c>
      <c r="H97" s="4" t="inlineStr">
        <is>
          <t>DERIVED from agreed timing; Conventional-&gt;Transitional timing is my proposal - CORRECT ME</t>
        </is>
      </c>
    </row>
    <row r="98">
      <c r="A98" s="4" t="inlineStr">
        <is>
          <t>Architecture</t>
        </is>
      </c>
      <c r="B98" s="4" t="inlineStr">
        <is>
          <t>AB</t>
        </is>
      </c>
      <c r="C98" s="4" t="inlineStr">
        <is>
          <t>SDV_Zonal</t>
        </is>
      </c>
      <c r="D98" s="5" t="n">
        <v>2050</v>
      </c>
      <c r="E98" s="6" t="n">
        <v>0.8300000000000001</v>
      </c>
      <c r="F98" s="6" t="n">
        <v>0.9500000000000001</v>
      </c>
      <c r="G98" s="6" t="n">
        <v>1</v>
      </c>
      <c r="H98" s="4" t="inlineStr">
        <is>
          <t>DERIVED from agreed timing; Conventional-&gt;Transitional timing is my proposal - CORRECT ME</t>
        </is>
      </c>
    </row>
    <row r="99">
      <c r="A99" s="4" t="inlineStr">
        <is>
          <t>Architecture</t>
        </is>
      </c>
      <c r="B99" s="4" t="inlineStr">
        <is>
          <t>AB</t>
        </is>
      </c>
      <c r="C99" s="4" t="inlineStr">
        <is>
          <t>Conventional</t>
        </is>
      </c>
      <c r="D99" s="5" t="n">
        <v>2060</v>
      </c>
      <c r="E99" s="6" t="n">
        <v>0</v>
      </c>
      <c r="F99" s="6" t="n">
        <v>5.463415983320008e-05</v>
      </c>
      <c r="G99" s="6" t="n">
        <v>0.1200546341598332</v>
      </c>
      <c r="H99" s="4" t="inlineStr">
        <is>
          <t>DERIVED from agreed timing; Conventional-&gt;Transitional timing is my proposal - CORRECT ME</t>
        </is>
      </c>
    </row>
    <row r="100">
      <c r="A100" s="4" t="inlineStr">
        <is>
          <t>Architecture</t>
        </is>
      </c>
      <c r="B100" s="4" t="inlineStr">
        <is>
          <t>AB</t>
        </is>
      </c>
      <c r="C100" s="4" t="inlineStr">
        <is>
          <t>Transitional</t>
        </is>
      </c>
      <c r="D100" s="5" t="n">
        <v>2060</v>
      </c>
      <c r="E100" s="6" t="n">
        <v>0</v>
      </c>
      <c r="F100" s="6" t="n">
        <v>0.006329025060868632</v>
      </c>
      <c r="G100" s="6" t="n">
        <v>0.1263290250608686</v>
      </c>
      <c r="H100" s="4" t="inlineStr">
        <is>
          <t>DERIVED from agreed timing; Conventional-&gt;Transitional timing is my proposal - CORRECT ME</t>
        </is>
      </c>
    </row>
    <row r="101">
      <c r="A101" s="4" t="inlineStr">
        <is>
          <t>Architecture</t>
        </is>
      </c>
      <c r="B101" s="4" t="inlineStr">
        <is>
          <t>AB</t>
        </is>
      </c>
      <c r="C101" s="4" t="inlineStr">
        <is>
          <t>SDV_Zonal</t>
        </is>
      </c>
      <c r="D101" s="5" t="n">
        <v>2060</v>
      </c>
      <c r="E101" s="6" t="n">
        <v>0.8736163407792982</v>
      </c>
      <c r="F101" s="6" t="n">
        <v>0.9936163407792982</v>
      </c>
      <c r="G101" s="6" t="n">
        <v>1</v>
      </c>
      <c r="H101" s="4" t="inlineStr">
        <is>
          <t>DERIVED from agreed timing; Conventional-&gt;Transitional timing is my proposal - CORRECT ME</t>
        </is>
      </c>
    </row>
    <row r="102">
      <c r="A102" s="4" t="inlineStr">
        <is>
          <t>Architecture</t>
        </is>
      </c>
      <c r="B102" s="4" t="inlineStr">
        <is>
          <t>AB</t>
        </is>
      </c>
      <c r="C102" s="4" t="inlineStr">
        <is>
          <t>Conventional</t>
        </is>
      </c>
      <c r="D102" s="5" t="n">
        <v>2070</v>
      </c>
      <c r="E102" s="6" t="n">
        <v>0</v>
      </c>
      <c r="F102" s="6" t="n">
        <v>4.697404461850851e-06</v>
      </c>
      <c r="G102" s="6" t="n">
        <v>0.1200046974044618</v>
      </c>
      <c r="H102" s="4" t="inlineStr">
        <is>
          <t>DERIVED from agreed timing; Conventional-&gt;Transitional timing is my proposal - CORRECT ME</t>
        </is>
      </c>
    </row>
    <row r="103">
      <c r="A103" s="4" t="inlineStr">
        <is>
          <t>Architecture</t>
        </is>
      </c>
      <c r="B103" s="4" t="inlineStr">
        <is>
          <t>AB</t>
        </is>
      </c>
      <c r="C103" s="4" t="inlineStr">
        <is>
          <t>Transitional</t>
        </is>
      </c>
      <c r="D103" s="5" t="n">
        <v>2070</v>
      </c>
      <c r="E103" s="6" t="n">
        <v>0</v>
      </c>
      <c r="F103" s="6" t="n">
        <v>0.0007789398561756089</v>
      </c>
      <c r="G103" s="6" t="n">
        <v>0.1207789398561756</v>
      </c>
      <c r="H103" s="4" t="inlineStr">
        <is>
          <t>DERIVED from agreed timing; Conventional-&gt;Transitional timing is my proposal - CORRECT ME</t>
        </is>
      </c>
    </row>
    <row r="104">
      <c r="A104" s="4" t="inlineStr">
        <is>
          <t>Architecture</t>
        </is>
      </c>
      <c r="B104" s="4" t="inlineStr">
        <is>
          <t>AB</t>
        </is>
      </c>
      <c r="C104" s="4" t="inlineStr">
        <is>
          <t>SDV_Zonal</t>
        </is>
      </c>
      <c r="D104" s="5" t="n">
        <v>2070</v>
      </c>
      <c r="E104" s="6" t="n">
        <v>0.8792163627393625</v>
      </c>
      <c r="F104" s="6" t="n">
        <v>0.9992163627393625</v>
      </c>
      <c r="G104" s="6" t="n">
        <v>1</v>
      </c>
      <c r="H104" s="4" t="inlineStr">
        <is>
          <t>DERIVED from agreed timing; Conventional-&gt;Transitional timing is my proposal - CORRECT ME</t>
        </is>
      </c>
    </row>
    <row r="105">
      <c r="A105" s="4" t="inlineStr">
        <is>
          <t>Voltage</t>
        </is>
      </c>
      <c r="B105" s="4" t="inlineStr">
        <is>
          <t>EF</t>
        </is>
      </c>
      <c r="C105" s="4" t="inlineStr">
        <is>
          <t>800V</t>
        </is>
      </c>
      <c r="D105" s="5" t="n">
        <v>2010</v>
      </c>
      <c r="E105" s="6" t="n">
        <v>0</v>
      </c>
      <c r="F105" s="6" t="n">
        <v>0.00530092887770487</v>
      </c>
      <c r="G105" s="6" t="n">
        <v>0.1253009288777049</v>
      </c>
      <c r="H105" s="4" t="inlineStr">
        <is>
          <t>From 16_, agreed with you</t>
        </is>
      </c>
    </row>
    <row r="106">
      <c r="A106" s="4" t="inlineStr">
        <is>
          <t>Voltage</t>
        </is>
      </c>
      <c r="B106" s="4" t="inlineStr">
        <is>
          <t>EF</t>
        </is>
      </c>
      <c r="C106" s="4" t="inlineStr">
        <is>
          <t>400V</t>
        </is>
      </c>
      <c r="D106" s="5" t="n">
        <v>2010</v>
      </c>
      <c r="E106" s="6" t="n">
        <v>0.8746990711222952</v>
      </c>
      <c r="F106" s="6" t="n">
        <v>0.9946990711222952</v>
      </c>
      <c r="G106" s="6" t="n">
        <v>1</v>
      </c>
      <c r="H106" s="4" t="inlineStr">
        <is>
          <t>complement of 800V</t>
        </is>
      </c>
    </row>
    <row r="107">
      <c r="A107" s="4" t="inlineStr">
        <is>
          <t>Voltage</t>
        </is>
      </c>
      <c r="B107" s="4" t="inlineStr">
        <is>
          <t>EF</t>
        </is>
      </c>
      <c r="C107" s="4" t="inlineStr">
        <is>
          <t>800V</t>
        </is>
      </c>
      <c r="D107" s="5" t="n">
        <v>2015</v>
      </c>
      <c r="E107" s="6" t="n">
        <v>0</v>
      </c>
      <c r="F107" s="6" t="n">
        <v>0.02662914786495241</v>
      </c>
      <c r="G107" s="6" t="n">
        <v>0.1466291478649524</v>
      </c>
      <c r="H107" s="4" t="inlineStr">
        <is>
          <t>From 16_, agreed with you</t>
        </is>
      </c>
    </row>
    <row r="108">
      <c r="A108" s="4" t="inlineStr">
        <is>
          <t>Voltage</t>
        </is>
      </c>
      <c r="B108" s="4" t="inlineStr">
        <is>
          <t>EF</t>
        </is>
      </c>
      <c r="C108" s="4" t="inlineStr">
        <is>
          <t>400V</t>
        </is>
      </c>
      <c r="D108" s="5" t="n">
        <v>2015</v>
      </c>
      <c r="E108" s="6" t="n">
        <v>0.8533708521350476</v>
      </c>
      <c r="F108" s="6" t="n">
        <v>0.9733708521350476</v>
      </c>
      <c r="G108" s="6" t="n">
        <v>1</v>
      </c>
      <c r="H108" s="4" t="inlineStr">
        <is>
          <t>complement of 800V</t>
        </is>
      </c>
    </row>
    <row r="109">
      <c r="A109" s="4" t="inlineStr">
        <is>
          <t>Voltage</t>
        </is>
      </c>
      <c r="B109" s="4" t="inlineStr">
        <is>
          <t>EF</t>
        </is>
      </c>
      <c r="C109" s="4" t="inlineStr">
        <is>
          <t>800V</t>
        </is>
      </c>
      <c r="D109" s="5" t="n">
        <v>2020</v>
      </c>
      <c r="E109" s="6" t="n">
        <v>0.003147138029875568</v>
      </c>
      <c r="F109" s="6" t="n">
        <v>0.1231471380298756</v>
      </c>
      <c r="G109" s="6" t="n">
        <v>0.2431471380298756</v>
      </c>
      <c r="H109" s="4" t="inlineStr">
        <is>
          <t>From 16_, agreed with you</t>
        </is>
      </c>
    </row>
    <row r="110">
      <c r="A110" s="4" t="inlineStr">
        <is>
          <t>Voltage</t>
        </is>
      </c>
      <c r="B110" s="4" t="inlineStr">
        <is>
          <t>EF</t>
        </is>
      </c>
      <c r="C110" s="4" t="inlineStr">
        <is>
          <t>400V</t>
        </is>
      </c>
      <c r="D110" s="5" t="n">
        <v>2020</v>
      </c>
      <c r="E110" s="6" t="n">
        <v>0.7568528619701245</v>
      </c>
      <c r="F110" s="6" t="n">
        <v>0.8768528619701245</v>
      </c>
      <c r="G110" s="6" t="n">
        <v>0.9968528619701245</v>
      </c>
      <c r="H110" s="4" t="inlineStr">
        <is>
          <t>complement of 800V</t>
        </is>
      </c>
    </row>
    <row r="111">
      <c r="A111" s="4" t="inlineStr">
        <is>
          <t>Voltage</t>
        </is>
      </c>
      <c r="B111" s="4" t="inlineStr">
        <is>
          <t>EF</t>
        </is>
      </c>
      <c r="C111" s="4" t="inlineStr">
        <is>
          <t>800V</t>
        </is>
      </c>
      <c r="D111" s="5" t="n">
        <v>2025</v>
      </c>
      <c r="E111" s="6" t="n">
        <v>0.298931826541541</v>
      </c>
      <c r="F111" s="6" t="n">
        <v>0.418931826541541</v>
      </c>
      <c r="G111" s="6" t="n">
        <v>0.538931826541541</v>
      </c>
      <c r="H111" s="4" t="inlineStr">
        <is>
          <t>From 16_, agreed with you</t>
        </is>
      </c>
    </row>
    <row r="112">
      <c r="A112" s="4" t="inlineStr">
        <is>
          <t>Voltage</t>
        </is>
      </c>
      <c r="B112" s="4" t="inlineStr">
        <is>
          <t>EF</t>
        </is>
      </c>
      <c r="C112" s="4" t="inlineStr">
        <is>
          <t>400V</t>
        </is>
      </c>
      <c r="D112" s="5" t="n">
        <v>2025</v>
      </c>
      <c r="E112" s="6" t="n">
        <v>0.4610681734584591</v>
      </c>
      <c r="F112" s="6" t="n">
        <v>0.5810681734584591</v>
      </c>
      <c r="G112" s="6" t="n">
        <v>0.7010681734584591</v>
      </c>
      <c r="H112" s="4" t="inlineStr">
        <is>
          <t>complement of 800V</t>
        </is>
      </c>
    </row>
    <row r="113">
      <c r="A113" s="4" t="inlineStr">
        <is>
          <t>Voltage</t>
        </is>
      </c>
      <c r="B113" s="4" t="inlineStr">
        <is>
          <t>EF</t>
        </is>
      </c>
      <c r="C113" s="4" t="inlineStr">
        <is>
          <t>800V</t>
        </is>
      </c>
      <c r="D113" s="5" t="n">
        <v>2030</v>
      </c>
      <c r="E113" s="6" t="n">
        <v>0.66728541369868</v>
      </c>
      <c r="F113" s="6" t="n">
        <v>0.78728541369868</v>
      </c>
      <c r="G113" s="6" t="n">
        <v>0.90728541369868</v>
      </c>
      <c r="H113" s="4" t="inlineStr">
        <is>
          <t>From 16_, agreed with you</t>
        </is>
      </c>
    </row>
    <row r="114">
      <c r="A114" s="4" t="inlineStr">
        <is>
          <t>Voltage</t>
        </is>
      </c>
      <c r="B114" s="4" t="inlineStr">
        <is>
          <t>EF</t>
        </is>
      </c>
      <c r="C114" s="4" t="inlineStr">
        <is>
          <t>400V</t>
        </is>
      </c>
      <c r="D114" s="5" t="n">
        <v>2030</v>
      </c>
      <c r="E114" s="6" t="n">
        <v>0.09271458630132001</v>
      </c>
      <c r="F114" s="6" t="n">
        <v>0.21271458630132</v>
      </c>
      <c r="G114" s="6" t="n">
        <v>0.33271458630132</v>
      </c>
      <c r="H114" s="4" t="inlineStr">
        <is>
          <t>complement of 800V</t>
        </is>
      </c>
    </row>
    <row r="115">
      <c r="A115" s="4" t="inlineStr">
        <is>
          <t>Voltage</t>
        </is>
      </c>
      <c r="B115" s="4" t="inlineStr">
        <is>
          <t>EF</t>
        </is>
      </c>
      <c r="C115" s="4" t="inlineStr">
        <is>
          <t>800V</t>
        </is>
      </c>
      <c r="D115" s="5" t="n">
        <v>2035</v>
      </c>
      <c r="E115" s="6" t="n">
        <v>0.8300000000000001</v>
      </c>
      <c r="F115" s="6" t="n">
        <v>0.9500000000000001</v>
      </c>
      <c r="G115" s="6" t="n">
        <v>1</v>
      </c>
      <c r="H115" s="4" t="inlineStr">
        <is>
          <t>From 16_, agreed with you</t>
        </is>
      </c>
    </row>
    <row r="116">
      <c r="A116" s="4" t="inlineStr">
        <is>
          <t>Voltage</t>
        </is>
      </c>
      <c r="B116" s="4" t="inlineStr">
        <is>
          <t>EF</t>
        </is>
      </c>
      <c r="C116" s="4" t="inlineStr">
        <is>
          <t>400V</t>
        </is>
      </c>
      <c r="D116" s="5" t="n">
        <v>2035</v>
      </c>
      <c r="E116" s="6" t="n">
        <v>0</v>
      </c>
      <c r="F116" s="6" t="n">
        <v>0.04999999999999993</v>
      </c>
      <c r="G116" s="6" t="n">
        <v>0.1699999999999999</v>
      </c>
      <c r="H116" s="4" t="inlineStr">
        <is>
          <t>complement of 800V</t>
        </is>
      </c>
    </row>
    <row r="117">
      <c r="A117" s="4" t="inlineStr">
        <is>
          <t>Voltage</t>
        </is>
      </c>
      <c r="B117" s="4" t="inlineStr">
        <is>
          <t>EF</t>
        </is>
      </c>
      <c r="C117" s="4" t="inlineStr">
        <is>
          <t>800V</t>
        </is>
      </c>
      <c r="D117" s="5" t="n">
        <v>2040</v>
      </c>
      <c r="E117" s="6" t="n">
        <v>0.8698515943416999</v>
      </c>
      <c r="F117" s="6" t="n">
        <v>0.9898515943416999</v>
      </c>
      <c r="G117" s="6" t="n">
        <v>1</v>
      </c>
      <c r="H117" s="4" t="inlineStr">
        <is>
          <t>From 16_, agreed with you</t>
        </is>
      </c>
    </row>
    <row r="118">
      <c r="A118" s="4" t="inlineStr">
        <is>
          <t>Voltage</t>
        </is>
      </c>
      <c r="B118" s="4" t="inlineStr">
        <is>
          <t>EF</t>
        </is>
      </c>
      <c r="C118" s="4" t="inlineStr">
        <is>
          <t>400V</t>
        </is>
      </c>
      <c r="D118" s="5" t="n">
        <v>2040</v>
      </c>
      <c r="E118" s="6" t="n">
        <v>0</v>
      </c>
      <c r="F118" s="6" t="n">
        <v>0.01014840565830011</v>
      </c>
      <c r="G118" s="6" t="n">
        <v>0.1301484056583001</v>
      </c>
      <c r="H118" s="4" t="inlineStr">
        <is>
          <t>complement of 800V</t>
        </is>
      </c>
    </row>
    <row r="119">
      <c r="A119" s="4" t="inlineStr">
        <is>
          <t>Voltage</t>
        </is>
      </c>
      <c r="B119" s="4" t="inlineStr">
        <is>
          <t>EF</t>
        </is>
      </c>
      <c r="C119" s="4" t="inlineStr">
        <is>
          <t>800V</t>
        </is>
      </c>
      <c r="D119" s="5" t="n">
        <v>2045</v>
      </c>
      <c r="E119" s="6" t="n">
        <v>0.8780068380782518</v>
      </c>
      <c r="F119" s="6" t="n">
        <v>0.9980068380782517</v>
      </c>
      <c r="G119" s="6" t="n">
        <v>1</v>
      </c>
      <c r="H119" s="4" t="inlineStr">
        <is>
          <t>From 16_, agreed with you</t>
        </is>
      </c>
    </row>
    <row r="120">
      <c r="A120" s="4" t="inlineStr">
        <is>
          <t>Voltage</t>
        </is>
      </c>
      <c r="B120" s="4" t="inlineStr">
        <is>
          <t>EF</t>
        </is>
      </c>
      <c r="C120" s="4" t="inlineStr">
        <is>
          <t>400V</t>
        </is>
      </c>
      <c r="D120" s="5" t="n">
        <v>2045</v>
      </c>
      <c r="E120" s="6" t="n">
        <v>0</v>
      </c>
      <c r="F120" s="6" t="n">
        <v>0.001993161921748254</v>
      </c>
      <c r="G120" s="6" t="n">
        <v>0.1219931619217482</v>
      </c>
      <c r="H120" s="4" t="inlineStr">
        <is>
          <t>complement of 800V</t>
        </is>
      </c>
    </row>
    <row r="121">
      <c r="A121" s="4" t="inlineStr">
        <is>
          <t>Voltage</t>
        </is>
      </c>
      <c r="B121" s="4" t="inlineStr">
        <is>
          <t>EF</t>
        </is>
      </c>
      <c r="C121" s="4" t="inlineStr">
        <is>
          <t>800V</t>
        </is>
      </c>
      <c r="D121" s="5" t="n">
        <v>2050</v>
      </c>
      <c r="E121" s="6" t="n">
        <v>0.8796111147475328</v>
      </c>
      <c r="F121" s="6" t="n">
        <v>0.9996111147475328</v>
      </c>
      <c r="G121" s="6" t="n">
        <v>1</v>
      </c>
      <c r="H121" s="4" t="inlineStr">
        <is>
          <t>From 16_, agreed with you</t>
        </is>
      </c>
    </row>
    <row r="122">
      <c r="A122" s="4" t="inlineStr">
        <is>
          <t>Voltage</t>
        </is>
      </c>
      <c r="B122" s="4" t="inlineStr">
        <is>
          <t>EF</t>
        </is>
      </c>
      <c r="C122" s="4" t="inlineStr">
        <is>
          <t>400V</t>
        </is>
      </c>
      <c r="D122" s="5" t="n">
        <v>2050</v>
      </c>
      <c r="E122" s="6" t="n">
        <v>0</v>
      </c>
      <c r="F122" s="6" t="n">
        <v>0.0003888852524671638</v>
      </c>
      <c r="G122" s="6" t="n">
        <v>0.1203888852524672</v>
      </c>
      <c r="H122" s="4" t="inlineStr">
        <is>
          <t>complement of 800V</t>
        </is>
      </c>
    </row>
    <row r="123">
      <c r="A123" s="4" t="inlineStr">
        <is>
          <t>Voltage</t>
        </is>
      </c>
      <c r="B123" s="4" t="inlineStr">
        <is>
          <t>EF</t>
        </is>
      </c>
      <c r="C123" s="4" t="inlineStr">
        <is>
          <t>800V</t>
        </is>
      </c>
      <c r="D123" s="5" t="n">
        <v>2060</v>
      </c>
      <c r="E123" s="6" t="n">
        <v>0.879985237950681</v>
      </c>
      <c r="F123" s="6" t="n">
        <v>0.9999852379506809</v>
      </c>
      <c r="G123" s="6" t="n">
        <v>1</v>
      </c>
      <c r="H123" s="4" t="inlineStr">
        <is>
          <t>From 16_, agreed with you</t>
        </is>
      </c>
    </row>
    <row r="124">
      <c r="A124" s="4" t="inlineStr">
        <is>
          <t>Voltage</t>
        </is>
      </c>
      <c r="B124" s="4" t="inlineStr">
        <is>
          <t>EF</t>
        </is>
      </c>
      <c r="C124" s="4" t="inlineStr">
        <is>
          <t>400V</t>
        </is>
      </c>
      <c r="D124" s="5" t="n">
        <v>2060</v>
      </c>
      <c r="E124" s="6" t="n">
        <v>0</v>
      </c>
      <c r="F124" s="6" t="n">
        <v>1.476204931905034e-05</v>
      </c>
      <c r="G124" s="6" t="n">
        <v>0.120014762049319</v>
      </c>
      <c r="H124" s="4" t="inlineStr">
        <is>
          <t>complement of 800V</t>
        </is>
      </c>
    </row>
    <row r="125">
      <c r="A125" s="4" t="inlineStr">
        <is>
          <t>Voltage</t>
        </is>
      </c>
      <c r="B125" s="4" t="inlineStr">
        <is>
          <t>EF</t>
        </is>
      </c>
      <c r="C125" s="4" t="inlineStr">
        <is>
          <t>800V</t>
        </is>
      </c>
      <c r="D125" s="5" t="n">
        <v>2070</v>
      </c>
      <c r="E125" s="6" t="n">
        <v>0.8799994398356249</v>
      </c>
      <c r="F125" s="6" t="n">
        <v>0.9999994398356249</v>
      </c>
      <c r="G125" s="6" t="n">
        <v>1</v>
      </c>
      <c r="H125" s="4" t="inlineStr">
        <is>
          <t>From 16_, agreed with you</t>
        </is>
      </c>
    </row>
    <row r="126">
      <c r="A126" s="4" t="inlineStr">
        <is>
          <t>Voltage</t>
        </is>
      </c>
      <c r="B126" s="4" t="inlineStr">
        <is>
          <t>EF</t>
        </is>
      </c>
      <c r="C126" s="4" t="inlineStr">
        <is>
          <t>400V</t>
        </is>
      </c>
      <c r="D126" s="5" t="n">
        <v>2070</v>
      </c>
      <c r="E126" s="6" t="n">
        <v>0</v>
      </c>
      <c r="F126" s="6" t="n">
        <v>5.601643751074192e-07</v>
      </c>
      <c r="G126" s="6" t="n">
        <v>0.1200005601643751</v>
      </c>
      <c r="H126" s="4" t="inlineStr">
        <is>
          <t>complement of 800V</t>
        </is>
      </c>
    </row>
    <row r="127">
      <c r="A127" s="4" t="inlineStr">
        <is>
          <t>Voltage</t>
        </is>
      </c>
      <c r="B127" s="4" t="inlineStr">
        <is>
          <t>CD</t>
        </is>
      </c>
      <c r="C127" s="4" t="inlineStr">
        <is>
          <t>800V</t>
        </is>
      </c>
      <c r="D127" s="5" t="n">
        <v>2010</v>
      </c>
      <c r="E127" s="6" t="n">
        <v>0</v>
      </c>
      <c r="F127" s="6" t="n">
        <v>0.01934249769983506</v>
      </c>
      <c r="G127" s="6" t="n">
        <v>0.1393424976998351</v>
      </c>
      <c r="H127" s="4" t="inlineStr">
        <is>
          <t>From 16_, agreed with you</t>
        </is>
      </c>
    </row>
    <row r="128">
      <c r="A128" s="4" t="inlineStr">
        <is>
          <t>Voltage</t>
        </is>
      </c>
      <c r="B128" s="4" t="inlineStr">
        <is>
          <t>CD</t>
        </is>
      </c>
      <c r="C128" s="4" t="inlineStr">
        <is>
          <t>400V</t>
        </is>
      </c>
      <c r="D128" s="5" t="n">
        <v>2010</v>
      </c>
      <c r="E128" s="6" t="n">
        <v>0.8606575023001649</v>
      </c>
      <c r="F128" s="6" t="n">
        <v>0.9806575023001649</v>
      </c>
      <c r="G128" s="6" t="n">
        <v>1</v>
      </c>
      <c r="H128" s="4" t="inlineStr">
        <is>
          <t>complement of 800V</t>
        </is>
      </c>
    </row>
    <row r="129">
      <c r="A129" s="4" t="inlineStr">
        <is>
          <t>Voltage</t>
        </is>
      </c>
      <c r="B129" s="4" t="inlineStr">
        <is>
          <t>CD</t>
        </is>
      </c>
      <c r="C129" s="4" t="inlineStr">
        <is>
          <t>800V</t>
        </is>
      </c>
      <c r="D129" s="5" t="n">
        <v>2015</v>
      </c>
      <c r="E129" s="6" t="n">
        <v>0</v>
      </c>
      <c r="F129" s="6" t="n">
        <v>0.05000000000000001</v>
      </c>
      <c r="G129" s="6" t="n">
        <v>0.17</v>
      </c>
      <c r="H129" s="4" t="inlineStr">
        <is>
          <t>From 16_, agreed with you</t>
        </is>
      </c>
    </row>
    <row r="130">
      <c r="A130" s="4" t="inlineStr">
        <is>
          <t>Voltage</t>
        </is>
      </c>
      <c r="B130" s="4" t="inlineStr">
        <is>
          <t>CD</t>
        </is>
      </c>
      <c r="C130" s="4" t="inlineStr">
        <is>
          <t>400V</t>
        </is>
      </c>
      <c r="D130" s="5" t="n">
        <v>2015</v>
      </c>
      <c r="E130" s="6" t="n">
        <v>0.83</v>
      </c>
      <c r="F130" s="6" t="n">
        <v>0.95</v>
      </c>
      <c r="G130" s="6" t="n">
        <v>1</v>
      </c>
      <c r="H130" s="4" t="inlineStr">
        <is>
          <t>complement of 800V</t>
        </is>
      </c>
    </row>
    <row r="131">
      <c r="A131" s="4" t="inlineStr">
        <is>
          <t>Voltage</t>
        </is>
      </c>
      <c r="B131" s="4" t="inlineStr">
        <is>
          <t>CD</t>
        </is>
      </c>
      <c r="C131" s="4" t="inlineStr">
        <is>
          <t>800V</t>
        </is>
      </c>
      <c r="D131" s="5" t="n">
        <v>2020</v>
      </c>
      <c r="E131" s="6" t="n">
        <v>0.003147138029875624</v>
      </c>
      <c r="F131" s="6" t="n">
        <v>0.1231471380298756</v>
      </c>
      <c r="G131" s="6" t="n">
        <v>0.2431471380298756</v>
      </c>
      <c r="H131" s="4" t="inlineStr">
        <is>
          <t>From 16_, agreed with you</t>
        </is>
      </c>
    </row>
    <row r="132">
      <c r="A132" s="4" t="inlineStr">
        <is>
          <t>Voltage</t>
        </is>
      </c>
      <c r="B132" s="4" t="inlineStr">
        <is>
          <t>CD</t>
        </is>
      </c>
      <c r="C132" s="4" t="inlineStr">
        <is>
          <t>400V</t>
        </is>
      </c>
      <c r="D132" s="5" t="n">
        <v>2020</v>
      </c>
      <c r="E132" s="6" t="n">
        <v>0.7568528619701244</v>
      </c>
      <c r="F132" s="6" t="n">
        <v>0.8768528619701244</v>
      </c>
      <c r="G132" s="6" t="n">
        <v>0.9968528619701243</v>
      </c>
      <c r="H132" s="4" t="inlineStr">
        <is>
          <t>complement of 800V</t>
        </is>
      </c>
    </row>
    <row r="133">
      <c r="A133" s="4" t="inlineStr">
        <is>
          <t>Voltage</t>
        </is>
      </c>
      <c r="B133" s="4" t="inlineStr">
        <is>
          <t>CD</t>
        </is>
      </c>
      <c r="C133" s="4" t="inlineStr">
        <is>
          <t>800V</t>
        </is>
      </c>
      <c r="D133" s="5" t="n">
        <v>2025</v>
      </c>
      <c r="E133" s="6" t="n">
        <v>0.1525982855090025</v>
      </c>
      <c r="F133" s="6" t="n">
        <v>0.2725982855090024</v>
      </c>
      <c r="G133" s="6" t="n">
        <v>0.3925982855090024</v>
      </c>
      <c r="H133" s="4" t="inlineStr">
        <is>
          <t>From 16_, agreed with you</t>
        </is>
      </c>
    </row>
    <row r="134">
      <c r="A134" s="4" t="inlineStr">
        <is>
          <t>Voltage</t>
        </is>
      </c>
      <c r="B134" s="4" t="inlineStr">
        <is>
          <t>CD</t>
        </is>
      </c>
      <c r="C134" s="4" t="inlineStr">
        <is>
          <t>400V</t>
        </is>
      </c>
      <c r="D134" s="5" t="n">
        <v>2025</v>
      </c>
      <c r="E134" s="6" t="n">
        <v>0.6074017144909976</v>
      </c>
      <c r="F134" s="6" t="n">
        <v>0.7274017144909976</v>
      </c>
      <c r="G134" s="6" t="n">
        <v>0.8474017144909975</v>
      </c>
      <c r="H134" s="4" t="inlineStr">
        <is>
          <t>complement of 800V</t>
        </is>
      </c>
    </row>
    <row r="135">
      <c r="A135" s="4" t="inlineStr">
        <is>
          <t>Voltage</t>
        </is>
      </c>
      <c r="B135" s="4" t="inlineStr">
        <is>
          <t>CD</t>
        </is>
      </c>
      <c r="C135" s="4" t="inlineStr">
        <is>
          <t>800V</t>
        </is>
      </c>
      <c r="D135" s="5" t="n">
        <v>2030</v>
      </c>
      <c r="E135" s="6" t="n">
        <v>0.38</v>
      </c>
      <c r="F135" s="6" t="n">
        <v>0.5</v>
      </c>
      <c r="G135" s="6" t="n">
        <v>0.62</v>
      </c>
      <c r="H135" s="4" t="inlineStr">
        <is>
          <t>From 16_, agreed with you</t>
        </is>
      </c>
    </row>
    <row r="136">
      <c r="A136" s="4" t="inlineStr">
        <is>
          <t>Voltage</t>
        </is>
      </c>
      <c r="B136" s="4" t="inlineStr">
        <is>
          <t>CD</t>
        </is>
      </c>
      <c r="C136" s="4" t="inlineStr">
        <is>
          <t>400V</t>
        </is>
      </c>
      <c r="D136" s="5" t="n">
        <v>2030</v>
      </c>
      <c r="E136" s="6" t="n">
        <v>0.38</v>
      </c>
      <c r="F136" s="6" t="n">
        <v>0.5</v>
      </c>
      <c r="G136" s="6" t="n">
        <v>0.62</v>
      </c>
      <c r="H136" s="4" t="inlineStr">
        <is>
          <t>complement of 800V</t>
        </is>
      </c>
    </row>
    <row r="137">
      <c r="A137" s="4" t="inlineStr">
        <is>
          <t>Voltage</t>
        </is>
      </c>
      <c r="B137" s="4" t="inlineStr">
        <is>
          <t>CD</t>
        </is>
      </c>
      <c r="C137" s="4" t="inlineStr">
        <is>
          <t>800V</t>
        </is>
      </c>
      <c r="D137" s="5" t="n">
        <v>2035</v>
      </c>
      <c r="E137" s="6" t="n">
        <v>0.6074017144909976</v>
      </c>
      <c r="F137" s="6" t="n">
        <v>0.7274017144909976</v>
      </c>
      <c r="G137" s="6" t="n">
        <v>0.8474017144909975</v>
      </c>
      <c r="H137" s="4" t="inlineStr">
        <is>
          <t>From 16_, agreed with you</t>
        </is>
      </c>
    </row>
    <row r="138">
      <c r="A138" s="4" t="inlineStr">
        <is>
          <t>Voltage</t>
        </is>
      </c>
      <c r="B138" s="4" t="inlineStr">
        <is>
          <t>CD</t>
        </is>
      </c>
      <c r="C138" s="4" t="inlineStr">
        <is>
          <t>400V</t>
        </is>
      </c>
      <c r="D138" s="5" t="n">
        <v>2035</v>
      </c>
      <c r="E138" s="6" t="n">
        <v>0.1525982855090025</v>
      </c>
      <c r="F138" s="6" t="n">
        <v>0.2725982855090024</v>
      </c>
      <c r="G138" s="6" t="n">
        <v>0.3925982855090024</v>
      </c>
      <c r="H138" s="4" t="inlineStr">
        <is>
          <t>complement of 800V</t>
        </is>
      </c>
    </row>
    <row r="139">
      <c r="A139" s="4" t="inlineStr">
        <is>
          <t>Voltage</t>
        </is>
      </c>
      <c r="B139" s="4" t="inlineStr">
        <is>
          <t>CD</t>
        </is>
      </c>
      <c r="C139" s="4" t="inlineStr">
        <is>
          <t>800V</t>
        </is>
      </c>
      <c r="D139" s="5" t="n">
        <v>2040</v>
      </c>
      <c r="E139" s="6" t="n">
        <v>0.7568528619701244</v>
      </c>
      <c r="F139" s="6" t="n">
        <v>0.8768528619701244</v>
      </c>
      <c r="G139" s="6" t="n">
        <v>0.9968528619701243</v>
      </c>
      <c r="H139" s="4" t="inlineStr">
        <is>
          <t>From 16_, agreed with you</t>
        </is>
      </c>
    </row>
    <row r="140">
      <c r="A140" s="4" t="inlineStr">
        <is>
          <t>Voltage</t>
        </is>
      </c>
      <c r="B140" s="4" t="inlineStr">
        <is>
          <t>CD</t>
        </is>
      </c>
      <c r="C140" s="4" t="inlineStr">
        <is>
          <t>400V</t>
        </is>
      </c>
      <c r="D140" s="5" t="n">
        <v>2040</v>
      </c>
      <c r="E140" s="6" t="n">
        <v>0.003147138029875651</v>
      </c>
      <c r="F140" s="6" t="n">
        <v>0.1231471380298756</v>
      </c>
      <c r="G140" s="6" t="n">
        <v>0.2431471380298756</v>
      </c>
      <c r="H140" s="4" t="inlineStr">
        <is>
          <t>complement of 800V</t>
        </is>
      </c>
    </row>
    <row r="141">
      <c r="A141" s="4" t="inlineStr">
        <is>
          <t>Voltage</t>
        </is>
      </c>
      <c r="B141" s="4" t="inlineStr">
        <is>
          <t>CD</t>
        </is>
      </c>
      <c r="C141" s="4" t="inlineStr">
        <is>
          <t>800V</t>
        </is>
      </c>
      <c r="D141" s="5" t="n">
        <v>2045</v>
      </c>
      <c r="E141" s="6" t="n">
        <v>0.8300000000000001</v>
      </c>
      <c r="F141" s="6" t="n">
        <v>0.9500000000000001</v>
      </c>
      <c r="G141" s="6" t="n">
        <v>1</v>
      </c>
      <c r="H141" s="4" t="inlineStr">
        <is>
          <t>From 16_, agreed with you</t>
        </is>
      </c>
    </row>
    <row r="142">
      <c r="A142" s="4" t="inlineStr">
        <is>
          <t>Voltage</t>
        </is>
      </c>
      <c r="B142" s="4" t="inlineStr">
        <is>
          <t>CD</t>
        </is>
      </c>
      <c r="C142" s="4" t="inlineStr">
        <is>
          <t>400V</t>
        </is>
      </c>
      <c r="D142" s="5" t="n">
        <v>2045</v>
      </c>
      <c r="E142" s="6" t="n">
        <v>0</v>
      </c>
      <c r="F142" s="6" t="n">
        <v>0.04999999999999993</v>
      </c>
      <c r="G142" s="6" t="n">
        <v>0.1699999999999999</v>
      </c>
      <c r="H142" s="4" t="inlineStr">
        <is>
          <t>complement of 800V</t>
        </is>
      </c>
    </row>
    <row r="143">
      <c r="A143" s="4" t="inlineStr">
        <is>
          <t>Voltage</t>
        </is>
      </c>
      <c r="B143" s="4" t="inlineStr">
        <is>
          <t>CD</t>
        </is>
      </c>
      <c r="C143" s="4" t="inlineStr">
        <is>
          <t>800V</t>
        </is>
      </c>
      <c r="D143" s="5" t="n">
        <v>2050</v>
      </c>
      <c r="E143" s="6" t="n">
        <v>0.8606575023001649</v>
      </c>
      <c r="F143" s="6" t="n">
        <v>0.9806575023001649</v>
      </c>
      <c r="G143" s="6" t="n">
        <v>1</v>
      </c>
      <c r="H143" s="4" t="inlineStr">
        <is>
          <t>From 16_, agreed with you</t>
        </is>
      </c>
    </row>
    <row r="144">
      <c r="A144" s="4" t="inlineStr">
        <is>
          <t>Voltage</t>
        </is>
      </c>
      <c r="B144" s="4" t="inlineStr">
        <is>
          <t>CD</t>
        </is>
      </c>
      <c r="C144" s="4" t="inlineStr">
        <is>
          <t>400V</t>
        </is>
      </c>
      <c r="D144" s="5" t="n">
        <v>2050</v>
      </c>
      <c r="E144" s="6" t="n">
        <v>0</v>
      </c>
      <c r="F144" s="6" t="n">
        <v>0.01934249769983509</v>
      </c>
      <c r="G144" s="6" t="n">
        <v>0.1393424976998351</v>
      </c>
      <c r="H144" s="4" t="inlineStr">
        <is>
          <t>complement of 800V</t>
        </is>
      </c>
    </row>
    <row r="145">
      <c r="A145" s="4" t="inlineStr">
        <is>
          <t>Voltage</t>
        </is>
      </c>
      <c r="B145" s="4" t="inlineStr">
        <is>
          <t>CD</t>
        </is>
      </c>
      <c r="C145" s="4" t="inlineStr">
        <is>
          <t>800V</t>
        </is>
      </c>
      <c r="D145" s="5" t="n">
        <v>2060</v>
      </c>
      <c r="E145" s="6" t="n">
        <v>0.8772375690607735</v>
      </c>
      <c r="F145" s="6" t="n">
        <v>0.9972375690607735</v>
      </c>
      <c r="G145" s="6" t="n">
        <v>1</v>
      </c>
      <c r="H145" s="4" t="inlineStr">
        <is>
          <t>From 16_, agreed with you</t>
        </is>
      </c>
    </row>
    <row r="146">
      <c r="A146" s="4" t="inlineStr">
        <is>
          <t>Voltage</t>
        </is>
      </c>
      <c r="B146" s="4" t="inlineStr">
        <is>
          <t>CD</t>
        </is>
      </c>
      <c r="C146" s="4" t="inlineStr">
        <is>
          <t>400V</t>
        </is>
      </c>
      <c r="D146" s="5" t="n">
        <v>2060</v>
      </c>
      <c r="E146" s="6" t="n">
        <v>0</v>
      </c>
      <c r="F146" s="6" t="n">
        <v>0.002762430939226457</v>
      </c>
      <c r="G146" s="6" t="n">
        <v>0.1227624309392265</v>
      </c>
      <c r="H146" s="4" t="inlineStr">
        <is>
          <t>complement of 800V</t>
        </is>
      </c>
    </row>
    <row r="147">
      <c r="A147" s="4" t="inlineStr">
        <is>
          <t>Voltage</t>
        </is>
      </c>
      <c r="B147" s="4" t="inlineStr">
        <is>
          <t>CD</t>
        </is>
      </c>
      <c r="C147" s="4" t="inlineStr">
        <is>
          <t>800V</t>
        </is>
      </c>
      <c r="D147" s="5" t="n">
        <v>2070</v>
      </c>
      <c r="E147" s="6" t="n">
        <v>0.8796111147475328</v>
      </c>
      <c r="F147" s="6" t="n">
        <v>0.9996111147475328</v>
      </c>
      <c r="G147" s="6" t="n">
        <v>1</v>
      </c>
      <c r="H147" s="4" t="inlineStr">
        <is>
          <t>From 16_, agreed with you</t>
        </is>
      </c>
    </row>
    <row r="148">
      <c r="A148" s="4" t="inlineStr">
        <is>
          <t>Voltage</t>
        </is>
      </c>
      <c r="B148" s="4" t="inlineStr">
        <is>
          <t>CD</t>
        </is>
      </c>
      <c r="C148" s="4" t="inlineStr">
        <is>
          <t>400V</t>
        </is>
      </c>
      <c r="D148" s="5" t="n">
        <v>2070</v>
      </c>
      <c r="E148" s="6" t="n">
        <v>0</v>
      </c>
      <c r="F148" s="6" t="n">
        <v>0.0003888852524671638</v>
      </c>
      <c r="G148" s="6" t="n">
        <v>0.1203888852524672</v>
      </c>
      <c r="H148" s="4" t="inlineStr">
        <is>
          <t>complement of 800V</t>
        </is>
      </c>
    </row>
    <row r="149">
      <c r="A149" s="4" t="inlineStr">
        <is>
          <t>Voltage</t>
        </is>
      </c>
      <c r="B149" s="4" t="inlineStr">
        <is>
          <t>AB</t>
        </is>
      </c>
      <c r="C149" s="4" t="inlineStr">
        <is>
          <t>800V</t>
        </is>
      </c>
      <c r="D149" s="5" t="n">
        <v>2010</v>
      </c>
      <c r="E149" s="6" t="n">
        <v>0</v>
      </c>
      <c r="F149" s="6" t="n">
        <v>0.00103702920687959</v>
      </c>
      <c r="G149" s="6" t="n">
        <v>0.1210370292068796</v>
      </c>
      <c r="H149" s="4" t="inlineStr">
        <is>
          <t>From 16_, agreed with you</t>
        </is>
      </c>
    </row>
    <row r="150">
      <c r="A150" s="4" t="inlineStr">
        <is>
          <t>Voltage</t>
        </is>
      </c>
      <c r="B150" s="4" t="inlineStr">
        <is>
          <t>AB</t>
        </is>
      </c>
      <c r="C150" s="4" t="inlineStr">
        <is>
          <t>400V</t>
        </is>
      </c>
      <c r="D150" s="5" t="n">
        <v>2010</v>
      </c>
      <c r="E150" s="6" t="n">
        <v>0.8789629707931205</v>
      </c>
      <c r="F150" s="6" t="n">
        <v>0.9989629707931205</v>
      </c>
      <c r="G150" s="6" t="n">
        <v>1</v>
      </c>
      <c r="H150" s="4" t="inlineStr">
        <is>
          <t>complement of 800V</t>
        </is>
      </c>
    </row>
    <row r="151">
      <c r="A151" s="4" t="inlineStr">
        <is>
          <t>Voltage</t>
        </is>
      </c>
      <c r="B151" s="4" t="inlineStr">
        <is>
          <t>AB</t>
        </is>
      </c>
      <c r="C151" s="4" t="inlineStr">
        <is>
          <t>800V</t>
        </is>
      </c>
      <c r="D151" s="5" t="n">
        <v>2015</v>
      </c>
      <c r="E151" s="6" t="n">
        <v>0</v>
      </c>
      <c r="F151" s="6" t="n">
        <v>0.002762430939226521</v>
      </c>
      <c r="G151" s="6" t="n">
        <v>0.1227624309392265</v>
      </c>
      <c r="H151" s="4" t="inlineStr">
        <is>
          <t>From 16_, agreed with you</t>
        </is>
      </c>
    </row>
    <row r="152">
      <c r="A152" s="4" t="inlineStr">
        <is>
          <t>Voltage</t>
        </is>
      </c>
      <c r="B152" s="4" t="inlineStr">
        <is>
          <t>AB</t>
        </is>
      </c>
      <c r="C152" s="4" t="inlineStr">
        <is>
          <t>400V</t>
        </is>
      </c>
      <c r="D152" s="5" t="n">
        <v>2015</v>
      </c>
      <c r="E152" s="6" t="n">
        <v>0.8772375690607734</v>
      </c>
      <c r="F152" s="6" t="n">
        <v>0.9972375690607734</v>
      </c>
      <c r="G152" s="6" t="n">
        <v>1</v>
      </c>
      <c r="H152" s="4" t="inlineStr">
        <is>
          <t>complement of 800V</t>
        </is>
      </c>
    </row>
    <row r="153">
      <c r="A153" s="4" t="inlineStr">
        <is>
          <t>Voltage</t>
        </is>
      </c>
      <c r="B153" s="4" t="inlineStr">
        <is>
          <t>AB</t>
        </is>
      </c>
      <c r="C153" s="4" t="inlineStr">
        <is>
          <t>800V</t>
        </is>
      </c>
      <c r="D153" s="5" t="n">
        <v>2020</v>
      </c>
      <c r="E153" s="6" t="n">
        <v>0</v>
      </c>
      <c r="F153" s="6" t="n">
        <v>0.007337458070661396</v>
      </c>
      <c r="G153" s="6" t="n">
        <v>0.1273374580706614</v>
      </c>
      <c r="H153" s="4" t="inlineStr">
        <is>
          <t>From 16_, agreed with you</t>
        </is>
      </c>
    </row>
    <row r="154">
      <c r="A154" s="4" t="inlineStr">
        <is>
          <t>Voltage</t>
        </is>
      </c>
      <c r="B154" s="4" t="inlineStr">
        <is>
          <t>AB</t>
        </is>
      </c>
      <c r="C154" s="4" t="inlineStr">
        <is>
          <t>400V</t>
        </is>
      </c>
      <c r="D154" s="5" t="n">
        <v>2020</v>
      </c>
      <c r="E154" s="6" t="n">
        <v>0.8726625419293386</v>
      </c>
      <c r="F154" s="6" t="n">
        <v>0.9926625419293386</v>
      </c>
      <c r="G154" s="6" t="n">
        <v>1</v>
      </c>
      <c r="H154" s="4" t="inlineStr">
        <is>
          <t>complement of 800V</t>
        </is>
      </c>
    </row>
    <row r="155">
      <c r="A155" s="4" t="inlineStr">
        <is>
          <t>Voltage</t>
        </is>
      </c>
      <c r="B155" s="4" t="inlineStr">
        <is>
          <t>AB</t>
        </is>
      </c>
      <c r="C155" s="4" t="inlineStr">
        <is>
          <t>800V</t>
        </is>
      </c>
      <c r="D155" s="5" t="n">
        <v>2025</v>
      </c>
      <c r="E155" s="6" t="n">
        <v>0</v>
      </c>
      <c r="F155" s="6" t="n">
        <v>0.01934249769983506</v>
      </c>
      <c r="G155" s="6" t="n">
        <v>0.1393424976998351</v>
      </c>
      <c r="H155" s="4" t="inlineStr">
        <is>
          <t>From 16_, agreed with you</t>
        </is>
      </c>
    </row>
    <row r="156">
      <c r="A156" s="4" t="inlineStr">
        <is>
          <t>Voltage</t>
        </is>
      </c>
      <c r="B156" s="4" t="inlineStr">
        <is>
          <t>AB</t>
        </is>
      </c>
      <c r="C156" s="4" t="inlineStr">
        <is>
          <t>400V</t>
        </is>
      </c>
      <c r="D156" s="5" t="n">
        <v>2025</v>
      </c>
      <c r="E156" s="6" t="n">
        <v>0.8606575023001649</v>
      </c>
      <c r="F156" s="6" t="n">
        <v>0.9806575023001649</v>
      </c>
      <c r="G156" s="6" t="n">
        <v>1</v>
      </c>
      <c r="H156" s="4" t="inlineStr">
        <is>
          <t>complement of 800V</t>
        </is>
      </c>
    </row>
    <row r="157">
      <c r="A157" s="4" t="inlineStr">
        <is>
          <t>Voltage</t>
        </is>
      </c>
      <c r="B157" s="4" t="inlineStr">
        <is>
          <t>AB</t>
        </is>
      </c>
      <c r="C157" s="4" t="inlineStr">
        <is>
          <t>800V</t>
        </is>
      </c>
      <c r="D157" s="5" t="n">
        <v>2030</v>
      </c>
      <c r="E157" s="6" t="n">
        <v>0</v>
      </c>
      <c r="F157" s="6" t="n">
        <v>0.05000000000000001</v>
      </c>
      <c r="G157" s="6" t="n">
        <v>0.17</v>
      </c>
      <c r="H157" s="4" t="inlineStr">
        <is>
          <t>From 16_, agreed with you</t>
        </is>
      </c>
    </row>
    <row r="158">
      <c r="A158" s="4" t="inlineStr">
        <is>
          <t>Voltage</t>
        </is>
      </c>
      <c r="B158" s="4" t="inlineStr">
        <is>
          <t>AB</t>
        </is>
      </c>
      <c r="C158" s="4" t="inlineStr">
        <is>
          <t>400V</t>
        </is>
      </c>
      <c r="D158" s="5" t="n">
        <v>2030</v>
      </c>
      <c r="E158" s="6" t="n">
        <v>0.83</v>
      </c>
      <c r="F158" s="6" t="n">
        <v>0.95</v>
      </c>
      <c r="G158" s="6" t="n">
        <v>1</v>
      </c>
      <c r="H158" s="4" t="inlineStr">
        <is>
          <t>complement of 800V</t>
        </is>
      </c>
    </row>
    <row r="159">
      <c r="A159" s="4" t="inlineStr">
        <is>
          <t>Voltage</t>
        </is>
      </c>
      <c r="B159" s="4" t="inlineStr">
        <is>
          <t>AB</t>
        </is>
      </c>
      <c r="C159" s="4" t="inlineStr">
        <is>
          <t>800V</t>
        </is>
      </c>
      <c r="D159" s="5" t="n">
        <v>2035</v>
      </c>
      <c r="E159" s="6" t="n">
        <v>0.003147138029875624</v>
      </c>
      <c r="F159" s="6" t="n">
        <v>0.1231471380298756</v>
      </c>
      <c r="G159" s="6" t="n">
        <v>0.2431471380298756</v>
      </c>
      <c r="H159" s="4" t="inlineStr">
        <is>
          <t>From 16_, agreed with you</t>
        </is>
      </c>
    </row>
    <row r="160">
      <c r="A160" s="4" t="inlineStr">
        <is>
          <t>Voltage</t>
        </is>
      </c>
      <c r="B160" s="4" t="inlineStr">
        <is>
          <t>AB</t>
        </is>
      </c>
      <c r="C160" s="4" t="inlineStr">
        <is>
          <t>400V</t>
        </is>
      </c>
      <c r="D160" s="5" t="n">
        <v>2035</v>
      </c>
      <c r="E160" s="6" t="n">
        <v>0.7568528619701244</v>
      </c>
      <c r="F160" s="6" t="n">
        <v>0.8768528619701244</v>
      </c>
      <c r="G160" s="6" t="n">
        <v>0.9968528619701243</v>
      </c>
      <c r="H160" s="4" t="inlineStr">
        <is>
          <t>complement of 800V</t>
        </is>
      </c>
    </row>
    <row r="161">
      <c r="A161" s="4" t="inlineStr">
        <is>
          <t>Voltage</t>
        </is>
      </c>
      <c r="B161" s="4" t="inlineStr">
        <is>
          <t>AB</t>
        </is>
      </c>
      <c r="C161" s="4" t="inlineStr">
        <is>
          <t>800V</t>
        </is>
      </c>
      <c r="D161" s="5" t="n">
        <v>2040</v>
      </c>
      <c r="E161" s="6" t="n">
        <v>0.1525982855090025</v>
      </c>
      <c r="F161" s="6" t="n">
        <v>0.2725982855090024</v>
      </c>
      <c r="G161" s="6" t="n">
        <v>0.3925982855090024</v>
      </c>
      <c r="H161" s="4" t="inlineStr">
        <is>
          <t>From 16_, agreed with you</t>
        </is>
      </c>
    </row>
    <row r="162">
      <c r="A162" s="4" t="inlineStr">
        <is>
          <t>Voltage</t>
        </is>
      </c>
      <c r="B162" s="4" t="inlineStr">
        <is>
          <t>AB</t>
        </is>
      </c>
      <c r="C162" s="4" t="inlineStr">
        <is>
          <t>400V</t>
        </is>
      </c>
      <c r="D162" s="5" t="n">
        <v>2040</v>
      </c>
      <c r="E162" s="6" t="n">
        <v>0.6074017144909976</v>
      </c>
      <c r="F162" s="6" t="n">
        <v>0.7274017144909976</v>
      </c>
      <c r="G162" s="6" t="n">
        <v>0.8474017144909975</v>
      </c>
      <c r="H162" s="4" t="inlineStr">
        <is>
          <t>complement of 800V</t>
        </is>
      </c>
    </row>
    <row r="163">
      <c r="A163" s="4" t="inlineStr">
        <is>
          <t>Voltage</t>
        </is>
      </c>
      <c r="B163" s="4" t="inlineStr">
        <is>
          <t>AB</t>
        </is>
      </c>
      <c r="C163" s="4" t="inlineStr">
        <is>
          <t>800V</t>
        </is>
      </c>
      <c r="D163" s="5" t="n">
        <v>2045</v>
      </c>
      <c r="E163" s="6" t="n">
        <v>0.38</v>
      </c>
      <c r="F163" s="6" t="n">
        <v>0.5</v>
      </c>
      <c r="G163" s="6" t="n">
        <v>0.62</v>
      </c>
      <c r="H163" s="4" t="inlineStr">
        <is>
          <t>From 16_, agreed with you</t>
        </is>
      </c>
    </row>
    <row r="164">
      <c r="A164" s="4" t="inlineStr">
        <is>
          <t>Voltage</t>
        </is>
      </c>
      <c r="B164" s="4" t="inlineStr">
        <is>
          <t>AB</t>
        </is>
      </c>
      <c r="C164" s="4" t="inlineStr">
        <is>
          <t>400V</t>
        </is>
      </c>
      <c r="D164" s="5" t="n">
        <v>2045</v>
      </c>
      <c r="E164" s="6" t="n">
        <v>0.38</v>
      </c>
      <c r="F164" s="6" t="n">
        <v>0.5</v>
      </c>
      <c r="G164" s="6" t="n">
        <v>0.62</v>
      </c>
      <c r="H164" s="4" t="inlineStr">
        <is>
          <t>complement of 800V</t>
        </is>
      </c>
    </row>
    <row r="165">
      <c r="A165" s="4" t="inlineStr">
        <is>
          <t>Voltage</t>
        </is>
      </c>
      <c r="B165" s="4" t="inlineStr">
        <is>
          <t>AB</t>
        </is>
      </c>
      <c r="C165" s="4" t="inlineStr">
        <is>
          <t>800V</t>
        </is>
      </c>
      <c r="D165" s="5" t="n">
        <v>2050</v>
      </c>
      <c r="E165" s="6" t="n">
        <v>0.6074017144909976</v>
      </c>
      <c r="F165" s="6" t="n">
        <v>0.7274017144909976</v>
      </c>
      <c r="G165" s="6" t="n">
        <v>0.8474017144909975</v>
      </c>
      <c r="H165" s="4" t="inlineStr">
        <is>
          <t>From 16_, agreed with you</t>
        </is>
      </c>
    </row>
    <row r="166">
      <c r="A166" s="4" t="inlineStr">
        <is>
          <t>Voltage</t>
        </is>
      </c>
      <c r="B166" s="4" t="inlineStr">
        <is>
          <t>AB</t>
        </is>
      </c>
      <c r="C166" s="4" t="inlineStr">
        <is>
          <t>400V</t>
        </is>
      </c>
      <c r="D166" s="5" t="n">
        <v>2050</v>
      </c>
      <c r="E166" s="6" t="n">
        <v>0.1525982855090025</v>
      </c>
      <c r="F166" s="6" t="n">
        <v>0.2725982855090024</v>
      </c>
      <c r="G166" s="6" t="n">
        <v>0.3925982855090024</v>
      </c>
      <c r="H166" s="4" t="inlineStr">
        <is>
          <t>complement of 800V</t>
        </is>
      </c>
    </row>
    <row r="167">
      <c r="A167" s="4" t="inlineStr">
        <is>
          <t>Voltage</t>
        </is>
      </c>
      <c r="B167" s="4" t="inlineStr">
        <is>
          <t>AB</t>
        </is>
      </c>
      <c r="C167" s="4" t="inlineStr">
        <is>
          <t>800V</t>
        </is>
      </c>
      <c r="D167" s="5" t="n">
        <v>2060</v>
      </c>
      <c r="E167" s="6" t="n">
        <v>0.8300000000000001</v>
      </c>
      <c r="F167" s="6" t="n">
        <v>0.9500000000000001</v>
      </c>
      <c r="G167" s="6" t="n">
        <v>1</v>
      </c>
      <c r="H167" s="4" t="inlineStr">
        <is>
          <t>From 16_, agreed with you</t>
        </is>
      </c>
    </row>
    <row r="168">
      <c r="A168" s="4" t="inlineStr">
        <is>
          <t>Voltage</t>
        </is>
      </c>
      <c r="B168" s="4" t="inlineStr">
        <is>
          <t>AB</t>
        </is>
      </c>
      <c r="C168" s="4" t="inlineStr">
        <is>
          <t>400V</t>
        </is>
      </c>
      <c r="D168" s="5" t="n">
        <v>2060</v>
      </c>
      <c r="E168" s="6" t="n">
        <v>0</v>
      </c>
      <c r="F168" s="6" t="n">
        <v>0.04999999999999993</v>
      </c>
      <c r="G168" s="6" t="n">
        <v>0.1699999999999999</v>
      </c>
      <c r="H168" s="4" t="inlineStr">
        <is>
          <t>complement of 800V</t>
        </is>
      </c>
    </row>
    <row r="169">
      <c r="A169" s="4" t="inlineStr">
        <is>
          <t>Voltage</t>
        </is>
      </c>
      <c r="B169" s="4" t="inlineStr">
        <is>
          <t>AB</t>
        </is>
      </c>
      <c r="C169" s="4" t="inlineStr">
        <is>
          <t>800V</t>
        </is>
      </c>
      <c r="D169" s="5" t="n">
        <v>2070</v>
      </c>
      <c r="E169" s="6" t="n">
        <v>0.8726625419293386</v>
      </c>
      <c r="F169" s="6" t="n">
        <v>0.9926625419293386</v>
      </c>
      <c r="G169" s="6" t="n">
        <v>1</v>
      </c>
      <c r="H169" s="4" t="inlineStr">
        <is>
          <t>From 16_, agreed with you</t>
        </is>
      </c>
    </row>
    <row r="170">
      <c r="A170" s="4" t="inlineStr">
        <is>
          <t>Voltage</t>
        </is>
      </c>
      <c r="B170" s="4" t="inlineStr">
        <is>
          <t>AB</t>
        </is>
      </c>
      <c r="C170" s="4" t="inlineStr">
        <is>
          <t>400V</t>
        </is>
      </c>
      <c r="D170" s="5" t="n">
        <v>2070</v>
      </c>
      <c r="E170" s="6" t="n">
        <v>0</v>
      </c>
      <c r="F170" s="6" t="n">
        <v>0.00733745807066144</v>
      </c>
      <c r="G170" s="6" t="n">
        <v>0.1273374580706614</v>
      </c>
      <c r="H170" s="4" t="inlineStr">
        <is>
          <t>complement of 800V</t>
        </is>
      </c>
    </row>
    <row r="171">
      <c r="A171" s="4" t="inlineStr">
        <is>
          <t>Autonomy</t>
        </is>
      </c>
      <c r="B171" s="4" t="inlineStr">
        <is>
          <t>EF</t>
        </is>
      </c>
      <c r="C171" s="4" t="inlineStr">
        <is>
          <t>L0</t>
        </is>
      </c>
      <c r="D171" s="5" t="n">
        <v>2010</v>
      </c>
      <c r="E171" s="6" t="n">
        <v>0.78</v>
      </c>
      <c r="F171" s="6" t="n">
        <v>0.9</v>
      </c>
      <c r="G171" s="6" t="n">
        <v>1</v>
      </c>
      <c r="H171" s="7" t="inlineStr">
        <is>
          <t>MY GUESS - please correct</t>
        </is>
      </c>
    </row>
    <row r="172">
      <c r="A172" s="4" t="inlineStr">
        <is>
          <t>Autonomy</t>
        </is>
      </c>
      <c r="B172" s="4" t="inlineStr">
        <is>
          <t>EF</t>
        </is>
      </c>
      <c r="C172" s="4" t="inlineStr">
        <is>
          <t>L1</t>
        </is>
      </c>
      <c r="D172" s="5" t="n">
        <v>2010</v>
      </c>
      <c r="E172" s="6" t="n">
        <v>0</v>
      </c>
      <c r="F172" s="6" t="n">
        <v>0.1</v>
      </c>
      <c r="G172" s="6" t="n">
        <v>0.22</v>
      </c>
      <c r="H172" s="7" t="inlineStr">
        <is>
          <t>MY GUESS - please correct</t>
        </is>
      </c>
    </row>
    <row r="173">
      <c r="A173" s="4" t="inlineStr">
        <is>
          <t>Autonomy</t>
        </is>
      </c>
      <c r="B173" s="4" t="inlineStr">
        <is>
          <t>EF</t>
        </is>
      </c>
      <c r="C173" s="4" t="inlineStr">
        <is>
          <t>L2</t>
        </is>
      </c>
      <c r="D173" s="5" t="n">
        <v>2010</v>
      </c>
      <c r="E173" s="6" t="n">
        <v>0</v>
      </c>
      <c r="F173" s="6" t="n">
        <v>0</v>
      </c>
      <c r="G173" s="6" t="n">
        <v>0.12</v>
      </c>
      <c r="H173" s="7" t="inlineStr">
        <is>
          <t>MY GUESS - please correct</t>
        </is>
      </c>
    </row>
    <row r="174">
      <c r="A174" s="4" t="inlineStr">
        <is>
          <t>Autonomy</t>
        </is>
      </c>
      <c r="B174" s="4" t="inlineStr">
        <is>
          <t>EF</t>
        </is>
      </c>
      <c r="C174" s="4" t="inlineStr">
        <is>
          <t>L3</t>
        </is>
      </c>
      <c r="D174" s="5" t="n">
        <v>2010</v>
      </c>
      <c r="E174" s="6" t="n">
        <v>0</v>
      </c>
      <c r="F174" s="6" t="n">
        <v>0</v>
      </c>
      <c r="G174" s="6" t="n">
        <v>0.12</v>
      </c>
      <c r="H174" s="7" t="inlineStr">
        <is>
          <t>MY GUESS - please correct</t>
        </is>
      </c>
    </row>
    <row r="175">
      <c r="A175" s="4" t="inlineStr">
        <is>
          <t>Autonomy</t>
        </is>
      </c>
      <c r="B175" s="4" t="inlineStr">
        <is>
          <t>EF</t>
        </is>
      </c>
      <c r="C175" s="4" t="inlineStr">
        <is>
          <t>L4</t>
        </is>
      </c>
      <c r="D175" s="5" t="n">
        <v>2010</v>
      </c>
      <c r="E175" s="6" t="n">
        <v>0</v>
      </c>
      <c r="F175" s="6" t="n">
        <v>0</v>
      </c>
      <c r="G175" s="6" t="n">
        <v>0.12</v>
      </c>
      <c r="H175" s="7" t="inlineStr">
        <is>
          <t>MY GUESS - please correct</t>
        </is>
      </c>
    </row>
    <row r="176">
      <c r="A176" s="4" t="inlineStr">
        <is>
          <t>Autonomy</t>
        </is>
      </c>
      <c r="B176" s="4" t="inlineStr">
        <is>
          <t>EF</t>
        </is>
      </c>
      <c r="C176" s="4" t="inlineStr">
        <is>
          <t>L5</t>
        </is>
      </c>
      <c r="D176" s="5" t="n">
        <v>2010</v>
      </c>
      <c r="E176" s="6" t="n">
        <v>0</v>
      </c>
      <c r="F176" s="6" t="n">
        <v>0</v>
      </c>
      <c r="G176" s="6" t="n">
        <v>0.12</v>
      </c>
      <c r="H176" s="7" t="inlineStr">
        <is>
          <t>MY GUESS - please correct</t>
        </is>
      </c>
    </row>
    <row r="177">
      <c r="A177" s="4" t="inlineStr">
        <is>
          <t>Autonomy</t>
        </is>
      </c>
      <c r="B177" s="4" t="inlineStr">
        <is>
          <t>EF</t>
        </is>
      </c>
      <c r="C177" s="4" t="inlineStr">
        <is>
          <t>L0</t>
        </is>
      </c>
      <c r="D177" s="5" t="n">
        <v>2015</v>
      </c>
      <c r="E177" s="6" t="n">
        <v>0.43</v>
      </c>
      <c r="F177" s="6" t="n">
        <v>0.55</v>
      </c>
      <c r="G177" s="6" t="n">
        <v>0.67</v>
      </c>
      <c r="H177" s="7" t="inlineStr">
        <is>
          <t>MY GUESS - please correct</t>
        </is>
      </c>
    </row>
    <row r="178">
      <c r="A178" s="4" t="inlineStr">
        <is>
          <t>Autonomy</t>
        </is>
      </c>
      <c r="B178" s="4" t="inlineStr">
        <is>
          <t>EF</t>
        </is>
      </c>
      <c r="C178" s="4" t="inlineStr">
        <is>
          <t>L1</t>
        </is>
      </c>
      <c r="D178" s="5" t="n">
        <v>2015</v>
      </c>
      <c r="E178" s="6" t="n">
        <v>0.28</v>
      </c>
      <c r="F178" s="6" t="n">
        <v>0.4</v>
      </c>
      <c r="G178" s="6" t="n">
        <v>0.52</v>
      </c>
      <c r="H178" s="7" t="inlineStr">
        <is>
          <t>MY GUESS - please correct</t>
        </is>
      </c>
    </row>
    <row r="179">
      <c r="A179" s="4" t="inlineStr">
        <is>
          <t>Autonomy</t>
        </is>
      </c>
      <c r="B179" s="4" t="inlineStr">
        <is>
          <t>EF</t>
        </is>
      </c>
      <c r="C179" s="4" t="inlineStr">
        <is>
          <t>L2</t>
        </is>
      </c>
      <c r="D179" s="5" t="n">
        <v>2015</v>
      </c>
      <c r="E179" s="6" t="n">
        <v>0</v>
      </c>
      <c r="F179" s="6" t="n">
        <v>0.05</v>
      </c>
      <c r="G179" s="6" t="n">
        <v>0.17</v>
      </c>
      <c r="H179" s="7" t="inlineStr">
        <is>
          <t>MY GUESS - please correct</t>
        </is>
      </c>
    </row>
    <row r="180">
      <c r="A180" s="4" t="inlineStr">
        <is>
          <t>Autonomy</t>
        </is>
      </c>
      <c r="B180" s="4" t="inlineStr">
        <is>
          <t>EF</t>
        </is>
      </c>
      <c r="C180" s="4" t="inlineStr">
        <is>
          <t>L3</t>
        </is>
      </c>
      <c r="D180" s="5" t="n">
        <v>2015</v>
      </c>
      <c r="E180" s="6" t="n">
        <v>0</v>
      </c>
      <c r="F180" s="6" t="n">
        <v>0</v>
      </c>
      <c r="G180" s="6" t="n">
        <v>0.12</v>
      </c>
      <c r="H180" s="7" t="inlineStr">
        <is>
          <t>MY GUESS - please correct</t>
        </is>
      </c>
    </row>
    <row r="181">
      <c r="A181" s="4" t="inlineStr">
        <is>
          <t>Autonomy</t>
        </is>
      </c>
      <c r="B181" s="4" t="inlineStr">
        <is>
          <t>EF</t>
        </is>
      </c>
      <c r="C181" s="4" t="inlineStr">
        <is>
          <t>L4</t>
        </is>
      </c>
      <c r="D181" s="5" t="n">
        <v>2015</v>
      </c>
      <c r="E181" s="6" t="n">
        <v>0</v>
      </c>
      <c r="F181" s="6" t="n">
        <v>0</v>
      </c>
      <c r="G181" s="6" t="n">
        <v>0.12</v>
      </c>
      <c r="H181" s="7" t="inlineStr">
        <is>
          <t>MY GUESS - please correct</t>
        </is>
      </c>
    </row>
    <row r="182">
      <c r="A182" s="4" t="inlineStr">
        <is>
          <t>Autonomy</t>
        </is>
      </c>
      <c r="B182" s="4" t="inlineStr">
        <is>
          <t>EF</t>
        </is>
      </c>
      <c r="C182" s="4" t="inlineStr">
        <is>
          <t>L5</t>
        </is>
      </c>
      <c r="D182" s="5" t="n">
        <v>2015</v>
      </c>
      <c r="E182" s="6" t="n">
        <v>0</v>
      </c>
      <c r="F182" s="6" t="n">
        <v>0</v>
      </c>
      <c r="G182" s="6" t="n">
        <v>0.12</v>
      </c>
      <c r="H182" s="7" t="inlineStr">
        <is>
          <t>MY GUESS - please correct</t>
        </is>
      </c>
    </row>
    <row r="183">
      <c r="A183" s="4" t="inlineStr">
        <is>
          <t>Autonomy</t>
        </is>
      </c>
      <c r="B183" s="4" t="inlineStr">
        <is>
          <t>EF</t>
        </is>
      </c>
      <c r="C183" s="4" t="inlineStr">
        <is>
          <t>L0</t>
        </is>
      </c>
      <c r="D183" s="5" t="n">
        <v>2020</v>
      </c>
      <c r="E183" s="6" t="n">
        <v>0</v>
      </c>
      <c r="F183" s="6" t="n">
        <v>0</v>
      </c>
      <c r="G183" s="6" t="n">
        <v>0.12</v>
      </c>
      <c r="H183" s="7" t="inlineStr">
        <is>
          <t>MY GUESS - please correct</t>
        </is>
      </c>
    </row>
    <row r="184">
      <c r="A184" s="4" t="inlineStr">
        <is>
          <t>Autonomy</t>
        </is>
      </c>
      <c r="B184" s="4" t="inlineStr">
        <is>
          <t>EF</t>
        </is>
      </c>
      <c r="C184" s="4" t="inlineStr">
        <is>
          <t>L1</t>
        </is>
      </c>
      <c r="D184" s="5" t="n">
        <v>2020</v>
      </c>
      <c r="E184" s="6" t="n">
        <v>0.23</v>
      </c>
      <c r="F184" s="6" t="n">
        <v>0.35</v>
      </c>
      <c r="G184" s="6" t="n">
        <v>0.47</v>
      </c>
      <c r="H184" s="7" t="inlineStr">
        <is>
          <t>MY GUESS - please correct</t>
        </is>
      </c>
    </row>
    <row r="185">
      <c r="A185" s="4" t="inlineStr">
        <is>
          <t>Autonomy</t>
        </is>
      </c>
      <c r="B185" s="4" t="inlineStr">
        <is>
          <t>EF</t>
        </is>
      </c>
      <c r="C185" s="4" t="inlineStr">
        <is>
          <t>L2</t>
        </is>
      </c>
      <c r="D185" s="5" t="n">
        <v>2020</v>
      </c>
      <c r="E185" s="6" t="n">
        <v>0.43</v>
      </c>
      <c r="F185" s="6" t="n">
        <v>0.55</v>
      </c>
      <c r="G185" s="6" t="n">
        <v>0.67</v>
      </c>
      <c r="H185" s="7" t="inlineStr">
        <is>
          <t>MY GUESS - please correct</t>
        </is>
      </c>
    </row>
    <row r="186">
      <c r="A186" s="4" t="inlineStr">
        <is>
          <t>Autonomy</t>
        </is>
      </c>
      <c r="B186" s="4" t="inlineStr">
        <is>
          <t>EF</t>
        </is>
      </c>
      <c r="C186" s="4" t="inlineStr">
        <is>
          <t>L3</t>
        </is>
      </c>
      <c r="D186" s="5" t="n">
        <v>2020</v>
      </c>
      <c r="E186" s="6" t="n">
        <v>0</v>
      </c>
      <c r="F186" s="6" t="n">
        <v>0.1</v>
      </c>
      <c r="G186" s="6" t="n">
        <v>0.22</v>
      </c>
      <c r="H186" s="7" t="inlineStr">
        <is>
          <t>MY GUESS - please correct</t>
        </is>
      </c>
    </row>
    <row r="187">
      <c r="A187" s="4" t="inlineStr">
        <is>
          <t>Autonomy</t>
        </is>
      </c>
      <c r="B187" s="4" t="inlineStr">
        <is>
          <t>EF</t>
        </is>
      </c>
      <c r="C187" s="4" t="inlineStr">
        <is>
          <t>L4</t>
        </is>
      </c>
      <c r="D187" s="5" t="n">
        <v>2020</v>
      </c>
      <c r="E187" s="6" t="n">
        <v>0</v>
      </c>
      <c r="F187" s="6" t="n">
        <v>0</v>
      </c>
      <c r="G187" s="6" t="n">
        <v>0.12</v>
      </c>
      <c r="H187" s="7" t="inlineStr">
        <is>
          <t>MY GUESS - please correct</t>
        </is>
      </c>
    </row>
    <row r="188">
      <c r="A188" s="4" t="inlineStr">
        <is>
          <t>Autonomy</t>
        </is>
      </c>
      <c r="B188" s="4" t="inlineStr">
        <is>
          <t>EF</t>
        </is>
      </c>
      <c r="C188" s="4" t="inlineStr">
        <is>
          <t>L5</t>
        </is>
      </c>
      <c r="D188" s="5" t="n">
        <v>2020</v>
      </c>
      <c r="E188" s="6" t="n">
        <v>0</v>
      </c>
      <c r="F188" s="6" t="n">
        <v>0</v>
      </c>
      <c r="G188" s="6" t="n">
        <v>0.12</v>
      </c>
      <c r="H188" s="7" t="inlineStr">
        <is>
          <t>MY GUESS - please correct</t>
        </is>
      </c>
    </row>
    <row r="189">
      <c r="A189" s="4" t="inlineStr">
        <is>
          <t>Autonomy</t>
        </is>
      </c>
      <c r="B189" s="4" t="inlineStr">
        <is>
          <t>EF</t>
        </is>
      </c>
      <c r="C189" s="4" t="inlineStr">
        <is>
          <t>L0</t>
        </is>
      </c>
      <c r="D189" s="5" t="n">
        <v>2025</v>
      </c>
      <c r="E189" s="6" t="n">
        <v>0</v>
      </c>
      <c r="F189" s="6" t="n">
        <v>0</v>
      </c>
      <c r="G189" s="6" t="n">
        <v>0.12</v>
      </c>
      <c r="H189" s="4" t="inlineStr">
        <is>
          <t>YOUR INPUT</t>
        </is>
      </c>
    </row>
    <row r="190">
      <c r="A190" s="4" t="inlineStr">
        <is>
          <t>Autonomy</t>
        </is>
      </c>
      <c r="B190" s="4" t="inlineStr">
        <is>
          <t>EF</t>
        </is>
      </c>
      <c r="C190" s="4" t="inlineStr">
        <is>
          <t>L1</t>
        </is>
      </c>
      <c r="D190" s="5" t="n">
        <v>2025</v>
      </c>
      <c r="E190" s="6" t="n">
        <v>0</v>
      </c>
      <c r="F190" s="6" t="n">
        <v>0</v>
      </c>
      <c r="G190" s="6" t="n">
        <v>0.12</v>
      </c>
      <c r="H190" s="4" t="inlineStr">
        <is>
          <t>YOUR INPUT</t>
        </is>
      </c>
    </row>
    <row r="191">
      <c r="A191" s="4" t="inlineStr">
        <is>
          <t>Autonomy</t>
        </is>
      </c>
      <c r="B191" s="4" t="inlineStr">
        <is>
          <t>EF</t>
        </is>
      </c>
      <c r="C191" s="4" t="inlineStr">
        <is>
          <t>L2</t>
        </is>
      </c>
      <c r="D191" s="5" t="n">
        <v>2025</v>
      </c>
      <c r="E191" s="6" t="n">
        <v>0.28</v>
      </c>
      <c r="F191" s="6" t="n">
        <v>0.4</v>
      </c>
      <c r="G191" s="6" t="n">
        <v>0.52</v>
      </c>
      <c r="H191" s="4" t="inlineStr">
        <is>
          <t>YOUR INPUT</t>
        </is>
      </c>
    </row>
    <row r="192">
      <c r="A192" s="4" t="inlineStr">
        <is>
          <t>Autonomy</t>
        </is>
      </c>
      <c r="B192" s="4" t="inlineStr">
        <is>
          <t>EF</t>
        </is>
      </c>
      <c r="C192" s="4" t="inlineStr">
        <is>
          <t>L3</t>
        </is>
      </c>
      <c r="D192" s="5" t="n">
        <v>2025</v>
      </c>
      <c r="E192" s="6" t="n">
        <v>0.43</v>
      </c>
      <c r="F192" s="6" t="n">
        <v>0.55</v>
      </c>
      <c r="G192" s="6" t="n">
        <v>0.67</v>
      </c>
      <c r="H192" s="4" t="inlineStr">
        <is>
          <t>YOUR INPUT</t>
        </is>
      </c>
    </row>
    <row r="193">
      <c r="A193" s="4" t="inlineStr">
        <is>
          <t>Autonomy</t>
        </is>
      </c>
      <c r="B193" s="4" t="inlineStr">
        <is>
          <t>EF</t>
        </is>
      </c>
      <c r="C193" s="4" t="inlineStr">
        <is>
          <t>L4</t>
        </is>
      </c>
      <c r="D193" s="5" t="n">
        <v>2025</v>
      </c>
      <c r="E193" s="6" t="n">
        <v>0</v>
      </c>
      <c r="F193" s="6" t="n">
        <v>0.05</v>
      </c>
      <c r="G193" s="6" t="n">
        <v>0.17</v>
      </c>
      <c r="H193" s="4" t="inlineStr">
        <is>
          <t>YOUR INPUT</t>
        </is>
      </c>
    </row>
    <row r="194">
      <c r="A194" s="4" t="inlineStr">
        <is>
          <t>Autonomy</t>
        </is>
      </c>
      <c r="B194" s="4" t="inlineStr">
        <is>
          <t>EF</t>
        </is>
      </c>
      <c r="C194" s="4" t="inlineStr">
        <is>
          <t>L5</t>
        </is>
      </c>
      <c r="D194" s="5" t="n">
        <v>2025</v>
      </c>
      <c r="E194" s="6" t="n">
        <v>0</v>
      </c>
      <c r="F194" s="6" t="n">
        <v>0</v>
      </c>
      <c r="G194" s="6" t="n">
        <v>0.12</v>
      </c>
      <c r="H194" s="4" t="inlineStr">
        <is>
          <t>YOUR INPUT</t>
        </is>
      </c>
    </row>
    <row r="195">
      <c r="A195" s="4" t="inlineStr">
        <is>
          <t>Autonomy</t>
        </is>
      </c>
      <c r="B195" s="4" t="inlineStr">
        <is>
          <t>EF</t>
        </is>
      </c>
      <c r="C195" s="4" t="inlineStr">
        <is>
          <t>L0</t>
        </is>
      </c>
      <c r="D195" s="5" t="n">
        <v>2030</v>
      </c>
      <c r="E195" s="6" t="n">
        <v>0</v>
      </c>
      <c r="F195" s="6" t="n">
        <v>0</v>
      </c>
      <c r="G195" s="6" t="n">
        <v>0.12</v>
      </c>
      <c r="H195" s="4" t="inlineStr">
        <is>
          <t>YOUR INPUT</t>
        </is>
      </c>
    </row>
    <row r="196">
      <c r="A196" s="4" t="inlineStr">
        <is>
          <t>Autonomy</t>
        </is>
      </c>
      <c r="B196" s="4" t="inlineStr">
        <is>
          <t>EF</t>
        </is>
      </c>
      <c r="C196" s="4" t="inlineStr">
        <is>
          <t>L1</t>
        </is>
      </c>
      <c r="D196" s="5" t="n">
        <v>2030</v>
      </c>
      <c r="E196" s="6" t="n">
        <v>0</v>
      </c>
      <c r="F196" s="6" t="n">
        <v>0</v>
      </c>
      <c r="G196" s="6" t="n">
        <v>0.12</v>
      </c>
      <c r="H196" s="4" t="inlineStr">
        <is>
          <t>YOUR INPUT</t>
        </is>
      </c>
    </row>
    <row r="197">
      <c r="A197" s="4" t="inlineStr">
        <is>
          <t>Autonomy</t>
        </is>
      </c>
      <c r="B197" s="4" t="inlineStr">
        <is>
          <t>EF</t>
        </is>
      </c>
      <c r="C197" s="4" t="inlineStr">
        <is>
          <t>L2</t>
        </is>
      </c>
      <c r="D197" s="5" t="n">
        <v>2030</v>
      </c>
      <c r="E197" s="6" t="n">
        <v>0.08000000000000002</v>
      </c>
      <c r="F197" s="6" t="n">
        <v>0.2</v>
      </c>
      <c r="G197" s="6" t="n">
        <v>0.32</v>
      </c>
      <c r="H197" s="4" t="inlineStr">
        <is>
          <t>YOUR INPUT</t>
        </is>
      </c>
    </row>
    <row r="198">
      <c r="A198" s="4" t="inlineStr">
        <is>
          <t>Autonomy</t>
        </is>
      </c>
      <c r="B198" s="4" t="inlineStr">
        <is>
          <t>EF</t>
        </is>
      </c>
      <c r="C198" s="4" t="inlineStr">
        <is>
          <t>L3</t>
        </is>
      </c>
      <c r="D198" s="5" t="n">
        <v>2030</v>
      </c>
      <c r="E198" s="6" t="n">
        <v>0.43</v>
      </c>
      <c r="F198" s="6" t="n">
        <v>0.55</v>
      </c>
      <c r="G198" s="6" t="n">
        <v>0.67</v>
      </c>
      <c r="H198" s="4" t="inlineStr">
        <is>
          <t>YOUR INPUT</t>
        </is>
      </c>
    </row>
    <row r="199">
      <c r="A199" s="4" t="inlineStr">
        <is>
          <t>Autonomy</t>
        </is>
      </c>
      <c r="B199" s="4" t="inlineStr">
        <is>
          <t>EF</t>
        </is>
      </c>
      <c r="C199" s="4" t="inlineStr">
        <is>
          <t>L4</t>
        </is>
      </c>
      <c r="D199" s="5" t="n">
        <v>2030</v>
      </c>
      <c r="E199" s="6" t="n">
        <v>0.08000000000000002</v>
      </c>
      <c r="F199" s="6" t="n">
        <v>0.2</v>
      </c>
      <c r="G199" s="6" t="n">
        <v>0.32</v>
      </c>
      <c r="H199" s="4" t="inlineStr">
        <is>
          <t>YOUR INPUT</t>
        </is>
      </c>
    </row>
    <row r="200">
      <c r="A200" s="4" t="inlineStr">
        <is>
          <t>Autonomy</t>
        </is>
      </c>
      <c r="B200" s="4" t="inlineStr">
        <is>
          <t>EF</t>
        </is>
      </c>
      <c r="C200" s="4" t="inlineStr">
        <is>
          <t>L5</t>
        </is>
      </c>
      <c r="D200" s="5" t="n">
        <v>2030</v>
      </c>
      <c r="E200" s="6" t="n">
        <v>0</v>
      </c>
      <c r="F200" s="6" t="n">
        <v>0.05</v>
      </c>
      <c r="G200" s="6" t="n">
        <v>0.17</v>
      </c>
      <c r="H200" s="4" t="inlineStr">
        <is>
          <t>YOUR INPUT</t>
        </is>
      </c>
    </row>
    <row r="201">
      <c r="A201" s="4" t="inlineStr">
        <is>
          <t>Autonomy</t>
        </is>
      </c>
      <c r="B201" s="4" t="inlineStr">
        <is>
          <t>EF</t>
        </is>
      </c>
      <c r="C201" s="4" t="inlineStr">
        <is>
          <t>L0</t>
        </is>
      </c>
      <c r="D201" s="5" t="n">
        <v>2035</v>
      </c>
      <c r="E201" s="6" t="n">
        <v>0</v>
      </c>
      <c r="F201" s="6" t="n">
        <v>0</v>
      </c>
      <c r="G201" s="6" t="n">
        <v>0.12</v>
      </c>
      <c r="H201" s="4" t="inlineStr">
        <is>
          <t>YOUR INPUT</t>
        </is>
      </c>
    </row>
    <row r="202">
      <c r="A202" s="4" t="inlineStr">
        <is>
          <t>Autonomy</t>
        </is>
      </c>
      <c r="B202" s="4" t="inlineStr">
        <is>
          <t>EF</t>
        </is>
      </c>
      <c r="C202" s="4" t="inlineStr">
        <is>
          <t>L1</t>
        </is>
      </c>
      <c r="D202" s="5" t="n">
        <v>2035</v>
      </c>
      <c r="E202" s="6" t="n">
        <v>0</v>
      </c>
      <c r="F202" s="6" t="n">
        <v>0</v>
      </c>
      <c r="G202" s="6" t="n">
        <v>0.12</v>
      </c>
      <c r="H202" s="4" t="inlineStr">
        <is>
          <t>YOUR INPUT</t>
        </is>
      </c>
    </row>
    <row r="203">
      <c r="A203" s="4" t="inlineStr">
        <is>
          <t>Autonomy</t>
        </is>
      </c>
      <c r="B203" s="4" t="inlineStr">
        <is>
          <t>EF</t>
        </is>
      </c>
      <c r="C203" s="4" t="inlineStr">
        <is>
          <t>L2</t>
        </is>
      </c>
      <c r="D203" s="5" t="n">
        <v>2035</v>
      </c>
      <c r="E203" s="6" t="n">
        <v>0</v>
      </c>
      <c r="F203" s="6" t="n">
        <v>0</v>
      </c>
      <c r="G203" s="6" t="n">
        <v>0.12</v>
      </c>
      <c r="H203" s="4" t="inlineStr">
        <is>
          <t>YOUR INPUT</t>
        </is>
      </c>
    </row>
    <row r="204">
      <c r="A204" s="4" t="inlineStr">
        <is>
          <t>Autonomy</t>
        </is>
      </c>
      <c r="B204" s="4" t="inlineStr">
        <is>
          <t>EF</t>
        </is>
      </c>
      <c r="C204" s="4" t="inlineStr">
        <is>
          <t>L3</t>
        </is>
      </c>
      <c r="D204" s="5" t="n">
        <v>2035</v>
      </c>
      <c r="E204" s="6" t="n">
        <v>0.18</v>
      </c>
      <c r="F204" s="6" t="n">
        <v>0.3</v>
      </c>
      <c r="G204" s="6" t="n">
        <v>0.42</v>
      </c>
      <c r="H204" s="4" t="inlineStr">
        <is>
          <t>YOUR INPUT</t>
        </is>
      </c>
    </row>
    <row r="205">
      <c r="A205" s="4" t="inlineStr">
        <is>
          <t>Autonomy</t>
        </is>
      </c>
      <c r="B205" s="4" t="inlineStr">
        <is>
          <t>EF</t>
        </is>
      </c>
      <c r="C205" s="4" t="inlineStr">
        <is>
          <t>L4</t>
        </is>
      </c>
      <c r="D205" s="5" t="n">
        <v>2035</v>
      </c>
      <c r="E205" s="6" t="n">
        <v>0.38</v>
      </c>
      <c r="F205" s="6" t="n">
        <v>0.5</v>
      </c>
      <c r="G205" s="6" t="n">
        <v>0.62</v>
      </c>
      <c r="H205" s="4" t="inlineStr">
        <is>
          <t>YOUR INPUT</t>
        </is>
      </c>
    </row>
    <row r="206">
      <c r="A206" s="4" t="inlineStr">
        <is>
          <t>Autonomy</t>
        </is>
      </c>
      <c r="B206" s="4" t="inlineStr">
        <is>
          <t>EF</t>
        </is>
      </c>
      <c r="C206" s="4" t="inlineStr">
        <is>
          <t>L5</t>
        </is>
      </c>
      <c r="D206" s="5" t="n">
        <v>2035</v>
      </c>
      <c r="E206" s="6" t="n">
        <v>0.08000000000000002</v>
      </c>
      <c r="F206" s="6" t="n">
        <v>0.2</v>
      </c>
      <c r="G206" s="6" t="n">
        <v>0.32</v>
      </c>
      <c r="H206" s="4" t="inlineStr">
        <is>
          <t>YOUR INPUT</t>
        </is>
      </c>
    </row>
    <row r="207">
      <c r="A207" s="4" t="inlineStr">
        <is>
          <t>Autonomy</t>
        </is>
      </c>
      <c r="B207" s="4" t="inlineStr">
        <is>
          <t>EF</t>
        </is>
      </c>
      <c r="C207" s="4" t="inlineStr">
        <is>
          <t>L0</t>
        </is>
      </c>
      <c r="D207" s="5" t="n">
        <v>2040</v>
      </c>
      <c r="E207" s="6" t="n">
        <v>0</v>
      </c>
      <c r="F207" s="6" t="n">
        <v>0</v>
      </c>
      <c r="G207" s="6" t="n">
        <v>0.12</v>
      </c>
      <c r="H207" s="4" t="inlineStr">
        <is>
          <t>YOUR INPUT</t>
        </is>
      </c>
    </row>
    <row r="208">
      <c r="A208" s="4" t="inlineStr">
        <is>
          <t>Autonomy</t>
        </is>
      </c>
      <c r="B208" s="4" t="inlineStr">
        <is>
          <t>EF</t>
        </is>
      </c>
      <c r="C208" s="4" t="inlineStr">
        <is>
          <t>L1</t>
        </is>
      </c>
      <c r="D208" s="5" t="n">
        <v>2040</v>
      </c>
      <c r="E208" s="6" t="n">
        <v>0</v>
      </c>
      <c r="F208" s="6" t="n">
        <v>0</v>
      </c>
      <c r="G208" s="6" t="n">
        <v>0.12</v>
      </c>
      <c r="H208" s="4" t="inlineStr">
        <is>
          <t>YOUR INPUT</t>
        </is>
      </c>
    </row>
    <row r="209">
      <c r="A209" s="4" t="inlineStr">
        <is>
          <t>Autonomy</t>
        </is>
      </c>
      <c r="B209" s="4" t="inlineStr">
        <is>
          <t>EF</t>
        </is>
      </c>
      <c r="C209" s="4" t="inlineStr">
        <is>
          <t>L2</t>
        </is>
      </c>
      <c r="D209" s="5" t="n">
        <v>2040</v>
      </c>
      <c r="E209" s="6" t="n">
        <v>0</v>
      </c>
      <c r="F209" s="6" t="n">
        <v>0</v>
      </c>
      <c r="G209" s="6" t="n">
        <v>0.12</v>
      </c>
      <c r="H209" s="4" t="inlineStr">
        <is>
          <t>YOUR INPUT</t>
        </is>
      </c>
    </row>
    <row r="210">
      <c r="A210" s="4" t="inlineStr">
        <is>
          <t>Autonomy</t>
        </is>
      </c>
      <c r="B210" s="4" t="inlineStr">
        <is>
          <t>EF</t>
        </is>
      </c>
      <c r="C210" s="4" t="inlineStr">
        <is>
          <t>L3</t>
        </is>
      </c>
      <c r="D210" s="5" t="n">
        <v>2040</v>
      </c>
      <c r="E210" s="6" t="n">
        <v>0</v>
      </c>
      <c r="F210" s="6" t="n">
        <v>0</v>
      </c>
      <c r="G210" s="6" t="n">
        <v>0.12</v>
      </c>
      <c r="H210" s="4" t="inlineStr">
        <is>
          <t>YOUR INPUT</t>
        </is>
      </c>
    </row>
    <row r="211">
      <c r="A211" s="4" t="inlineStr">
        <is>
          <t>Autonomy</t>
        </is>
      </c>
      <c r="B211" s="4" t="inlineStr">
        <is>
          <t>EF</t>
        </is>
      </c>
      <c r="C211" s="4" t="inlineStr">
        <is>
          <t>L4</t>
        </is>
      </c>
      <c r="D211" s="5" t="n">
        <v>2040</v>
      </c>
      <c r="E211" s="6" t="n">
        <v>0.33</v>
      </c>
      <c r="F211" s="6" t="n">
        <v>0.45</v>
      </c>
      <c r="G211" s="6" t="n">
        <v>0.5700000000000001</v>
      </c>
      <c r="H211" s="4" t="inlineStr">
        <is>
          <t>YOUR INPUT</t>
        </is>
      </c>
    </row>
    <row r="212">
      <c r="A212" s="4" t="inlineStr">
        <is>
          <t>Autonomy</t>
        </is>
      </c>
      <c r="B212" s="4" t="inlineStr">
        <is>
          <t>EF</t>
        </is>
      </c>
      <c r="C212" s="4" t="inlineStr">
        <is>
          <t>L5</t>
        </is>
      </c>
      <c r="D212" s="5" t="n">
        <v>2040</v>
      </c>
      <c r="E212" s="6" t="n">
        <v>0.43</v>
      </c>
      <c r="F212" s="6" t="n">
        <v>0.55</v>
      </c>
      <c r="G212" s="6" t="n">
        <v>0.67</v>
      </c>
      <c r="H212" s="4" t="inlineStr">
        <is>
          <t>YOUR INPUT</t>
        </is>
      </c>
    </row>
    <row r="213">
      <c r="A213" s="4" t="inlineStr">
        <is>
          <t>Autonomy</t>
        </is>
      </c>
      <c r="B213" s="4" t="inlineStr">
        <is>
          <t>EF</t>
        </is>
      </c>
      <c r="C213" s="4" t="inlineStr">
        <is>
          <t>L0</t>
        </is>
      </c>
      <c r="D213" s="5" t="n">
        <v>2045</v>
      </c>
      <c r="E213" s="6" t="n">
        <v>0</v>
      </c>
      <c r="F213" s="6" t="n">
        <v>0</v>
      </c>
      <c r="G213" s="6" t="n">
        <v>0.12</v>
      </c>
      <c r="H213" s="4" t="inlineStr">
        <is>
          <t>YOUR INPUT</t>
        </is>
      </c>
    </row>
    <row r="214">
      <c r="A214" s="4" t="inlineStr">
        <is>
          <t>Autonomy</t>
        </is>
      </c>
      <c r="B214" s="4" t="inlineStr">
        <is>
          <t>EF</t>
        </is>
      </c>
      <c r="C214" s="4" t="inlineStr">
        <is>
          <t>L1</t>
        </is>
      </c>
      <c r="D214" s="5" t="n">
        <v>2045</v>
      </c>
      <c r="E214" s="6" t="n">
        <v>0</v>
      </c>
      <c r="F214" s="6" t="n">
        <v>0</v>
      </c>
      <c r="G214" s="6" t="n">
        <v>0.12</v>
      </c>
      <c r="H214" s="4" t="inlineStr">
        <is>
          <t>YOUR INPUT</t>
        </is>
      </c>
    </row>
    <row r="215">
      <c r="A215" s="4" t="inlineStr">
        <is>
          <t>Autonomy</t>
        </is>
      </c>
      <c r="B215" s="4" t="inlineStr">
        <is>
          <t>EF</t>
        </is>
      </c>
      <c r="C215" s="4" t="inlineStr">
        <is>
          <t>L2</t>
        </is>
      </c>
      <c r="D215" s="5" t="n">
        <v>2045</v>
      </c>
      <c r="E215" s="6" t="n">
        <v>0</v>
      </c>
      <c r="F215" s="6" t="n">
        <v>0</v>
      </c>
      <c r="G215" s="6" t="n">
        <v>0.12</v>
      </c>
      <c r="H215" s="4" t="inlineStr">
        <is>
          <t>YOUR INPUT</t>
        </is>
      </c>
    </row>
    <row r="216">
      <c r="A216" s="4" t="inlineStr">
        <is>
          <t>Autonomy</t>
        </is>
      </c>
      <c r="B216" s="4" t="inlineStr">
        <is>
          <t>EF</t>
        </is>
      </c>
      <c r="C216" s="4" t="inlineStr">
        <is>
          <t>L3</t>
        </is>
      </c>
      <c r="D216" s="5" t="n">
        <v>2045</v>
      </c>
      <c r="E216" s="6" t="n">
        <v>0</v>
      </c>
      <c r="F216" s="6" t="n">
        <v>0</v>
      </c>
      <c r="G216" s="6" t="n">
        <v>0.12</v>
      </c>
      <c r="H216" s="4" t="inlineStr">
        <is>
          <t>YOUR INPUT</t>
        </is>
      </c>
    </row>
    <row r="217">
      <c r="A217" s="4" t="inlineStr">
        <is>
          <t>Autonomy</t>
        </is>
      </c>
      <c r="B217" s="4" t="inlineStr">
        <is>
          <t>EF</t>
        </is>
      </c>
      <c r="C217" s="4" t="inlineStr">
        <is>
          <t>L4</t>
        </is>
      </c>
      <c r="D217" s="5" t="n">
        <v>2045</v>
      </c>
      <c r="E217" s="6" t="n">
        <v>0</v>
      </c>
      <c r="F217" s="6" t="n">
        <v>0.1</v>
      </c>
      <c r="G217" s="6" t="n">
        <v>0.22</v>
      </c>
      <c r="H217" s="4" t="inlineStr">
        <is>
          <t>YOUR INPUT</t>
        </is>
      </c>
    </row>
    <row r="218">
      <c r="A218" s="4" t="inlineStr">
        <is>
          <t>Autonomy</t>
        </is>
      </c>
      <c r="B218" s="4" t="inlineStr">
        <is>
          <t>EF</t>
        </is>
      </c>
      <c r="C218" s="4" t="inlineStr">
        <is>
          <t>L5</t>
        </is>
      </c>
      <c r="D218" s="5" t="n">
        <v>2045</v>
      </c>
      <c r="E218" s="6" t="n">
        <v>0.78</v>
      </c>
      <c r="F218" s="6" t="n">
        <v>0.9</v>
      </c>
      <c r="G218" s="6" t="n">
        <v>1</v>
      </c>
      <c r="H218" s="4" t="inlineStr">
        <is>
          <t>YOUR INPUT</t>
        </is>
      </c>
    </row>
    <row r="219">
      <c r="A219" s="4" t="inlineStr">
        <is>
          <t>Autonomy</t>
        </is>
      </c>
      <c r="B219" s="4" t="inlineStr">
        <is>
          <t>EF</t>
        </is>
      </c>
      <c r="C219" s="4" t="inlineStr">
        <is>
          <t>L0</t>
        </is>
      </c>
      <c r="D219" s="5" t="n">
        <v>2050</v>
      </c>
      <c r="E219" s="6" t="n">
        <v>0</v>
      </c>
      <c r="F219" s="6" t="n">
        <v>0</v>
      </c>
      <c r="G219" s="6" t="n">
        <v>0.12</v>
      </c>
      <c r="H219" s="7" t="inlineStr">
        <is>
          <t>MY GUESS - please correct</t>
        </is>
      </c>
    </row>
    <row r="220">
      <c r="A220" s="4" t="inlineStr">
        <is>
          <t>Autonomy</t>
        </is>
      </c>
      <c r="B220" s="4" t="inlineStr">
        <is>
          <t>EF</t>
        </is>
      </c>
      <c r="C220" s="4" t="inlineStr">
        <is>
          <t>L1</t>
        </is>
      </c>
      <c r="D220" s="5" t="n">
        <v>2050</v>
      </c>
      <c r="E220" s="6" t="n">
        <v>0</v>
      </c>
      <c r="F220" s="6" t="n">
        <v>0</v>
      </c>
      <c r="G220" s="6" t="n">
        <v>0.12</v>
      </c>
      <c r="H220" s="7" t="inlineStr">
        <is>
          <t>MY GUESS - please correct</t>
        </is>
      </c>
    </row>
    <row r="221">
      <c r="A221" s="4" t="inlineStr">
        <is>
          <t>Autonomy</t>
        </is>
      </c>
      <c r="B221" s="4" t="inlineStr">
        <is>
          <t>EF</t>
        </is>
      </c>
      <c r="C221" s="4" t="inlineStr">
        <is>
          <t>L2</t>
        </is>
      </c>
      <c r="D221" s="5" t="n">
        <v>2050</v>
      </c>
      <c r="E221" s="6" t="n">
        <v>0</v>
      </c>
      <c r="F221" s="6" t="n">
        <v>0</v>
      </c>
      <c r="G221" s="6" t="n">
        <v>0.12</v>
      </c>
      <c r="H221" s="7" t="inlineStr">
        <is>
          <t>MY GUESS - please correct</t>
        </is>
      </c>
    </row>
    <row r="222">
      <c r="A222" s="4" t="inlineStr">
        <is>
          <t>Autonomy</t>
        </is>
      </c>
      <c r="B222" s="4" t="inlineStr">
        <is>
          <t>EF</t>
        </is>
      </c>
      <c r="C222" s="4" t="inlineStr">
        <is>
          <t>L3</t>
        </is>
      </c>
      <c r="D222" s="5" t="n">
        <v>2050</v>
      </c>
      <c r="E222" s="6" t="n">
        <v>0</v>
      </c>
      <c r="F222" s="6" t="n">
        <v>0</v>
      </c>
      <c r="G222" s="6" t="n">
        <v>0.12</v>
      </c>
      <c r="H222" s="7" t="inlineStr">
        <is>
          <t>MY GUESS - please correct</t>
        </is>
      </c>
    </row>
    <row r="223">
      <c r="A223" s="4" t="inlineStr">
        <is>
          <t>Autonomy</t>
        </is>
      </c>
      <c r="B223" s="4" t="inlineStr">
        <is>
          <t>EF</t>
        </is>
      </c>
      <c r="C223" s="4" t="inlineStr">
        <is>
          <t>L4</t>
        </is>
      </c>
      <c r="D223" s="5" t="n">
        <v>2050</v>
      </c>
      <c r="E223" s="6" t="n">
        <v>0</v>
      </c>
      <c r="F223" s="6" t="n">
        <v>0</v>
      </c>
      <c r="G223" s="6" t="n">
        <v>0.12</v>
      </c>
      <c r="H223" s="7" t="inlineStr">
        <is>
          <t>MY GUESS - please correct</t>
        </is>
      </c>
    </row>
    <row r="224">
      <c r="A224" s="4" t="inlineStr">
        <is>
          <t>Autonomy</t>
        </is>
      </c>
      <c r="B224" s="4" t="inlineStr">
        <is>
          <t>EF</t>
        </is>
      </c>
      <c r="C224" s="4" t="inlineStr">
        <is>
          <t>L5</t>
        </is>
      </c>
      <c r="D224" s="5" t="n">
        <v>2050</v>
      </c>
      <c r="E224" s="6" t="n">
        <v>0.88</v>
      </c>
      <c r="F224" s="6" t="n">
        <v>1</v>
      </c>
      <c r="G224" s="6" t="n">
        <v>1</v>
      </c>
      <c r="H224" s="7" t="inlineStr">
        <is>
          <t>MY GUESS - please correct</t>
        </is>
      </c>
    </row>
    <row r="225">
      <c r="A225" s="4" t="inlineStr">
        <is>
          <t>Autonomy</t>
        </is>
      </c>
      <c r="B225" s="4" t="inlineStr">
        <is>
          <t>EF</t>
        </is>
      </c>
      <c r="C225" s="4" t="inlineStr">
        <is>
          <t>L0</t>
        </is>
      </c>
      <c r="D225" s="5" t="n">
        <v>2060</v>
      </c>
      <c r="E225" s="6" t="n">
        <v>0</v>
      </c>
      <c r="F225" s="6" t="n">
        <v>0</v>
      </c>
      <c r="G225" s="6" t="n">
        <v>0.12</v>
      </c>
      <c r="H225" s="7" t="inlineStr">
        <is>
          <t>MY GUESS - please correct</t>
        </is>
      </c>
    </row>
    <row r="226">
      <c r="A226" s="4" t="inlineStr">
        <is>
          <t>Autonomy</t>
        </is>
      </c>
      <c r="B226" s="4" t="inlineStr">
        <is>
          <t>EF</t>
        </is>
      </c>
      <c r="C226" s="4" t="inlineStr">
        <is>
          <t>L1</t>
        </is>
      </c>
      <c r="D226" s="5" t="n">
        <v>2060</v>
      </c>
      <c r="E226" s="6" t="n">
        <v>0</v>
      </c>
      <c r="F226" s="6" t="n">
        <v>0</v>
      </c>
      <c r="G226" s="6" t="n">
        <v>0.12</v>
      </c>
      <c r="H226" s="7" t="inlineStr">
        <is>
          <t>MY GUESS - please correct</t>
        </is>
      </c>
    </row>
    <row r="227">
      <c r="A227" s="4" t="inlineStr">
        <is>
          <t>Autonomy</t>
        </is>
      </c>
      <c r="B227" s="4" t="inlineStr">
        <is>
          <t>EF</t>
        </is>
      </c>
      <c r="C227" s="4" t="inlineStr">
        <is>
          <t>L2</t>
        </is>
      </c>
      <c r="D227" s="5" t="n">
        <v>2060</v>
      </c>
      <c r="E227" s="6" t="n">
        <v>0</v>
      </c>
      <c r="F227" s="6" t="n">
        <v>0</v>
      </c>
      <c r="G227" s="6" t="n">
        <v>0.12</v>
      </c>
      <c r="H227" s="7" t="inlineStr">
        <is>
          <t>MY GUESS - please correct</t>
        </is>
      </c>
    </row>
    <row r="228">
      <c r="A228" s="4" t="inlineStr">
        <is>
          <t>Autonomy</t>
        </is>
      </c>
      <c r="B228" s="4" t="inlineStr">
        <is>
          <t>EF</t>
        </is>
      </c>
      <c r="C228" s="4" t="inlineStr">
        <is>
          <t>L3</t>
        </is>
      </c>
      <c r="D228" s="5" t="n">
        <v>2060</v>
      </c>
      <c r="E228" s="6" t="n">
        <v>0</v>
      </c>
      <c r="F228" s="6" t="n">
        <v>0</v>
      </c>
      <c r="G228" s="6" t="n">
        <v>0.12</v>
      </c>
      <c r="H228" s="7" t="inlineStr">
        <is>
          <t>MY GUESS - please correct</t>
        </is>
      </c>
    </row>
    <row r="229">
      <c r="A229" s="4" t="inlineStr">
        <is>
          <t>Autonomy</t>
        </is>
      </c>
      <c r="B229" s="4" t="inlineStr">
        <is>
          <t>EF</t>
        </is>
      </c>
      <c r="C229" s="4" t="inlineStr">
        <is>
          <t>L4</t>
        </is>
      </c>
      <c r="D229" s="5" t="n">
        <v>2060</v>
      </c>
      <c r="E229" s="6" t="n">
        <v>0</v>
      </c>
      <c r="F229" s="6" t="n">
        <v>0</v>
      </c>
      <c r="G229" s="6" t="n">
        <v>0.12</v>
      </c>
      <c r="H229" s="7" t="inlineStr">
        <is>
          <t>MY GUESS - please correct</t>
        </is>
      </c>
    </row>
    <row r="230">
      <c r="A230" s="4" t="inlineStr">
        <is>
          <t>Autonomy</t>
        </is>
      </c>
      <c r="B230" s="4" t="inlineStr">
        <is>
          <t>EF</t>
        </is>
      </c>
      <c r="C230" s="4" t="inlineStr">
        <is>
          <t>L5</t>
        </is>
      </c>
      <c r="D230" s="5" t="n">
        <v>2060</v>
      </c>
      <c r="E230" s="6" t="n">
        <v>0.88</v>
      </c>
      <c r="F230" s="6" t="n">
        <v>1</v>
      </c>
      <c r="G230" s="6" t="n">
        <v>1</v>
      </c>
      <c r="H230" s="7" t="inlineStr">
        <is>
          <t>MY GUESS - please correct</t>
        </is>
      </c>
    </row>
    <row r="231">
      <c r="A231" s="4" t="inlineStr">
        <is>
          <t>Autonomy</t>
        </is>
      </c>
      <c r="B231" s="4" t="inlineStr">
        <is>
          <t>EF</t>
        </is>
      </c>
      <c r="C231" s="4" t="inlineStr">
        <is>
          <t>L0</t>
        </is>
      </c>
      <c r="D231" s="5" t="n">
        <v>2070</v>
      </c>
      <c r="E231" s="6" t="n">
        <v>0</v>
      </c>
      <c r="F231" s="6" t="n">
        <v>0</v>
      </c>
      <c r="G231" s="6" t="n">
        <v>0.12</v>
      </c>
      <c r="H231" s="7" t="inlineStr">
        <is>
          <t>MY GUESS - please correct</t>
        </is>
      </c>
    </row>
    <row r="232">
      <c r="A232" s="4" t="inlineStr">
        <is>
          <t>Autonomy</t>
        </is>
      </c>
      <c r="B232" s="4" t="inlineStr">
        <is>
          <t>EF</t>
        </is>
      </c>
      <c r="C232" s="4" t="inlineStr">
        <is>
          <t>L1</t>
        </is>
      </c>
      <c r="D232" s="5" t="n">
        <v>2070</v>
      </c>
      <c r="E232" s="6" t="n">
        <v>0</v>
      </c>
      <c r="F232" s="6" t="n">
        <v>0</v>
      </c>
      <c r="G232" s="6" t="n">
        <v>0.12</v>
      </c>
      <c r="H232" s="7" t="inlineStr">
        <is>
          <t>MY GUESS - please correct</t>
        </is>
      </c>
    </row>
    <row r="233">
      <c r="A233" s="4" t="inlineStr">
        <is>
          <t>Autonomy</t>
        </is>
      </c>
      <c r="B233" s="4" t="inlineStr">
        <is>
          <t>EF</t>
        </is>
      </c>
      <c r="C233" s="4" t="inlineStr">
        <is>
          <t>L2</t>
        </is>
      </c>
      <c r="D233" s="5" t="n">
        <v>2070</v>
      </c>
      <c r="E233" s="6" t="n">
        <v>0</v>
      </c>
      <c r="F233" s="6" t="n">
        <v>0</v>
      </c>
      <c r="G233" s="6" t="n">
        <v>0.12</v>
      </c>
      <c r="H233" s="7" t="inlineStr">
        <is>
          <t>MY GUESS - please correct</t>
        </is>
      </c>
    </row>
    <row r="234">
      <c r="A234" s="4" t="inlineStr">
        <is>
          <t>Autonomy</t>
        </is>
      </c>
      <c r="B234" s="4" t="inlineStr">
        <is>
          <t>EF</t>
        </is>
      </c>
      <c r="C234" s="4" t="inlineStr">
        <is>
          <t>L3</t>
        </is>
      </c>
      <c r="D234" s="5" t="n">
        <v>2070</v>
      </c>
      <c r="E234" s="6" t="n">
        <v>0</v>
      </c>
      <c r="F234" s="6" t="n">
        <v>0</v>
      </c>
      <c r="G234" s="6" t="n">
        <v>0.12</v>
      </c>
      <c r="H234" s="7" t="inlineStr">
        <is>
          <t>MY GUESS - please correct</t>
        </is>
      </c>
    </row>
    <row r="235">
      <c r="A235" s="4" t="inlineStr">
        <is>
          <t>Autonomy</t>
        </is>
      </c>
      <c r="B235" s="4" t="inlineStr">
        <is>
          <t>EF</t>
        </is>
      </c>
      <c r="C235" s="4" t="inlineStr">
        <is>
          <t>L4</t>
        </is>
      </c>
      <c r="D235" s="5" t="n">
        <v>2070</v>
      </c>
      <c r="E235" s="6" t="n">
        <v>0</v>
      </c>
      <c r="F235" s="6" t="n">
        <v>0</v>
      </c>
      <c r="G235" s="6" t="n">
        <v>0.12</v>
      </c>
      <c r="H235" s="7" t="inlineStr">
        <is>
          <t>MY GUESS - please correct</t>
        </is>
      </c>
    </row>
    <row r="236">
      <c r="A236" s="4" t="inlineStr">
        <is>
          <t>Autonomy</t>
        </is>
      </c>
      <c r="B236" s="4" t="inlineStr">
        <is>
          <t>EF</t>
        </is>
      </c>
      <c r="C236" s="4" t="inlineStr">
        <is>
          <t>L5</t>
        </is>
      </c>
      <c r="D236" s="5" t="n">
        <v>2070</v>
      </c>
      <c r="E236" s="6" t="n">
        <v>0.88</v>
      </c>
      <c r="F236" s="6" t="n">
        <v>1</v>
      </c>
      <c r="G236" s="6" t="n">
        <v>1</v>
      </c>
      <c r="H236" s="7" t="inlineStr">
        <is>
          <t>MY GUESS - please correct</t>
        </is>
      </c>
    </row>
    <row r="237">
      <c r="A237" s="4" t="inlineStr">
        <is>
          <t>Autonomy</t>
        </is>
      </c>
      <c r="B237" s="4" t="inlineStr">
        <is>
          <t>CD</t>
        </is>
      </c>
      <c r="C237" s="4" t="inlineStr">
        <is>
          <t>L0</t>
        </is>
      </c>
      <c r="D237" s="5" t="n">
        <v>2010</v>
      </c>
      <c r="E237" s="6" t="n">
        <v>0.88</v>
      </c>
      <c r="F237" s="6" t="n">
        <v>1</v>
      </c>
      <c r="G237" s="6" t="n">
        <v>1</v>
      </c>
      <c r="H23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38">
      <c r="A238" s="4" t="inlineStr">
        <is>
          <t>Autonomy</t>
        </is>
      </c>
      <c r="B238" s="4" t="inlineStr">
        <is>
          <t>CD</t>
        </is>
      </c>
      <c r="C238" s="4" t="inlineStr">
        <is>
          <t>L1</t>
        </is>
      </c>
      <c r="D238" s="5" t="n">
        <v>2010</v>
      </c>
      <c r="E238" s="6" t="n">
        <v>0</v>
      </c>
      <c r="F238" s="6" t="n">
        <v>0</v>
      </c>
      <c r="G238" s="6" t="n">
        <v>0.12</v>
      </c>
      <c r="H23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39">
      <c r="A239" s="4" t="inlineStr">
        <is>
          <t>Autonomy</t>
        </is>
      </c>
      <c r="B239" s="4" t="inlineStr">
        <is>
          <t>CD</t>
        </is>
      </c>
      <c r="C239" s="4" t="inlineStr">
        <is>
          <t>L2</t>
        </is>
      </c>
      <c r="D239" s="5" t="n">
        <v>2010</v>
      </c>
      <c r="E239" s="6" t="n">
        <v>0</v>
      </c>
      <c r="F239" s="6" t="n">
        <v>0</v>
      </c>
      <c r="G239" s="6" t="n">
        <v>0.12</v>
      </c>
      <c r="H23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0">
      <c r="A240" s="4" t="inlineStr">
        <is>
          <t>Autonomy</t>
        </is>
      </c>
      <c r="B240" s="4" t="inlineStr">
        <is>
          <t>CD</t>
        </is>
      </c>
      <c r="C240" s="4" t="inlineStr">
        <is>
          <t>L3</t>
        </is>
      </c>
      <c r="D240" s="5" t="n">
        <v>2010</v>
      </c>
      <c r="E240" s="6" t="n">
        <v>0</v>
      </c>
      <c r="F240" s="6" t="n">
        <v>0</v>
      </c>
      <c r="G240" s="6" t="n">
        <v>0.12</v>
      </c>
      <c r="H24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1">
      <c r="A241" s="4" t="inlineStr">
        <is>
          <t>Autonomy</t>
        </is>
      </c>
      <c r="B241" s="4" t="inlineStr">
        <is>
          <t>CD</t>
        </is>
      </c>
      <c r="C241" s="4" t="inlineStr">
        <is>
          <t>L4</t>
        </is>
      </c>
      <c r="D241" s="5" t="n">
        <v>2010</v>
      </c>
      <c r="E241" s="6" t="n">
        <v>0</v>
      </c>
      <c r="F241" s="6" t="n">
        <v>0</v>
      </c>
      <c r="G241" s="6" t="n">
        <v>0.12</v>
      </c>
      <c r="H24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2">
      <c r="A242" s="4" t="inlineStr">
        <is>
          <t>Autonomy</t>
        </is>
      </c>
      <c r="B242" s="4" t="inlineStr">
        <is>
          <t>CD</t>
        </is>
      </c>
      <c r="C242" s="4" t="inlineStr">
        <is>
          <t>L5</t>
        </is>
      </c>
      <c r="D242" s="5" t="n">
        <v>2010</v>
      </c>
      <c r="E242" s="6" t="n">
        <v>0</v>
      </c>
      <c r="F242" s="6" t="n">
        <v>0</v>
      </c>
      <c r="G242" s="6" t="n">
        <v>0.12</v>
      </c>
      <c r="H24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3">
      <c r="A243" s="4" t="inlineStr">
        <is>
          <t>Autonomy</t>
        </is>
      </c>
      <c r="B243" s="4" t="inlineStr">
        <is>
          <t>CD</t>
        </is>
      </c>
      <c r="C243" s="4" t="inlineStr">
        <is>
          <t>L0</t>
        </is>
      </c>
      <c r="D243" s="5" t="n">
        <v>2015</v>
      </c>
      <c r="E243" s="6" t="n">
        <v>0.68</v>
      </c>
      <c r="F243" s="6" t="n">
        <v>0.8</v>
      </c>
      <c r="G243" s="6" t="n">
        <v>0.92</v>
      </c>
      <c r="H24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4">
      <c r="A244" s="4" t="inlineStr">
        <is>
          <t>Autonomy</t>
        </is>
      </c>
      <c r="B244" s="4" t="inlineStr">
        <is>
          <t>CD</t>
        </is>
      </c>
      <c r="C244" s="4" t="inlineStr">
        <is>
          <t>L1</t>
        </is>
      </c>
      <c r="D244" s="5" t="n">
        <v>2015</v>
      </c>
      <c r="E244" s="6" t="n">
        <v>0.08</v>
      </c>
      <c r="F244" s="6" t="n">
        <v>0.2</v>
      </c>
      <c r="G244" s="6" t="n">
        <v>0.32</v>
      </c>
      <c r="H24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5">
      <c r="A245" s="4" t="inlineStr">
        <is>
          <t>Autonomy</t>
        </is>
      </c>
      <c r="B245" s="4" t="inlineStr">
        <is>
          <t>CD</t>
        </is>
      </c>
      <c r="C245" s="4" t="inlineStr">
        <is>
          <t>L2</t>
        </is>
      </c>
      <c r="D245" s="5" t="n">
        <v>2015</v>
      </c>
      <c r="E245" s="6" t="n">
        <v>0</v>
      </c>
      <c r="F245" s="6" t="n">
        <v>0</v>
      </c>
      <c r="G245" s="6" t="n">
        <v>0.12</v>
      </c>
      <c r="H24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6">
      <c r="A246" s="4" t="inlineStr">
        <is>
          <t>Autonomy</t>
        </is>
      </c>
      <c r="B246" s="4" t="inlineStr">
        <is>
          <t>CD</t>
        </is>
      </c>
      <c r="C246" s="4" t="inlineStr">
        <is>
          <t>L3</t>
        </is>
      </c>
      <c r="D246" s="5" t="n">
        <v>2015</v>
      </c>
      <c r="E246" s="6" t="n">
        <v>0</v>
      </c>
      <c r="F246" s="6" t="n">
        <v>0</v>
      </c>
      <c r="G246" s="6" t="n">
        <v>0.12</v>
      </c>
      <c r="H24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7">
      <c r="A247" s="4" t="inlineStr">
        <is>
          <t>Autonomy</t>
        </is>
      </c>
      <c r="B247" s="4" t="inlineStr">
        <is>
          <t>CD</t>
        </is>
      </c>
      <c r="C247" s="4" t="inlineStr">
        <is>
          <t>L4</t>
        </is>
      </c>
      <c r="D247" s="5" t="n">
        <v>2015</v>
      </c>
      <c r="E247" s="6" t="n">
        <v>0</v>
      </c>
      <c r="F247" s="6" t="n">
        <v>0</v>
      </c>
      <c r="G247" s="6" t="n">
        <v>0.12</v>
      </c>
      <c r="H24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8">
      <c r="A248" s="4" t="inlineStr">
        <is>
          <t>Autonomy</t>
        </is>
      </c>
      <c r="B248" s="4" t="inlineStr">
        <is>
          <t>CD</t>
        </is>
      </c>
      <c r="C248" s="4" t="inlineStr">
        <is>
          <t>L5</t>
        </is>
      </c>
      <c r="D248" s="5" t="n">
        <v>2015</v>
      </c>
      <c r="E248" s="6" t="n">
        <v>0</v>
      </c>
      <c r="F248" s="6" t="n">
        <v>0</v>
      </c>
      <c r="G248" s="6" t="n">
        <v>0.12</v>
      </c>
      <c r="H24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49">
      <c r="A249" s="4" t="inlineStr">
        <is>
          <t>Autonomy</t>
        </is>
      </c>
      <c r="B249" s="4" t="inlineStr">
        <is>
          <t>CD</t>
        </is>
      </c>
      <c r="C249" s="4" t="inlineStr">
        <is>
          <t>L0</t>
        </is>
      </c>
      <c r="D249" s="5" t="n">
        <v>2020</v>
      </c>
      <c r="E249" s="6" t="n">
        <v>0.28</v>
      </c>
      <c r="F249" s="6" t="n">
        <v>0.4</v>
      </c>
      <c r="G249" s="6" t="n">
        <v>0.52</v>
      </c>
      <c r="H24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0">
      <c r="A250" s="4" t="inlineStr">
        <is>
          <t>Autonomy</t>
        </is>
      </c>
      <c r="B250" s="4" t="inlineStr">
        <is>
          <t>CD</t>
        </is>
      </c>
      <c r="C250" s="4" t="inlineStr">
        <is>
          <t>L1</t>
        </is>
      </c>
      <c r="D250" s="5" t="n">
        <v>2020</v>
      </c>
      <c r="E250" s="6" t="n">
        <v>0.38</v>
      </c>
      <c r="F250" s="6" t="n">
        <v>0.5</v>
      </c>
      <c r="G250" s="6" t="n">
        <v>0.62</v>
      </c>
      <c r="H25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1">
      <c r="A251" s="4" t="inlineStr">
        <is>
          <t>Autonomy</t>
        </is>
      </c>
      <c r="B251" s="4" t="inlineStr">
        <is>
          <t>CD</t>
        </is>
      </c>
      <c r="C251" s="4" t="inlineStr">
        <is>
          <t>L2</t>
        </is>
      </c>
      <c r="D251" s="5" t="n">
        <v>2020</v>
      </c>
      <c r="E251" s="6" t="n">
        <v>0</v>
      </c>
      <c r="F251" s="6" t="n">
        <v>0.1</v>
      </c>
      <c r="G251" s="6" t="n">
        <v>0.22</v>
      </c>
      <c r="H25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2">
      <c r="A252" s="4" t="inlineStr">
        <is>
          <t>Autonomy</t>
        </is>
      </c>
      <c r="B252" s="4" t="inlineStr">
        <is>
          <t>CD</t>
        </is>
      </c>
      <c r="C252" s="4" t="inlineStr">
        <is>
          <t>L3</t>
        </is>
      </c>
      <c r="D252" s="5" t="n">
        <v>2020</v>
      </c>
      <c r="E252" s="6" t="n">
        <v>0</v>
      </c>
      <c r="F252" s="6" t="n">
        <v>0</v>
      </c>
      <c r="G252" s="6" t="n">
        <v>0.12</v>
      </c>
      <c r="H25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3">
      <c r="A253" s="4" t="inlineStr">
        <is>
          <t>Autonomy</t>
        </is>
      </c>
      <c r="B253" s="4" t="inlineStr">
        <is>
          <t>CD</t>
        </is>
      </c>
      <c r="C253" s="4" t="inlineStr">
        <is>
          <t>L4</t>
        </is>
      </c>
      <c r="D253" s="5" t="n">
        <v>2020</v>
      </c>
      <c r="E253" s="6" t="n">
        <v>0</v>
      </c>
      <c r="F253" s="6" t="n">
        <v>0</v>
      </c>
      <c r="G253" s="6" t="n">
        <v>0.12</v>
      </c>
      <c r="H25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4">
      <c r="A254" s="4" t="inlineStr">
        <is>
          <t>Autonomy</t>
        </is>
      </c>
      <c r="B254" s="4" t="inlineStr">
        <is>
          <t>CD</t>
        </is>
      </c>
      <c r="C254" s="4" t="inlineStr">
        <is>
          <t>L5</t>
        </is>
      </c>
      <c r="D254" s="5" t="n">
        <v>2020</v>
      </c>
      <c r="E254" s="6" t="n">
        <v>0</v>
      </c>
      <c r="F254" s="6" t="n">
        <v>0</v>
      </c>
      <c r="G254" s="6" t="n">
        <v>0.12</v>
      </c>
      <c r="H25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5">
      <c r="A255" s="4" t="inlineStr">
        <is>
          <t>Autonomy</t>
        </is>
      </c>
      <c r="B255" s="4" t="inlineStr">
        <is>
          <t>CD</t>
        </is>
      </c>
      <c r="C255" s="4" t="inlineStr">
        <is>
          <t>L0</t>
        </is>
      </c>
      <c r="D255" s="5" t="n">
        <v>2025</v>
      </c>
      <c r="E255" s="6" t="n">
        <v>0</v>
      </c>
      <c r="F255" s="6" t="n">
        <v>0.05</v>
      </c>
      <c r="G255" s="6" t="n">
        <v>0.17</v>
      </c>
      <c r="H25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6">
      <c r="A256" s="4" t="inlineStr">
        <is>
          <t>Autonomy</t>
        </is>
      </c>
      <c r="B256" s="4" t="inlineStr">
        <is>
          <t>CD</t>
        </is>
      </c>
      <c r="C256" s="4" t="inlineStr">
        <is>
          <t>L1</t>
        </is>
      </c>
      <c r="D256" s="5" t="n">
        <v>2025</v>
      </c>
      <c r="E256" s="6" t="n">
        <v>0.18</v>
      </c>
      <c r="F256" s="6" t="n">
        <v>0.3</v>
      </c>
      <c r="G256" s="6" t="n">
        <v>0.42</v>
      </c>
      <c r="H25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7">
      <c r="A257" s="4" t="inlineStr">
        <is>
          <t>Autonomy</t>
        </is>
      </c>
      <c r="B257" s="4" t="inlineStr">
        <is>
          <t>CD</t>
        </is>
      </c>
      <c r="C257" s="4" t="inlineStr">
        <is>
          <t>L2</t>
        </is>
      </c>
      <c r="D257" s="5" t="n">
        <v>2025</v>
      </c>
      <c r="E257" s="6" t="n">
        <v>0.48</v>
      </c>
      <c r="F257" s="6" t="n">
        <v>0.6</v>
      </c>
      <c r="G257" s="6" t="n">
        <v>0.72</v>
      </c>
      <c r="H25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8">
      <c r="A258" s="4" t="inlineStr">
        <is>
          <t>Autonomy</t>
        </is>
      </c>
      <c r="B258" s="4" t="inlineStr">
        <is>
          <t>CD</t>
        </is>
      </c>
      <c r="C258" s="4" t="inlineStr">
        <is>
          <t>L3</t>
        </is>
      </c>
      <c r="D258" s="5" t="n">
        <v>2025</v>
      </c>
      <c r="E258" s="6" t="n">
        <v>0</v>
      </c>
      <c r="F258" s="6" t="n">
        <v>0.05</v>
      </c>
      <c r="G258" s="6" t="n">
        <v>0.17</v>
      </c>
      <c r="H25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59">
      <c r="A259" s="4" t="inlineStr">
        <is>
          <t>Autonomy</t>
        </is>
      </c>
      <c r="B259" s="4" t="inlineStr">
        <is>
          <t>CD</t>
        </is>
      </c>
      <c r="C259" s="4" t="inlineStr">
        <is>
          <t>L4</t>
        </is>
      </c>
      <c r="D259" s="5" t="n">
        <v>2025</v>
      </c>
      <c r="E259" s="6" t="n">
        <v>0</v>
      </c>
      <c r="F259" s="6" t="n">
        <v>0</v>
      </c>
      <c r="G259" s="6" t="n">
        <v>0.12</v>
      </c>
      <c r="H25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0">
      <c r="A260" s="4" t="inlineStr">
        <is>
          <t>Autonomy</t>
        </is>
      </c>
      <c r="B260" s="4" t="inlineStr">
        <is>
          <t>CD</t>
        </is>
      </c>
      <c r="C260" s="4" t="inlineStr">
        <is>
          <t>L5</t>
        </is>
      </c>
      <c r="D260" s="5" t="n">
        <v>2025</v>
      </c>
      <c r="E260" s="6" t="n">
        <v>0</v>
      </c>
      <c r="F260" s="6" t="n">
        <v>0</v>
      </c>
      <c r="G260" s="6" t="n">
        <v>0.12</v>
      </c>
      <c r="H26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1">
      <c r="A261" s="4" t="inlineStr">
        <is>
          <t>Autonomy</t>
        </is>
      </c>
      <c r="B261" s="4" t="inlineStr">
        <is>
          <t>CD</t>
        </is>
      </c>
      <c r="C261" s="4" t="inlineStr">
        <is>
          <t>L0</t>
        </is>
      </c>
      <c r="D261" s="5" t="n">
        <v>2030</v>
      </c>
      <c r="E261" s="6" t="n">
        <v>0</v>
      </c>
      <c r="F261" s="6" t="n">
        <v>0</v>
      </c>
      <c r="G261" s="6" t="n">
        <v>0.12</v>
      </c>
      <c r="H26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2">
      <c r="A262" s="4" t="inlineStr">
        <is>
          <t>Autonomy</t>
        </is>
      </c>
      <c r="B262" s="4" t="inlineStr">
        <is>
          <t>CD</t>
        </is>
      </c>
      <c r="C262" s="4" t="inlineStr">
        <is>
          <t>L1</t>
        </is>
      </c>
      <c r="D262" s="5" t="n">
        <v>2030</v>
      </c>
      <c r="E262" s="6" t="n">
        <v>0</v>
      </c>
      <c r="F262" s="6" t="n">
        <v>0.1</v>
      </c>
      <c r="G262" s="6" t="n">
        <v>0.22</v>
      </c>
      <c r="H26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3">
      <c r="A263" s="4" t="inlineStr">
        <is>
          <t>Autonomy</t>
        </is>
      </c>
      <c r="B263" s="4" t="inlineStr">
        <is>
          <t>CD</t>
        </is>
      </c>
      <c r="C263" s="4" t="inlineStr">
        <is>
          <t>L2</t>
        </is>
      </c>
      <c r="D263" s="5" t="n">
        <v>2030</v>
      </c>
      <c r="E263" s="6" t="n">
        <v>0.43</v>
      </c>
      <c r="F263" s="6" t="n">
        <v>0.55</v>
      </c>
      <c r="G263" s="6" t="n">
        <v>0.67</v>
      </c>
      <c r="H26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4">
      <c r="A264" s="4" t="inlineStr">
        <is>
          <t>Autonomy</t>
        </is>
      </c>
      <c r="B264" s="4" t="inlineStr">
        <is>
          <t>CD</t>
        </is>
      </c>
      <c r="C264" s="4" t="inlineStr">
        <is>
          <t>L3</t>
        </is>
      </c>
      <c r="D264" s="5" t="n">
        <v>2030</v>
      </c>
      <c r="E264" s="6" t="n">
        <v>0.18</v>
      </c>
      <c r="F264" s="6" t="n">
        <v>0.3</v>
      </c>
      <c r="G264" s="6" t="n">
        <v>0.42</v>
      </c>
      <c r="H26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5">
      <c r="A265" s="4" t="inlineStr">
        <is>
          <t>Autonomy</t>
        </is>
      </c>
      <c r="B265" s="4" t="inlineStr">
        <is>
          <t>CD</t>
        </is>
      </c>
      <c r="C265" s="4" t="inlineStr">
        <is>
          <t>L4</t>
        </is>
      </c>
      <c r="D265" s="5" t="n">
        <v>2030</v>
      </c>
      <c r="E265" s="6" t="n">
        <v>0</v>
      </c>
      <c r="F265" s="6" t="n">
        <v>0.05</v>
      </c>
      <c r="G265" s="6" t="n">
        <v>0.17</v>
      </c>
      <c r="H26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6">
      <c r="A266" s="4" t="inlineStr">
        <is>
          <t>Autonomy</t>
        </is>
      </c>
      <c r="B266" s="4" t="inlineStr">
        <is>
          <t>CD</t>
        </is>
      </c>
      <c r="C266" s="4" t="inlineStr">
        <is>
          <t>L5</t>
        </is>
      </c>
      <c r="D266" s="5" t="n">
        <v>2030</v>
      </c>
      <c r="E266" s="6" t="n">
        <v>0</v>
      </c>
      <c r="F266" s="6" t="n">
        <v>0</v>
      </c>
      <c r="G266" s="6" t="n">
        <v>0.12</v>
      </c>
      <c r="H26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7">
      <c r="A267" s="4" t="inlineStr">
        <is>
          <t>Autonomy</t>
        </is>
      </c>
      <c r="B267" s="4" t="inlineStr">
        <is>
          <t>CD</t>
        </is>
      </c>
      <c r="C267" s="4" t="inlineStr">
        <is>
          <t>L0</t>
        </is>
      </c>
      <c r="D267" s="5" t="n">
        <v>2035</v>
      </c>
      <c r="E267" s="6" t="n">
        <v>0</v>
      </c>
      <c r="F267" s="6" t="n">
        <v>0</v>
      </c>
      <c r="G267" s="6" t="n">
        <v>0.12</v>
      </c>
      <c r="H26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8">
      <c r="A268" s="4" t="inlineStr">
        <is>
          <t>Autonomy</t>
        </is>
      </c>
      <c r="B268" s="4" t="inlineStr">
        <is>
          <t>CD</t>
        </is>
      </c>
      <c r="C268" s="4" t="inlineStr">
        <is>
          <t>L1</t>
        </is>
      </c>
      <c r="D268" s="5" t="n">
        <v>2035</v>
      </c>
      <c r="E268" s="6" t="n">
        <v>0</v>
      </c>
      <c r="F268" s="6" t="n">
        <v>0</v>
      </c>
      <c r="G268" s="6" t="n">
        <v>0.12</v>
      </c>
      <c r="H26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69">
      <c r="A269" s="4" t="inlineStr">
        <is>
          <t>Autonomy</t>
        </is>
      </c>
      <c r="B269" s="4" t="inlineStr">
        <is>
          <t>CD</t>
        </is>
      </c>
      <c r="C269" s="4" t="inlineStr">
        <is>
          <t>L2</t>
        </is>
      </c>
      <c r="D269" s="5" t="n">
        <v>2035</v>
      </c>
      <c r="E269" s="6" t="n">
        <v>0.13</v>
      </c>
      <c r="F269" s="6" t="n">
        <v>0.25</v>
      </c>
      <c r="G269" s="6" t="n">
        <v>0.37</v>
      </c>
      <c r="H26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0">
      <c r="A270" s="4" t="inlineStr">
        <is>
          <t>Autonomy</t>
        </is>
      </c>
      <c r="B270" s="4" t="inlineStr">
        <is>
          <t>CD</t>
        </is>
      </c>
      <c r="C270" s="4" t="inlineStr">
        <is>
          <t>L3</t>
        </is>
      </c>
      <c r="D270" s="5" t="n">
        <v>2035</v>
      </c>
      <c r="E270" s="6" t="n">
        <v>0.33</v>
      </c>
      <c r="F270" s="6" t="n">
        <v>0.45</v>
      </c>
      <c r="G270" s="6" t="n">
        <v>0.57</v>
      </c>
      <c r="H27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1">
      <c r="A271" s="4" t="inlineStr">
        <is>
          <t>Autonomy</t>
        </is>
      </c>
      <c r="B271" s="4" t="inlineStr">
        <is>
          <t>CD</t>
        </is>
      </c>
      <c r="C271" s="4" t="inlineStr">
        <is>
          <t>L4</t>
        </is>
      </c>
      <c r="D271" s="5" t="n">
        <v>2035</v>
      </c>
      <c r="E271" s="6" t="n">
        <v>0.13</v>
      </c>
      <c r="F271" s="6" t="n">
        <v>0.25</v>
      </c>
      <c r="G271" s="6" t="n">
        <v>0.37</v>
      </c>
      <c r="H27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2">
      <c r="A272" s="4" t="inlineStr">
        <is>
          <t>Autonomy</t>
        </is>
      </c>
      <c r="B272" s="4" t="inlineStr">
        <is>
          <t>CD</t>
        </is>
      </c>
      <c r="C272" s="4" t="inlineStr">
        <is>
          <t>L5</t>
        </is>
      </c>
      <c r="D272" s="5" t="n">
        <v>2035</v>
      </c>
      <c r="E272" s="6" t="n">
        <v>0</v>
      </c>
      <c r="F272" s="6" t="n">
        <v>0.05</v>
      </c>
      <c r="G272" s="6" t="n">
        <v>0.17</v>
      </c>
      <c r="H27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3">
      <c r="A273" s="4" t="inlineStr">
        <is>
          <t>Autonomy</t>
        </is>
      </c>
      <c r="B273" s="4" t="inlineStr">
        <is>
          <t>CD</t>
        </is>
      </c>
      <c r="C273" s="4" t="inlineStr">
        <is>
          <t>L0</t>
        </is>
      </c>
      <c r="D273" s="5" t="n">
        <v>2040</v>
      </c>
      <c r="E273" s="6" t="n">
        <v>0</v>
      </c>
      <c r="F273" s="6" t="n">
        <v>0</v>
      </c>
      <c r="G273" s="6" t="n">
        <v>0.12</v>
      </c>
      <c r="H27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4">
      <c r="A274" s="4" t="inlineStr">
        <is>
          <t>Autonomy</t>
        </is>
      </c>
      <c r="B274" s="4" t="inlineStr">
        <is>
          <t>CD</t>
        </is>
      </c>
      <c r="C274" s="4" t="inlineStr">
        <is>
          <t>L1</t>
        </is>
      </c>
      <c r="D274" s="5" t="n">
        <v>2040</v>
      </c>
      <c r="E274" s="6" t="n">
        <v>0</v>
      </c>
      <c r="F274" s="6" t="n">
        <v>0</v>
      </c>
      <c r="G274" s="6" t="n">
        <v>0.12</v>
      </c>
      <c r="H27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5">
      <c r="A275" s="4" t="inlineStr">
        <is>
          <t>Autonomy</t>
        </is>
      </c>
      <c r="B275" s="4" t="inlineStr">
        <is>
          <t>CD</t>
        </is>
      </c>
      <c r="C275" s="4" t="inlineStr">
        <is>
          <t>L2</t>
        </is>
      </c>
      <c r="D275" s="5" t="n">
        <v>2040</v>
      </c>
      <c r="E275" s="6" t="n">
        <v>0</v>
      </c>
      <c r="F275" s="6" t="n">
        <v>0.05</v>
      </c>
      <c r="G275" s="6" t="n">
        <v>0.17</v>
      </c>
      <c r="H27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6">
      <c r="A276" s="4" t="inlineStr">
        <is>
          <t>Autonomy</t>
        </is>
      </c>
      <c r="B276" s="4" t="inlineStr">
        <is>
          <t>CD</t>
        </is>
      </c>
      <c r="C276" s="4" t="inlineStr">
        <is>
          <t>L3</t>
        </is>
      </c>
      <c r="D276" s="5" t="n">
        <v>2040</v>
      </c>
      <c r="E276" s="6" t="n">
        <v>0.18</v>
      </c>
      <c r="F276" s="6" t="n">
        <v>0.3</v>
      </c>
      <c r="G276" s="6" t="n">
        <v>0.42</v>
      </c>
      <c r="H27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7">
      <c r="A277" s="4" t="inlineStr">
        <is>
          <t>Autonomy</t>
        </is>
      </c>
      <c r="B277" s="4" t="inlineStr">
        <is>
          <t>CD</t>
        </is>
      </c>
      <c r="C277" s="4" t="inlineStr">
        <is>
          <t>L4</t>
        </is>
      </c>
      <c r="D277" s="5" t="n">
        <v>2040</v>
      </c>
      <c r="E277" s="6" t="n">
        <v>0.33</v>
      </c>
      <c r="F277" s="6" t="n">
        <v>0.45</v>
      </c>
      <c r="G277" s="6" t="n">
        <v>0.57</v>
      </c>
      <c r="H27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8">
      <c r="A278" s="4" t="inlineStr">
        <is>
          <t>Autonomy</t>
        </is>
      </c>
      <c r="B278" s="4" t="inlineStr">
        <is>
          <t>CD</t>
        </is>
      </c>
      <c r="C278" s="4" t="inlineStr">
        <is>
          <t>L5</t>
        </is>
      </c>
      <c r="D278" s="5" t="n">
        <v>2040</v>
      </c>
      <c r="E278" s="6" t="n">
        <v>0.08</v>
      </c>
      <c r="F278" s="6" t="n">
        <v>0.2</v>
      </c>
      <c r="G278" s="6" t="n">
        <v>0.32</v>
      </c>
      <c r="H27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79">
      <c r="A279" s="4" t="inlineStr">
        <is>
          <t>Autonomy</t>
        </is>
      </c>
      <c r="B279" s="4" t="inlineStr">
        <is>
          <t>CD</t>
        </is>
      </c>
      <c r="C279" s="4" t="inlineStr">
        <is>
          <t>L0</t>
        </is>
      </c>
      <c r="D279" s="5" t="n">
        <v>2045</v>
      </c>
      <c r="E279" s="6" t="n">
        <v>0</v>
      </c>
      <c r="F279" s="6" t="n">
        <v>0</v>
      </c>
      <c r="G279" s="6" t="n">
        <v>0.12</v>
      </c>
      <c r="H27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0">
      <c r="A280" s="4" t="inlineStr">
        <is>
          <t>Autonomy</t>
        </is>
      </c>
      <c r="B280" s="4" t="inlineStr">
        <is>
          <t>CD</t>
        </is>
      </c>
      <c r="C280" s="4" t="inlineStr">
        <is>
          <t>L1</t>
        </is>
      </c>
      <c r="D280" s="5" t="n">
        <v>2045</v>
      </c>
      <c r="E280" s="6" t="n">
        <v>0</v>
      </c>
      <c r="F280" s="6" t="n">
        <v>0</v>
      </c>
      <c r="G280" s="6" t="n">
        <v>0.12</v>
      </c>
      <c r="H28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1">
      <c r="A281" s="4" t="inlineStr">
        <is>
          <t>Autonomy</t>
        </is>
      </c>
      <c r="B281" s="4" t="inlineStr">
        <is>
          <t>CD</t>
        </is>
      </c>
      <c r="C281" s="4" t="inlineStr">
        <is>
          <t>L2</t>
        </is>
      </c>
      <c r="D281" s="5" t="n">
        <v>2045</v>
      </c>
      <c r="E281" s="6" t="n">
        <v>0</v>
      </c>
      <c r="F281" s="6" t="n">
        <v>0</v>
      </c>
      <c r="G281" s="6" t="n">
        <v>0.12</v>
      </c>
      <c r="H28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2">
      <c r="A282" s="4" t="inlineStr">
        <is>
          <t>Autonomy</t>
        </is>
      </c>
      <c r="B282" s="4" t="inlineStr">
        <is>
          <t>CD</t>
        </is>
      </c>
      <c r="C282" s="4" t="inlineStr">
        <is>
          <t>L3</t>
        </is>
      </c>
      <c r="D282" s="5" t="n">
        <v>2045</v>
      </c>
      <c r="E282" s="6" t="n">
        <v>0</v>
      </c>
      <c r="F282" s="6" t="n">
        <v>0.1</v>
      </c>
      <c r="G282" s="6" t="n">
        <v>0.22</v>
      </c>
      <c r="H28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3">
      <c r="A283" s="4" t="inlineStr">
        <is>
          <t>Autonomy</t>
        </is>
      </c>
      <c r="B283" s="4" t="inlineStr">
        <is>
          <t>CD</t>
        </is>
      </c>
      <c r="C283" s="4" t="inlineStr">
        <is>
          <t>L4</t>
        </is>
      </c>
      <c r="D283" s="5" t="n">
        <v>2045</v>
      </c>
      <c r="E283" s="6" t="n">
        <v>0.33</v>
      </c>
      <c r="F283" s="6" t="n">
        <v>0.45</v>
      </c>
      <c r="G283" s="6" t="n">
        <v>0.57</v>
      </c>
      <c r="H28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4">
      <c r="A284" s="4" t="inlineStr">
        <is>
          <t>Autonomy</t>
        </is>
      </c>
      <c r="B284" s="4" t="inlineStr">
        <is>
          <t>CD</t>
        </is>
      </c>
      <c r="C284" s="4" t="inlineStr">
        <is>
          <t>L5</t>
        </is>
      </c>
      <c r="D284" s="5" t="n">
        <v>2045</v>
      </c>
      <c r="E284" s="6" t="n">
        <v>0.33</v>
      </c>
      <c r="F284" s="6" t="n">
        <v>0.45</v>
      </c>
      <c r="G284" s="6" t="n">
        <v>0.57</v>
      </c>
      <c r="H28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5">
      <c r="A285" s="4" t="inlineStr">
        <is>
          <t>Autonomy</t>
        </is>
      </c>
      <c r="B285" s="4" t="inlineStr">
        <is>
          <t>CD</t>
        </is>
      </c>
      <c r="C285" s="4" t="inlineStr">
        <is>
          <t>L0</t>
        </is>
      </c>
      <c r="D285" s="5" t="n">
        <v>2050</v>
      </c>
      <c r="E285" s="6" t="n">
        <v>0</v>
      </c>
      <c r="F285" s="6" t="n">
        <v>0</v>
      </c>
      <c r="G285" s="6" t="n">
        <v>0.12</v>
      </c>
      <c r="H28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6">
      <c r="A286" s="4" t="inlineStr">
        <is>
          <t>Autonomy</t>
        </is>
      </c>
      <c r="B286" s="4" t="inlineStr">
        <is>
          <t>CD</t>
        </is>
      </c>
      <c r="C286" s="4" t="inlineStr">
        <is>
          <t>L1</t>
        </is>
      </c>
      <c r="D286" s="5" t="n">
        <v>2050</v>
      </c>
      <c r="E286" s="6" t="n">
        <v>0</v>
      </c>
      <c r="F286" s="6" t="n">
        <v>0</v>
      </c>
      <c r="G286" s="6" t="n">
        <v>0.12</v>
      </c>
      <c r="H28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7">
      <c r="A287" s="4" t="inlineStr">
        <is>
          <t>Autonomy</t>
        </is>
      </c>
      <c r="B287" s="4" t="inlineStr">
        <is>
          <t>CD</t>
        </is>
      </c>
      <c r="C287" s="4" t="inlineStr">
        <is>
          <t>L2</t>
        </is>
      </c>
      <c r="D287" s="5" t="n">
        <v>2050</v>
      </c>
      <c r="E287" s="6" t="n">
        <v>0</v>
      </c>
      <c r="F287" s="6" t="n">
        <v>0</v>
      </c>
      <c r="G287" s="6" t="n">
        <v>0.12</v>
      </c>
      <c r="H28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8">
      <c r="A288" s="4" t="inlineStr">
        <is>
          <t>Autonomy</t>
        </is>
      </c>
      <c r="B288" s="4" t="inlineStr">
        <is>
          <t>CD</t>
        </is>
      </c>
      <c r="C288" s="4" t="inlineStr">
        <is>
          <t>L3</t>
        </is>
      </c>
      <c r="D288" s="5" t="n">
        <v>2050</v>
      </c>
      <c r="E288" s="6" t="n">
        <v>0</v>
      </c>
      <c r="F288" s="6" t="n">
        <v>0</v>
      </c>
      <c r="G288" s="6" t="n">
        <v>0.12</v>
      </c>
      <c r="H28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89">
      <c r="A289" s="4" t="inlineStr">
        <is>
          <t>Autonomy</t>
        </is>
      </c>
      <c r="B289" s="4" t="inlineStr">
        <is>
          <t>CD</t>
        </is>
      </c>
      <c r="C289" s="4" t="inlineStr">
        <is>
          <t>L4</t>
        </is>
      </c>
      <c r="D289" s="5" t="n">
        <v>2050</v>
      </c>
      <c r="E289" s="6" t="n">
        <v>0.13</v>
      </c>
      <c r="F289" s="6" t="n">
        <v>0.25</v>
      </c>
      <c r="G289" s="6" t="n">
        <v>0.37</v>
      </c>
      <c r="H28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0">
      <c r="A290" s="4" t="inlineStr">
        <is>
          <t>Autonomy</t>
        </is>
      </c>
      <c r="B290" s="4" t="inlineStr">
        <is>
          <t>CD</t>
        </is>
      </c>
      <c r="C290" s="4" t="inlineStr">
        <is>
          <t>L5</t>
        </is>
      </c>
      <c r="D290" s="5" t="n">
        <v>2050</v>
      </c>
      <c r="E290" s="6" t="n">
        <v>0.63</v>
      </c>
      <c r="F290" s="6" t="n">
        <v>0.75</v>
      </c>
      <c r="G290" s="6" t="n">
        <v>0.87</v>
      </c>
      <c r="H29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1">
      <c r="A291" s="4" t="inlineStr">
        <is>
          <t>Autonomy</t>
        </is>
      </c>
      <c r="B291" s="4" t="inlineStr">
        <is>
          <t>CD</t>
        </is>
      </c>
      <c r="C291" s="4" t="inlineStr">
        <is>
          <t>L0</t>
        </is>
      </c>
      <c r="D291" s="5" t="n">
        <v>2060</v>
      </c>
      <c r="E291" s="6" t="n">
        <v>0</v>
      </c>
      <c r="F291" s="6" t="n">
        <v>0</v>
      </c>
      <c r="G291" s="6" t="n">
        <v>0.12</v>
      </c>
      <c r="H29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2">
      <c r="A292" s="4" t="inlineStr">
        <is>
          <t>Autonomy</t>
        </is>
      </c>
      <c r="B292" s="4" t="inlineStr">
        <is>
          <t>CD</t>
        </is>
      </c>
      <c r="C292" s="4" t="inlineStr">
        <is>
          <t>L1</t>
        </is>
      </c>
      <c r="D292" s="5" t="n">
        <v>2060</v>
      </c>
      <c r="E292" s="6" t="n">
        <v>0</v>
      </c>
      <c r="F292" s="6" t="n">
        <v>0</v>
      </c>
      <c r="G292" s="6" t="n">
        <v>0.12</v>
      </c>
      <c r="H29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3">
      <c r="A293" s="4" t="inlineStr">
        <is>
          <t>Autonomy</t>
        </is>
      </c>
      <c r="B293" s="4" t="inlineStr">
        <is>
          <t>CD</t>
        </is>
      </c>
      <c r="C293" s="4" t="inlineStr">
        <is>
          <t>L2</t>
        </is>
      </c>
      <c r="D293" s="5" t="n">
        <v>2060</v>
      </c>
      <c r="E293" s="6" t="n">
        <v>0</v>
      </c>
      <c r="F293" s="6" t="n">
        <v>0</v>
      </c>
      <c r="G293" s="6" t="n">
        <v>0.12</v>
      </c>
      <c r="H29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4">
      <c r="A294" s="4" t="inlineStr">
        <is>
          <t>Autonomy</t>
        </is>
      </c>
      <c r="B294" s="4" t="inlineStr">
        <is>
          <t>CD</t>
        </is>
      </c>
      <c r="C294" s="4" t="inlineStr">
        <is>
          <t>L3</t>
        </is>
      </c>
      <c r="D294" s="5" t="n">
        <v>2060</v>
      </c>
      <c r="E294" s="6" t="n">
        <v>0</v>
      </c>
      <c r="F294" s="6" t="n">
        <v>0</v>
      </c>
      <c r="G294" s="6" t="n">
        <v>0.12</v>
      </c>
      <c r="H29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5">
      <c r="A295" s="4" t="inlineStr">
        <is>
          <t>Autonomy</t>
        </is>
      </c>
      <c r="B295" s="4" t="inlineStr">
        <is>
          <t>CD</t>
        </is>
      </c>
      <c r="C295" s="4" t="inlineStr">
        <is>
          <t>L4</t>
        </is>
      </c>
      <c r="D295" s="5" t="n">
        <v>2060</v>
      </c>
      <c r="E295" s="6" t="n">
        <v>0</v>
      </c>
      <c r="F295" s="6" t="n">
        <v>0.05</v>
      </c>
      <c r="G295" s="6" t="n">
        <v>0.17</v>
      </c>
      <c r="H29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6">
      <c r="A296" s="4" t="inlineStr">
        <is>
          <t>Autonomy</t>
        </is>
      </c>
      <c r="B296" s="4" t="inlineStr">
        <is>
          <t>CD</t>
        </is>
      </c>
      <c r="C296" s="4" t="inlineStr">
        <is>
          <t>L5</t>
        </is>
      </c>
      <c r="D296" s="5" t="n">
        <v>2060</v>
      </c>
      <c r="E296" s="6" t="n">
        <v>0.83</v>
      </c>
      <c r="F296" s="6" t="n">
        <v>0.95</v>
      </c>
      <c r="G296" s="6" t="n">
        <v>1</v>
      </c>
      <c r="H29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7">
      <c r="A297" s="4" t="inlineStr">
        <is>
          <t>Autonomy</t>
        </is>
      </c>
      <c r="B297" s="4" t="inlineStr">
        <is>
          <t>CD</t>
        </is>
      </c>
      <c r="C297" s="4" t="inlineStr">
        <is>
          <t>L0</t>
        </is>
      </c>
      <c r="D297" s="5" t="n">
        <v>2070</v>
      </c>
      <c r="E297" s="6" t="n">
        <v>0</v>
      </c>
      <c r="F297" s="6" t="n">
        <v>0</v>
      </c>
      <c r="G297" s="6" t="n">
        <v>0.12</v>
      </c>
      <c r="H29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8">
      <c r="A298" s="4" t="inlineStr">
        <is>
          <t>Autonomy</t>
        </is>
      </c>
      <c r="B298" s="4" t="inlineStr">
        <is>
          <t>CD</t>
        </is>
      </c>
      <c r="C298" s="4" t="inlineStr">
        <is>
          <t>L1</t>
        </is>
      </c>
      <c r="D298" s="5" t="n">
        <v>2070</v>
      </c>
      <c r="E298" s="6" t="n">
        <v>0</v>
      </c>
      <c r="F298" s="6" t="n">
        <v>0</v>
      </c>
      <c r="G298" s="6" t="n">
        <v>0.12</v>
      </c>
      <c r="H29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299">
      <c r="A299" s="4" t="inlineStr">
        <is>
          <t>Autonomy</t>
        </is>
      </c>
      <c r="B299" s="4" t="inlineStr">
        <is>
          <t>CD</t>
        </is>
      </c>
      <c r="C299" s="4" t="inlineStr">
        <is>
          <t>L2</t>
        </is>
      </c>
      <c r="D299" s="5" t="n">
        <v>2070</v>
      </c>
      <c r="E299" s="6" t="n">
        <v>0</v>
      </c>
      <c r="F299" s="6" t="n">
        <v>0</v>
      </c>
      <c r="G299" s="6" t="n">
        <v>0.12</v>
      </c>
      <c r="H29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0">
      <c r="A300" s="4" t="inlineStr">
        <is>
          <t>Autonomy</t>
        </is>
      </c>
      <c r="B300" s="4" t="inlineStr">
        <is>
          <t>CD</t>
        </is>
      </c>
      <c r="C300" s="4" t="inlineStr">
        <is>
          <t>L3</t>
        </is>
      </c>
      <c r="D300" s="5" t="n">
        <v>2070</v>
      </c>
      <c r="E300" s="6" t="n">
        <v>0</v>
      </c>
      <c r="F300" s="6" t="n">
        <v>0</v>
      </c>
      <c r="G300" s="6" t="n">
        <v>0.12</v>
      </c>
      <c r="H30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1">
      <c r="A301" s="4" t="inlineStr">
        <is>
          <t>Autonomy</t>
        </is>
      </c>
      <c r="B301" s="4" t="inlineStr">
        <is>
          <t>CD</t>
        </is>
      </c>
      <c r="C301" s="4" t="inlineStr">
        <is>
          <t>L4</t>
        </is>
      </c>
      <c r="D301" s="5" t="n">
        <v>2070</v>
      </c>
      <c r="E301" s="6" t="n">
        <v>0</v>
      </c>
      <c r="F301" s="6" t="n">
        <v>0</v>
      </c>
      <c r="G301" s="6" t="n">
        <v>0.12</v>
      </c>
      <c r="H30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2">
      <c r="A302" s="4" t="inlineStr">
        <is>
          <t>Autonomy</t>
        </is>
      </c>
      <c r="B302" s="4" t="inlineStr">
        <is>
          <t>CD</t>
        </is>
      </c>
      <c r="C302" s="4" t="inlineStr">
        <is>
          <t>L5</t>
        </is>
      </c>
      <c r="D302" s="5" t="n">
        <v>2070</v>
      </c>
      <c r="E302" s="6" t="n">
        <v>0.88</v>
      </c>
      <c r="F302" s="6" t="n">
        <v>1</v>
      </c>
      <c r="G302" s="6" t="n">
        <v>1</v>
      </c>
      <c r="H30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3">
      <c r="A303" s="4" t="inlineStr">
        <is>
          <t>Autonomy</t>
        </is>
      </c>
      <c r="B303" s="4" t="inlineStr">
        <is>
          <t>AB</t>
        </is>
      </c>
      <c r="C303" s="4" t="inlineStr">
        <is>
          <t>L0</t>
        </is>
      </c>
      <c r="D303" s="5" t="n">
        <v>2010</v>
      </c>
      <c r="E303" s="6" t="n">
        <v>0.88</v>
      </c>
      <c r="F303" s="6" t="n">
        <v>1</v>
      </c>
      <c r="G303" s="6" t="n">
        <v>1</v>
      </c>
      <c r="H30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4">
      <c r="A304" s="4" t="inlineStr">
        <is>
          <t>Autonomy</t>
        </is>
      </c>
      <c r="B304" s="4" t="inlineStr">
        <is>
          <t>AB</t>
        </is>
      </c>
      <c r="C304" s="4" t="inlineStr">
        <is>
          <t>L1</t>
        </is>
      </c>
      <c r="D304" s="5" t="n">
        <v>2010</v>
      </c>
      <c r="E304" s="6" t="n">
        <v>0</v>
      </c>
      <c r="F304" s="6" t="n">
        <v>0</v>
      </c>
      <c r="G304" s="6" t="n">
        <v>0.12</v>
      </c>
      <c r="H30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5">
      <c r="A305" s="4" t="inlineStr">
        <is>
          <t>Autonomy</t>
        </is>
      </c>
      <c r="B305" s="4" t="inlineStr">
        <is>
          <t>AB</t>
        </is>
      </c>
      <c r="C305" s="4" t="inlineStr">
        <is>
          <t>L2</t>
        </is>
      </c>
      <c r="D305" s="5" t="n">
        <v>2010</v>
      </c>
      <c r="E305" s="6" t="n">
        <v>0</v>
      </c>
      <c r="F305" s="6" t="n">
        <v>0</v>
      </c>
      <c r="G305" s="6" t="n">
        <v>0.12</v>
      </c>
      <c r="H30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6">
      <c r="A306" s="4" t="inlineStr">
        <is>
          <t>Autonomy</t>
        </is>
      </c>
      <c r="B306" s="4" t="inlineStr">
        <is>
          <t>AB</t>
        </is>
      </c>
      <c r="C306" s="4" t="inlineStr">
        <is>
          <t>L3</t>
        </is>
      </c>
      <c r="D306" s="5" t="n">
        <v>2010</v>
      </c>
      <c r="E306" s="6" t="n">
        <v>0</v>
      </c>
      <c r="F306" s="6" t="n">
        <v>0</v>
      </c>
      <c r="G306" s="6" t="n">
        <v>0.12</v>
      </c>
      <c r="H30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7">
      <c r="A307" s="4" t="inlineStr">
        <is>
          <t>Autonomy</t>
        </is>
      </c>
      <c r="B307" s="4" t="inlineStr">
        <is>
          <t>AB</t>
        </is>
      </c>
      <c r="C307" s="4" t="inlineStr">
        <is>
          <t>L4</t>
        </is>
      </c>
      <c r="D307" s="5" t="n">
        <v>2010</v>
      </c>
      <c r="E307" s="6" t="n">
        <v>0</v>
      </c>
      <c r="F307" s="6" t="n">
        <v>0</v>
      </c>
      <c r="G307" s="6" t="n">
        <v>0.12</v>
      </c>
      <c r="H30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8">
      <c r="A308" s="4" t="inlineStr">
        <is>
          <t>Autonomy</t>
        </is>
      </c>
      <c r="B308" s="4" t="inlineStr">
        <is>
          <t>AB</t>
        </is>
      </c>
      <c r="C308" s="4" t="inlineStr">
        <is>
          <t>L5</t>
        </is>
      </c>
      <c r="D308" s="5" t="n">
        <v>2010</v>
      </c>
      <c r="E308" s="6" t="n">
        <v>0</v>
      </c>
      <c r="F308" s="6" t="n">
        <v>0</v>
      </c>
      <c r="G308" s="6" t="n">
        <v>0.12</v>
      </c>
      <c r="H30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09">
      <c r="A309" s="4" t="inlineStr">
        <is>
          <t>Autonomy</t>
        </is>
      </c>
      <c r="B309" s="4" t="inlineStr">
        <is>
          <t>AB</t>
        </is>
      </c>
      <c r="C309" s="4" t="inlineStr">
        <is>
          <t>L0</t>
        </is>
      </c>
      <c r="D309" s="5" t="n">
        <v>2015</v>
      </c>
      <c r="E309" s="6" t="n">
        <v>0.83</v>
      </c>
      <c r="F309" s="6" t="n">
        <v>0.95</v>
      </c>
      <c r="G309" s="6" t="n">
        <v>1</v>
      </c>
      <c r="H30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0">
      <c r="A310" s="4" t="inlineStr">
        <is>
          <t>Autonomy</t>
        </is>
      </c>
      <c r="B310" s="4" t="inlineStr">
        <is>
          <t>AB</t>
        </is>
      </c>
      <c r="C310" s="4" t="inlineStr">
        <is>
          <t>L1</t>
        </is>
      </c>
      <c r="D310" s="5" t="n">
        <v>2015</v>
      </c>
      <c r="E310" s="6" t="n">
        <v>0</v>
      </c>
      <c r="F310" s="6" t="n">
        <v>0.05</v>
      </c>
      <c r="G310" s="6" t="n">
        <v>0.17</v>
      </c>
      <c r="H31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1">
      <c r="A311" s="4" t="inlineStr">
        <is>
          <t>Autonomy</t>
        </is>
      </c>
      <c r="B311" s="4" t="inlineStr">
        <is>
          <t>AB</t>
        </is>
      </c>
      <c r="C311" s="4" t="inlineStr">
        <is>
          <t>L2</t>
        </is>
      </c>
      <c r="D311" s="5" t="n">
        <v>2015</v>
      </c>
      <c r="E311" s="6" t="n">
        <v>0</v>
      </c>
      <c r="F311" s="6" t="n">
        <v>0</v>
      </c>
      <c r="G311" s="6" t="n">
        <v>0.12</v>
      </c>
      <c r="H31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2">
      <c r="A312" s="4" t="inlineStr">
        <is>
          <t>Autonomy</t>
        </is>
      </c>
      <c r="B312" s="4" t="inlineStr">
        <is>
          <t>AB</t>
        </is>
      </c>
      <c r="C312" s="4" t="inlineStr">
        <is>
          <t>L3</t>
        </is>
      </c>
      <c r="D312" s="5" t="n">
        <v>2015</v>
      </c>
      <c r="E312" s="6" t="n">
        <v>0</v>
      </c>
      <c r="F312" s="6" t="n">
        <v>0</v>
      </c>
      <c r="G312" s="6" t="n">
        <v>0.12</v>
      </c>
      <c r="H31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3">
      <c r="A313" s="4" t="inlineStr">
        <is>
          <t>Autonomy</t>
        </is>
      </c>
      <c r="B313" s="4" t="inlineStr">
        <is>
          <t>AB</t>
        </is>
      </c>
      <c r="C313" s="4" t="inlineStr">
        <is>
          <t>L4</t>
        </is>
      </c>
      <c r="D313" s="5" t="n">
        <v>2015</v>
      </c>
      <c r="E313" s="6" t="n">
        <v>0</v>
      </c>
      <c r="F313" s="6" t="n">
        <v>0</v>
      </c>
      <c r="G313" s="6" t="n">
        <v>0.12</v>
      </c>
      <c r="H31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4">
      <c r="A314" s="4" t="inlineStr">
        <is>
          <t>Autonomy</t>
        </is>
      </c>
      <c r="B314" s="4" t="inlineStr">
        <is>
          <t>AB</t>
        </is>
      </c>
      <c r="C314" s="4" t="inlineStr">
        <is>
          <t>L5</t>
        </is>
      </c>
      <c r="D314" s="5" t="n">
        <v>2015</v>
      </c>
      <c r="E314" s="6" t="n">
        <v>0</v>
      </c>
      <c r="F314" s="6" t="n">
        <v>0</v>
      </c>
      <c r="G314" s="6" t="n">
        <v>0.12</v>
      </c>
      <c r="H31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5">
      <c r="A315" s="4" t="inlineStr">
        <is>
          <t>Autonomy</t>
        </is>
      </c>
      <c r="B315" s="4" t="inlineStr">
        <is>
          <t>AB</t>
        </is>
      </c>
      <c r="C315" s="4" t="inlineStr">
        <is>
          <t>L0</t>
        </is>
      </c>
      <c r="D315" s="5" t="n">
        <v>2020</v>
      </c>
      <c r="E315" s="6" t="n">
        <v>0.58</v>
      </c>
      <c r="F315" s="6" t="n">
        <v>0.7</v>
      </c>
      <c r="G315" s="6" t="n">
        <v>0.82</v>
      </c>
      <c r="H31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6">
      <c r="A316" s="4" t="inlineStr">
        <is>
          <t>Autonomy</t>
        </is>
      </c>
      <c r="B316" s="4" t="inlineStr">
        <is>
          <t>AB</t>
        </is>
      </c>
      <c r="C316" s="4" t="inlineStr">
        <is>
          <t>L1</t>
        </is>
      </c>
      <c r="D316" s="5" t="n">
        <v>2020</v>
      </c>
      <c r="E316" s="6" t="n">
        <v>0.18</v>
      </c>
      <c r="F316" s="6" t="n">
        <v>0.3</v>
      </c>
      <c r="G316" s="6" t="n">
        <v>0.42</v>
      </c>
      <c r="H31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7">
      <c r="A317" s="4" t="inlineStr">
        <is>
          <t>Autonomy</t>
        </is>
      </c>
      <c r="B317" s="4" t="inlineStr">
        <is>
          <t>AB</t>
        </is>
      </c>
      <c r="C317" s="4" t="inlineStr">
        <is>
          <t>L2</t>
        </is>
      </c>
      <c r="D317" s="5" t="n">
        <v>2020</v>
      </c>
      <c r="E317" s="6" t="n">
        <v>0</v>
      </c>
      <c r="F317" s="6" t="n">
        <v>0</v>
      </c>
      <c r="G317" s="6" t="n">
        <v>0.12</v>
      </c>
      <c r="H31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8">
      <c r="A318" s="4" t="inlineStr">
        <is>
          <t>Autonomy</t>
        </is>
      </c>
      <c r="B318" s="4" t="inlineStr">
        <is>
          <t>AB</t>
        </is>
      </c>
      <c r="C318" s="4" t="inlineStr">
        <is>
          <t>L3</t>
        </is>
      </c>
      <c r="D318" s="5" t="n">
        <v>2020</v>
      </c>
      <c r="E318" s="6" t="n">
        <v>0</v>
      </c>
      <c r="F318" s="6" t="n">
        <v>0</v>
      </c>
      <c r="G318" s="6" t="n">
        <v>0.12</v>
      </c>
      <c r="H31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19">
      <c r="A319" s="4" t="inlineStr">
        <is>
          <t>Autonomy</t>
        </is>
      </c>
      <c r="B319" s="4" t="inlineStr">
        <is>
          <t>AB</t>
        </is>
      </c>
      <c r="C319" s="4" t="inlineStr">
        <is>
          <t>L4</t>
        </is>
      </c>
      <c r="D319" s="5" t="n">
        <v>2020</v>
      </c>
      <c r="E319" s="6" t="n">
        <v>0</v>
      </c>
      <c r="F319" s="6" t="n">
        <v>0</v>
      </c>
      <c r="G319" s="6" t="n">
        <v>0.12</v>
      </c>
      <c r="H31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0">
      <c r="A320" s="4" t="inlineStr">
        <is>
          <t>Autonomy</t>
        </is>
      </c>
      <c r="B320" s="4" t="inlineStr">
        <is>
          <t>AB</t>
        </is>
      </c>
      <c r="C320" s="4" t="inlineStr">
        <is>
          <t>L5</t>
        </is>
      </c>
      <c r="D320" s="5" t="n">
        <v>2020</v>
      </c>
      <c r="E320" s="6" t="n">
        <v>0</v>
      </c>
      <c r="F320" s="6" t="n">
        <v>0</v>
      </c>
      <c r="G320" s="6" t="n">
        <v>0.12</v>
      </c>
      <c r="H32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1">
      <c r="A321" s="4" t="inlineStr">
        <is>
          <t>Autonomy</t>
        </is>
      </c>
      <c r="B321" s="4" t="inlineStr">
        <is>
          <t>AB</t>
        </is>
      </c>
      <c r="C321" s="4" t="inlineStr">
        <is>
          <t>L0</t>
        </is>
      </c>
      <c r="D321" s="5" t="n">
        <v>2025</v>
      </c>
      <c r="E321" s="6" t="n">
        <v>0</v>
      </c>
      <c r="F321" s="6" t="n">
        <v>0.05</v>
      </c>
      <c r="G321" s="6" t="n">
        <v>0.17</v>
      </c>
      <c r="H32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2">
      <c r="A322" s="4" t="inlineStr">
        <is>
          <t>Autonomy</t>
        </is>
      </c>
      <c r="B322" s="4" t="inlineStr">
        <is>
          <t>AB</t>
        </is>
      </c>
      <c r="C322" s="4" t="inlineStr">
        <is>
          <t>L1</t>
        </is>
      </c>
      <c r="D322" s="5" t="n">
        <v>2025</v>
      </c>
      <c r="E322" s="6" t="n">
        <v>0.73</v>
      </c>
      <c r="F322" s="6" t="n">
        <v>0.85</v>
      </c>
      <c r="G322" s="6" t="n">
        <v>0.97</v>
      </c>
      <c r="H32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3">
      <c r="A323" s="4" t="inlineStr">
        <is>
          <t>Autonomy</t>
        </is>
      </c>
      <c r="B323" s="4" t="inlineStr">
        <is>
          <t>AB</t>
        </is>
      </c>
      <c r="C323" s="4" t="inlineStr">
        <is>
          <t>L2</t>
        </is>
      </c>
      <c r="D323" s="5" t="n">
        <v>2025</v>
      </c>
      <c r="E323" s="6" t="n">
        <v>0</v>
      </c>
      <c r="F323" s="6" t="n">
        <v>0.1</v>
      </c>
      <c r="G323" s="6" t="n">
        <v>0.22</v>
      </c>
      <c r="H32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4">
      <c r="A324" s="4" t="inlineStr">
        <is>
          <t>Autonomy</t>
        </is>
      </c>
      <c r="B324" s="4" t="inlineStr">
        <is>
          <t>AB</t>
        </is>
      </c>
      <c r="C324" s="4" t="inlineStr">
        <is>
          <t>L3</t>
        </is>
      </c>
      <c r="D324" s="5" t="n">
        <v>2025</v>
      </c>
      <c r="E324" s="6" t="n">
        <v>0</v>
      </c>
      <c r="F324" s="6" t="n">
        <v>0</v>
      </c>
      <c r="G324" s="6" t="n">
        <v>0.12</v>
      </c>
      <c r="H32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5">
      <c r="A325" s="4" t="inlineStr">
        <is>
          <t>Autonomy</t>
        </is>
      </c>
      <c r="B325" s="4" t="inlineStr">
        <is>
          <t>AB</t>
        </is>
      </c>
      <c r="C325" s="4" t="inlineStr">
        <is>
          <t>L4</t>
        </is>
      </c>
      <c r="D325" s="5" t="n">
        <v>2025</v>
      </c>
      <c r="E325" s="6" t="n">
        <v>0</v>
      </c>
      <c r="F325" s="6" t="n">
        <v>0</v>
      </c>
      <c r="G325" s="6" t="n">
        <v>0.12</v>
      </c>
      <c r="H32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6">
      <c r="A326" s="4" t="inlineStr">
        <is>
          <t>Autonomy</t>
        </is>
      </c>
      <c r="B326" s="4" t="inlineStr">
        <is>
          <t>AB</t>
        </is>
      </c>
      <c r="C326" s="4" t="inlineStr">
        <is>
          <t>L5</t>
        </is>
      </c>
      <c r="D326" s="5" t="n">
        <v>2025</v>
      </c>
      <c r="E326" s="6" t="n">
        <v>0</v>
      </c>
      <c r="F326" s="6" t="n">
        <v>0</v>
      </c>
      <c r="G326" s="6" t="n">
        <v>0.12</v>
      </c>
      <c r="H32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7">
      <c r="A327" s="4" t="inlineStr">
        <is>
          <t>Autonomy</t>
        </is>
      </c>
      <c r="B327" s="4" t="inlineStr">
        <is>
          <t>AB</t>
        </is>
      </c>
      <c r="C327" s="4" t="inlineStr">
        <is>
          <t>L0</t>
        </is>
      </c>
      <c r="D327" s="5" t="n">
        <v>2030</v>
      </c>
      <c r="E327" s="6" t="n">
        <v>0</v>
      </c>
      <c r="F327" s="6" t="n">
        <v>0</v>
      </c>
      <c r="G327" s="6" t="n">
        <v>0.12</v>
      </c>
      <c r="H32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8">
      <c r="A328" s="4" t="inlineStr">
        <is>
          <t>Autonomy</t>
        </is>
      </c>
      <c r="B328" s="4" t="inlineStr">
        <is>
          <t>AB</t>
        </is>
      </c>
      <c r="C328" s="4" t="inlineStr">
        <is>
          <t>L1</t>
        </is>
      </c>
      <c r="D328" s="5" t="n">
        <v>2030</v>
      </c>
      <c r="E328" s="6" t="n">
        <v>0.43</v>
      </c>
      <c r="F328" s="6" t="n">
        <v>0.55</v>
      </c>
      <c r="G328" s="6" t="n">
        <v>0.67</v>
      </c>
      <c r="H32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29">
      <c r="A329" s="4" t="inlineStr">
        <is>
          <t>Autonomy</t>
        </is>
      </c>
      <c r="B329" s="4" t="inlineStr">
        <is>
          <t>AB</t>
        </is>
      </c>
      <c r="C329" s="4" t="inlineStr">
        <is>
          <t>L2</t>
        </is>
      </c>
      <c r="D329" s="5" t="n">
        <v>2030</v>
      </c>
      <c r="E329" s="6" t="n">
        <v>0.33</v>
      </c>
      <c r="F329" s="6" t="n">
        <v>0.45</v>
      </c>
      <c r="G329" s="6" t="n">
        <v>0.57</v>
      </c>
      <c r="H32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0">
      <c r="A330" s="4" t="inlineStr">
        <is>
          <t>Autonomy</t>
        </is>
      </c>
      <c r="B330" s="4" t="inlineStr">
        <is>
          <t>AB</t>
        </is>
      </c>
      <c r="C330" s="4" t="inlineStr">
        <is>
          <t>L3</t>
        </is>
      </c>
      <c r="D330" s="5" t="n">
        <v>2030</v>
      </c>
      <c r="E330" s="6" t="n">
        <v>0</v>
      </c>
      <c r="F330" s="6" t="n">
        <v>0</v>
      </c>
      <c r="G330" s="6" t="n">
        <v>0.12</v>
      </c>
      <c r="H33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1">
      <c r="A331" s="4" t="inlineStr">
        <is>
          <t>Autonomy</t>
        </is>
      </c>
      <c r="B331" s="4" t="inlineStr">
        <is>
          <t>AB</t>
        </is>
      </c>
      <c r="C331" s="4" t="inlineStr">
        <is>
          <t>L4</t>
        </is>
      </c>
      <c r="D331" s="5" t="n">
        <v>2030</v>
      </c>
      <c r="E331" s="6" t="n">
        <v>0</v>
      </c>
      <c r="F331" s="6" t="n">
        <v>0</v>
      </c>
      <c r="G331" s="6" t="n">
        <v>0.12</v>
      </c>
      <c r="H33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2">
      <c r="A332" s="4" t="inlineStr">
        <is>
          <t>Autonomy</t>
        </is>
      </c>
      <c r="B332" s="4" t="inlineStr">
        <is>
          <t>AB</t>
        </is>
      </c>
      <c r="C332" s="4" t="inlineStr">
        <is>
          <t>L5</t>
        </is>
      </c>
      <c r="D332" s="5" t="n">
        <v>2030</v>
      </c>
      <c r="E332" s="6" t="n">
        <v>0</v>
      </c>
      <c r="F332" s="6" t="n">
        <v>0</v>
      </c>
      <c r="G332" s="6" t="n">
        <v>0.12</v>
      </c>
      <c r="H33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3">
      <c r="A333" s="4" t="inlineStr">
        <is>
          <t>Autonomy</t>
        </is>
      </c>
      <c r="B333" s="4" t="inlineStr">
        <is>
          <t>AB</t>
        </is>
      </c>
      <c r="C333" s="4" t="inlineStr">
        <is>
          <t>L0</t>
        </is>
      </c>
      <c r="D333" s="5" t="n">
        <v>2035</v>
      </c>
      <c r="E333" s="6" t="n">
        <v>0</v>
      </c>
      <c r="F333" s="6" t="n">
        <v>0</v>
      </c>
      <c r="G333" s="6" t="n">
        <v>0.12</v>
      </c>
      <c r="H33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4">
      <c r="A334" s="4" t="inlineStr">
        <is>
          <t>Autonomy</t>
        </is>
      </c>
      <c r="B334" s="4" t="inlineStr">
        <is>
          <t>AB</t>
        </is>
      </c>
      <c r="C334" s="4" t="inlineStr">
        <is>
          <t>L1</t>
        </is>
      </c>
      <c r="D334" s="5" t="n">
        <v>2035</v>
      </c>
      <c r="E334" s="6" t="n">
        <v>0.03</v>
      </c>
      <c r="F334" s="6" t="n">
        <v>0.15</v>
      </c>
      <c r="G334" s="6" t="n">
        <v>0.27</v>
      </c>
      <c r="H33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5">
      <c r="A335" s="4" t="inlineStr">
        <is>
          <t>Autonomy</t>
        </is>
      </c>
      <c r="B335" s="4" t="inlineStr">
        <is>
          <t>AB</t>
        </is>
      </c>
      <c r="C335" s="4" t="inlineStr">
        <is>
          <t>L2</t>
        </is>
      </c>
      <c r="D335" s="5" t="n">
        <v>2035</v>
      </c>
      <c r="E335" s="6" t="n">
        <v>0.53</v>
      </c>
      <c r="F335" s="6" t="n">
        <v>0.65</v>
      </c>
      <c r="G335" s="6" t="n">
        <v>0.77</v>
      </c>
      <c r="H33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6">
      <c r="A336" s="4" t="inlineStr">
        <is>
          <t>Autonomy</t>
        </is>
      </c>
      <c r="B336" s="4" t="inlineStr">
        <is>
          <t>AB</t>
        </is>
      </c>
      <c r="C336" s="4" t="inlineStr">
        <is>
          <t>L3</t>
        </is>
      </c>
      <c r="D336" s="5" t="n">
        <v>2035</v>
      </c>
      <c r="E336" s="6" t="n">
        <v>0.08</v>
      </c>
      <c r="F336" s="6" t="n">
        <v>0.2</v>
      </c>
      <c r="G336" s="6" t="n">
        <v>0.32</v>
      </c>
      <c r="H33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7">
      <c r="A337" s="4" t="inlineStr">
        <is>
          <t>Autonomy</t>
        </is>
      </c>
      <c r="B337" s="4" t="inlineStr">
        <is>
          <t>AB</t>
        </is>
      </c>
      <c r="C337" s="4" t="inlineStr">
        <is>
          <t>L4</t>
        </is>
      </c>
      <c r="D337" s="5" t="n">
        <v>2035</v>
      </c>
      <c r="E337" s="6" t="n">
        <v>0</v>
      </c>
      <c r="F337" s="6" t="n">
        <v>0</v>
      </c>
      <c r="G337" s="6" t="n">
        <v>0.12</v>
      </c>
      <c r="H33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8">
      <c r="A338" s="4" t="inlineStr">
        <is>
          <t>Autonomy</t>
        </is>
      </c>
      <c r="B338" s="4" t="inlineStr">
        <is>
          <t>AB</t>
        </is>
      </c>
      <c r="C338" s="4" t="inlineStr">
        <is>
          <t>L5</t>
        </is>
      </c>
      <c r="D338" s="5" t="n">
        <v>2035</v>
      </c>
      <c r="E338" s="6" t="n">
        <v>0</v>
      </c>
      <c r="F338" s="6" t="n">
        <v>0</v>
      </c>
      <c r="G338" s="6" t="n">
        <v>0.12</v>
      </c>
      <c r="H33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39">
      <c r="A339" s="4" t="inlineStr">
        <is>
          <t>Autonomy</t>
        </is>
      </c>
      <c r="B339" s="4" t="inlineStr">
        <is>
          <t>AB</t>
        </is>
      </c>
      <c r="C339" s="4" t="inlineStr">
        <is>
          <t>L0</t>
        </is>
      </c>
      <c r="D339" s="5" t="n">
        <v>2040</v>
      </c>
      <c r="E339" s="6" t="n">
        <v>0</v>
      </c>
      <c r="F339" s="6" t="n">
        <v>0</v>
      </c>
      <c r="G339" s="6" t="n">
        <v>0.12</v>
      </c>
      <c r="H33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0">
      <c r="A340" s="4" t="inlineStr">
        <is>
          <t>Autonomy</t>
        </is>
      </c>
      <c r="B340" s="4" t="inlineStr">
        <is>
          <t>AB</t>
        </is>
      </c>
      <c r="C340" s="4" t="inlineStr">
        <is>
          <t>L1</t>
        </is>
      </c>
      <c r="D340" s="5" t="n">
        <v>2040</v>
      </c>
      <c r="E340" s="6" t="n">
        <v>0</v>
      </c>
      <c r="F340" s="6" t="n">
        <v>0</v>
      </c>
      <c r="G340" s="6" t="n">
        <v>0.12</v>
      </c>
      <c r="H34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1">
      <c r="A341" s="4" t="inlineStr">
        <is>
          <t>Autonomy</t>
        </is>
      </c>
      <c r="B341" s="4" t="inlineStr">
        <is>
          <t>AB</t>
        </is>
      </c>
      <c r="C341" s="4" t="inlineStr">
        <is>
          <t>L2</t>
        </is>
      </c>
      <c r="D341" s="5" t="n">
        <v>2040</v>
      </c>
      <c r="E341" s="6" t="n">
        <v>0.33</v>
      </c>
      <c r="F341" s="6" t="n">
        <v>0.45</v>
      </c>
      <c r="G341" s="6" t="n">
        <v>0.57</v>
      </c>
      <c r="H34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2">
      <c r="A342" s="4" t="inlineStr">
        <is>
          <t>Autonomy</t>
        </is>
      </c>
      <c r="B342" s="4" t="inlineStr">
        <is>
          <t>AB</t>
        </is>
      </c>
      <c r="C342" s="4" t="inlineStr">
        <is>
          <t>L3</t>
        </is>
      </c>
      <c r="D342" s="5" t="n">
        <v>2040</v>
      </c>
      <c r="E342" s="6" t="n">
        <v>0.28</v>
      </c>
      <c r="F342" s="6" t="n">
        <v>0.4</v>
      </c>
      <c r="G342" s="6" t="n">
        <v>0.52</v>
      </c>
      <c r="H34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3">
      <c r="A343" s="4" t="inlineStr">
        <is>
          <t>Autonomy</t>
        </is>
      </c>
      <c r="B343" s="4" t="inlineStr">
        <is>
          <t>AB</t>
        </is>
      </c>
      <c r="C343" s="4" t="inlineStr">
        <is>
          <t>L4</t>
        </is>
      </c>
      <c r="D343" s="5" t="n">
        <v>2040</v>
      </c>
      <c r="E343" s="6" t="n">
        <v>0.03</v>
      </c>
      <c r="F343" s="6" t="n">
        <v>0.15</v>
      </c>
      <c r="G343" s="6" t="n">
        <v>0.27</v>
      </c>
      <c r="H34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4">
      <c r="A344" s="4" t="inlineStr">
        <is>
          <t>Autonomy</t>
        </is>
      </c>
      <c r="B344" s="4" t="inlineStr">
        <is>
          <t>AB</t>
        </is>
      </c>
      <c r="C344" s="4" t="inlineStr">
        <is>
          <t>L5</t>
        </is>
      </c>
      <c r="D344" s="5" t="n">
        <v>2040</v>
      </c>
      <c r="E344" s="6" t="n">
        <v>0</v>
      </c>
      <c r="F344" s="6" t="n">
        <v>0</v>
      </c>
      <c r="G344" s="6" t="n">
        <v>0.12</v>
      </c>
      <c r="H34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5">
      <c r="A345" s="4" t="inlineStr">
        <is>
          <t>Autonomy</t>
        </is>
      </c>
      <c r="B345" s="4" t="inlineStr">
        <is>
          <t>AB</t>
        </is>
      </c>
      <c r="C345" s="4" t="inlineStr">
        <is>
          <t>L0</t>
        </is>
      </c>
      <c r="D345" s="5" t="n">
        <v>2045</v>
      </c>
      <c r="E345" s="6" t="n">
        <v>0</v>
      </c>
      <c r="F345" s="6" t="n">
        <v>0</v>
      </c>
      <c r="G345" s="6" t="n">
        <v>0.12</v>
      </c>
      <c r="H34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6">
      <c r="A346" s="4" t="inlineStr">
        <is>
          <t>Autonomy</t>
        </is>
      </c>
      <c r="B346" s="4" t="inlineStr">
        <is>
          <t>AB</t>
        </is>
      </c>
      <c r="C346" s="4" t="inlineStr">
        <is>
          <t>L1</t>
        </is>
      </c>
      <c r="D346" s="5" t="n">
        <v>2045</v>
      </c>
      <c r="E346" s="6" t="n">
        <v>0</v>
      </c>
      <c r="F346" s="6" t="n">
        <v>0</v>
      </c>
      <c r="G346" s="6" t="n">
        <v>0.12</v>
      </c>
      <c r="H34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7">
      <c r="A347" s="4" t="inlineStr">
        <is>
          <t>Autonomy</t>
        </is>
      </c>
      <c r="B347" s="4" t="inlineStr">
        <is>
          <t>AB</t>
        </is>
      </c>
      <c r="C347" s="4" t="inlineStr">
        <is>
          <t>L2</t>
        </is>
      </c>
      <c r="D347" s="5" t="n">
        <v>2045</v>
      </c>
      <c r="E347" s="6" t="n">
        <v>0.03</v>
      </c>
      <c r="F347" s="6" t="n">
        <v>0.15</v>
      </c>
      <c r="G347" s="6" t="n">
        <v>0.27</v>
      </c>
      <c r="H34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8">
      <c r="A348" s="4" t="inlineStr">
        <is>
          <t>Autonomy</t>
        </is>
      </c>
      <c r="B348" s="4" t="inlineStr">
        <is>
          <t>AB</t>
        </is>
      </c>
      <c r="C348" s="4" t="inlineStr">
        <is>
          <t>L3</t>
        </is>
      </c>
      <c r="D348" s="5" t="n">
        <v>2045</v>
      </c>
      <c r="E348" s="6" t="n">
        <v>0.28</v>
      </c>
      <c r="F348" s="6" t="n">
        <v>0.4</v>
      </c>
      <c r="G348" s="6" t="n">
        <v>0.52</v>
      </c>
      <c r="H34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49">
      <c r="A349" s="4" t="inlineStr">
        <is>
          <t>Autonomy</t>
        </is>
      </c>
      <c r="B349" s="4" t="inlineStr">
        <is>
          <t>AB</t>
        </is>
      </c>
      <c r="C349" s="4" t="inlineStr">
        <is>
          <t>L4</t>
        </is>
      </c>
      <c r="D349" s="5" t="n">
        <v>2045</v>
      </c>
      <c r="E349" s="6" t="n">
        <v>0.28</v>
      </c>
      <c r="F349" s="6" t="n">
        <v>0.4</v>
      </c>
      <c r="G349" s="6" t="n">
        <v>0.52</v>
      </c>
      <c r="H34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0">
      <c r="A350" s="4" t="inlineStr">
        <is>
          <t>Autonomy</t>
        </is>
      </c>
      <c r="B350" s="4" t="inlineStr">
        <is>
          <t>AB</t>
        </is>
      </c>
      <c r="C350" s="4" t="inlineStr">
        <is>
          <t>L5</t>
        </is>
      </c>
      <c r="D350" s="5" t="n">
        <v>2045</v>
      </c>
      <c r="E350" s="6" t="n">
        <v>0</v>
      </c>
      <c r="F350" s="6" t="n">
        <v>0.05</v>
      </c>
      <c r="G350" s="6" t="n">
        <v>0.17</v>
      </c>
      <c r="H35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1">
      <c r="A351" s="4" t="inlineStr">
        <is>
          <t>Autonomy</t>
        </is>
      </c>
      <c r="B351" s="4" t="inlineStr">
        <is>
          <t>AB</t>
        </is>
      </c>
      <c r="C351" s="4" t="inlineStr">
        <is>
          <t>L0</t>
        </is>
      </c>
      <c r="D351" s="5" t="n">
        <v>2050</v>
      </c>
      <c r="E351" s="6" t="n">
        <v>0</v>
      </c>
      <c r="F351" s="6" t="n">
        <v>0</v>
      </c>
      <c r="G351" s="6" t="n">
        <v>0.12</v>
      </c>
      <c r="H35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2">
      <c r="A352" s="4" t="inlineStr">
        <is>
          <t>Autonomy</t>
        </is>
      </c>
      <c r="B352" s="4" t="inlineStr">
        <is>
          <t>AB</t>
        </is>
      </c>
      <c r="C352" s="4" t="inlineStr">
        <is>
          <t>L1</t>
        </is>
      </c>
      <c r="D352" s="5" t="n">
        <v>2050</v>
      </c>
      <c r="E352" s="6" t="n">
        <v>0</v>
      </c>
      <c r="F352" s="6" t="n">
        <v>0</v>
      </c>
      <c r="G352" s="6" t="n">
        <v>0.12</v>
      </c>
      <c r="H35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3">
      <c r="A353" s="4" t="inlineStr">
        <is>
          <t>Autonomy</t>
        </is>
      </c>
      <c r="B353" s="4" t="inlineStr">
        <is>
          <t>AB</t>
        </is>
      </c>
      <c r="C353" s="4" t="inlineStr">
        <is>
          <t>L2</t>
        </is>
      </c>
      <c r="D353" s="5" t="n">
        <v>2050</v>
      </c>
      <c r="E353" s="6" t="n">
        <v>0</v>
      </c>
      <c r="F353" s="6" t="n">
        <v>0</v>
      </c>
      <c r="G353" s="6" t="n">
        <v>0.12</v>
      </c>
      <c r="H35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4">
      <c r="A354" s="4" t="inlineStr">
        <is>
          <t>Autonomy</t>
        </is>
      </c>
      <c r="B354" s="4" t="inlineStr">
        <is>
          <t>AB</t>
        </is>
      </c>
      <c r="C354" s="4" t="inlineStr">
        <is>
          <t>L3</t>
        </is>
      </c>
      <c r="D354" s="5" t="n">
        <v>2050</v>
      </c>
      <c r="E354" s="6" t="n">
        <v>0.08</v>
      </c>
      <c r="F354" s="6" t="n">
        <v>0.2</v>
      </c>
      <c r="G354" s="6" t="n">
        <v>0.32</v>
      </c>
      <c r="H35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5">
      <c r="A355" s="4" t="inlineStr">
        <is>
          <t>Autonomy</t>
        </is>
      </c>
      <c r="B355" s="4" t="inlineStr">
        <is>
          <t>AB</t>
        </is>
      </c>
      <c r="C355" s="4" t="inlineStr">
        <is>
          <t>L4</t>
        </is>
      </c>
      <c r="D355" s="5" t="n">
        <v>2050</v>
      </c>
      <c r="E355" s="6" t="n">
        <v>0.38</v>
      </c>
      <c r="F355" s="6" t="n">
        <v>0.5</v>
      </c>
      <c r="G355" s="6" t="n">
        <v>0.62</v>
      </c>
      <c r="H35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6">
      <c r="A356" s="4" t="inlineStr">
        <is>
          <t>Autonomy</t>
        </is>
      </c>
      <c r="B356" s="4" t="inlineStr">
        <is>
          <t>AB</t>
        </is>
      </c>
      <c r="C356" s="4" t="inlineStr">
        <is>
          <t>L5</t>
        </is>
      </c>
      <c r="D356" s="5" t="n">
        <v>2050</v>
      </c>
      <c r="E356" s="6" t="n">
        <v>0.18</v>
      </c>
      <c r="F356" s="6" t="n">
        <v>0.3</v>
      </c>
      <c r="G356" s="6" t="n">
        <v>0.42</v>
      </c>
      <c r="H35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7">
      <c r="A357" s="4" t="inlineStr">
        <is>
          <t>Autonomy</t>
        </is>
      </c>
      <c r="B357" s="4" t="inlineStr">
        <is>
          <t>AB</t>
        </is>
      </c>
      <c r="C357" s="4" t="inlineStr">
        <is>
          <t>L0</t>
        </is>
      </c>
      <c r="D357" s="5" t="n">
        <v>2060</v>
      </c>
      <c r="E357" s="6" t="n">
        <v>0</v>
      </c>
      <c r="F357" s="6" t="n">
        <v>0</v>
      </c>
      <c r="G357" s="6" t="n">
        <v>0.12</v>
      </c>
      <c r="H35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8">
      <c r="A358" s="4" t="inlineStr">
        <is>
          <t>Autonomy</t>
        </is>
      </c>
      <c r="B358" s="4" t="inlineStr">
        <is>
          <t>AB</t>
        </is>
      </c>
      <c r="C358" s="4" t="inlineStr">
        <is>
          <t>L1</t>
        </is>
      </c>
      <c r="D358" s="5" t="n">
        <v>2060</v>
      </c>
      <c r="E358" s="6" t="n">
        <v>0</v>
      </c>
      <c r="F358" s="6" t="n">
        <v>0</v>
      </c>
      <c r="G358" s="6" t="n">
        <v>0.12</v>
      </c>
      <c r="H358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59">
      <c r="A359" s="4" t="inlineStr">
        <is>
          <t>Autonomy</t>
        </is>
      </c>
      <c r="B359" s="4" t="inlineStr">
        <is>
          <t>AB</t>
        </is>
      </c>
      <c r="C359" s="4" t="inlineStr">
        <is>
          <t>L2</t>
        </is>
      </c>
      <c r="D359" s="5" t="n">
        <v>2060</v>
      </c>
      <c r="E359" s="6" t="n">
        <v>0</v>
      </c>
      <c r="F359" s="6" t="n">
        <v>0</v>
      </c>
      <c r="G359" s="6" t="n">
        <v>0.12</v>
      </c>
      <c r="H359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0">
      <c r="A360" s="4" t="inlineStr">
        <is>
          <t>Autonomy</t>
        </is>
      </c>
      <c r="B360" s="4" t="inlineStr">
        <is>
          <t>AB</t>
        </is>
      </c>
      <c r="C360" s="4" t="inlineStr">
        <is>
          <t>L3</t>
        </is>
      </c>
      <c r="D360" s="5" t="n">
        <v>2060</v>
      </c>
      <c r="E360" s="6" t="n">
        <v>0</v>
      </c>
      <c r="F360" s="6" t="n">
        <v>0</v>
      </c>
      <c r="G360" s="6" t="n">
        <v>0.12</v>
      </c>
      <c r="H360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1">
      <c r="A361" s="4" t="inlineStr">
        <is>
          <t>Autonomy</t>
        </is>
      </c>
      <c r="B361" s="4" t="inlineStr">
        <is>
          <t>AB</t>
        </is>
      </c>
      <c r="C361" s="4" t="inlineStr">
        <is>
          <t>L4</t>
        </is>
      </c>
      <c r="D361" s="5" t="n">
        <v>2060</v>
      </c>
      <c r="E361" s="6" t="n">
        <v>0.13</v>
      </c>
      <c r="F361" s="6" t="n">
        <v>0.25</v>
      </c>
      <c r="G361" s="6" t="n">
        <v>0.37</v>
      </c>
      <c r="H361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2">
      <c r="A362" s="4" t="inlineStr">
        <is>
          <t>Autonomy</t>
        </is>
      </c>
      <c r="B362" s="4" t="inlineStr">
        <is>
          <t>AB</t>
        </is>
      </c>
      <c r="C362" s="4" t="inlineStr">
        <is>
          <t>L5</t>
        </is>
      </c>
      <c r="D362" s="5" t="n">
        <v>2060</v>
      </c>
      <c r="E362" s="6" t="n">
        <v>0.63</v>
      </c>
      <c r="F362" s="6" t="n">
        <v>0.75</v>
      </c>
      <c r="G362" s="6" t="n">
        <v>0.87</v>
      </c>
      <c r="H362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3">
      <c r="A363" s="4" t="inlineStr">
        <is>
          <t>Autonomy</t>
        </is>
      </c>
      <c r="B363" s="4" t="inlineStr">
        <is>
          <t>AB</t>
        </is>
      </c>
      <c r="C363" s="4" t="inlineStr">
        <is>
          <t>L0</t>
        </is>
      </c>
      <c r="D363" s="5" t="n">
        <v>2070</v>
      </c>
      <c r="E363" s="6" t="n">
        <v>0</v>
      </c>
      <c r="F363" s="6" t="n">
        <v>0</v>
      </c>
      <c r="G363" s="6" t="n">
        <v>0.12</v>
      </c>
      <c r="H363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4">
      <c r="A364" s="4" t="inlineStr">
        <is>
          <t>Autonomy</t>
        </is>
      </c>
      <c r="B364" s="4" t="inlineStr">
        <is>
          <t>AB</t>
        </is>
      </c>
      <c r="C364" s="4" t="inlineStr">
        <is>
          <t>L1</t>
        </is>
      </c>
      <c r="D364" s="5" t="n">
        <v>2070</v>
      </c>
      <c r="E364" s="6" t="n">
        <v>0</v>
      </c>
      <c r="F364" s="6" t="n">
        <v>0</v>
      </c>
      <c r="G364" s="6" t="n">
        <v>0.12</v>
      </c>
      <c r="H364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5">
      <c r="A365" s="4" t="inlineStr">
        <is>
          <t>Autonomy</t>
        </is>
      </c>
      <c r="B365" s="4" t="inlineStr">
        <is>
          <t>AB</t>
        </is>
      </c>
      <c r="C365" s="4" t="inlineStr">
        <is>
          <t>L2</t>
        </is>
      </c>
      <c r="D365" s="5" t="n">
        <v>2070</v>
      </c>
      <c r="E365" s="6" t="n">
        <v>0</v>
      </c>
      <c r="F365" s="6" t="n">
        <v>0</v>
      </c>
      <c r="G365" s="6" t="n">
        <v>0.12</v>
      </c>
      <c r="H365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6">
      <c r="A366" s="4" t="inlineStr">
        <is>
          <t>Autonomy</t>
        </is>
      </c>
      <c r="B366" s="4" t="inlineStr">
        <is>
          <t>AB</t>
        </is>
      </c>
      <c r="C366" s="4" t="inlineStr">
        <is>
          <t>L3</t>
        </is>
      </c>
      <c r="D366" s="5" t="n">
        <v>2070</v>
      </c>
      <c r="E366" s="6" t="n">
        <v>0</v>
      </c>
      <c r="F366" s="6" t="n">
        <v>0</v>
      </c>
      <c r="G366" s="6" t="n">
        <v>0.12</v>
      </c>
      <c r="H366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7">
      <c r="A367" s="4" t="inlineStr">
        <is>
          <t>Autonomy</t>
        </is>
      </c>
      <c r="B367" s="4" t="inlineStr">
        <is>
          <t>AB</t>
        </is>
      </c>
      <c r="C367" s="4" t="inlineStr">
        <is>
          <t>L4</t>
        </is>
      </c>
      <c r="D367" s="5" t="n">
        <v>2070</v>
      </c>
      <c r="E367" s="6" t="n">
        <v>0</v>
      </c>
      <c r="F367" s="6" t="n">
        <v>0.05</v>
      </c>
      <c r="G367" s="6" t="n">
        <v>0.17</v>
      </c>
      <c r="H367" s="7" t="inlineStr">
        <is>
          <t>MY GUESS - AB/CD reasoning: EU GSR (2019/2144) mandates AEB + lane keep + ISA on ALL new registrations from Jul 2024, so L0 cannot persist. AB lags CD by ~5-10y, CD lags EF by ~5y.</t>
        </is>
      </c>
    </row>
    <row r="368">
      <c r="A368" s="4" t="inlineStr">
        <is>
          <t>Autonomy</t>
        </is>
      </c>
      <c r="B368" s="4" t="inlineStr">
        <is>
          <t>AB</t>
        </is>
      </c>
      <c r="C368" s="4" t="inlineStr">
        <is>
          <t>L5</t>
        </is>
      </c>
      <c r="D368" s="5" t="n">
        <v>2070</v>
      </c>
      <c r="E368" s="6" t="n">
        <v>0.83</v>
      </c>
      <c r="F368" s="6" t="n">
        <v>0.95</v>
      </c>
      <c r="G368" s="6" t="n">
        <v>1</v>
      </c>
      <c r="H368" s="7" t="inlineStr">
        <is>
          <t>MY GUESS - AB/CD reasoning: EU GSR (2019/2144) mandates AEB + lane keep + ISA on ALL new registrations from Jul 2024, so L0 cannot persist. AB lags CD by ~5-10y, CD lags EF by ~5y.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5" topLeftCell="A6" activePane="bottomLeft" state="frozen"/>
      <selection pane="bottomLeft" activeCell="A1" sqref="A1"/>
    </sheetView>
  </sheetViews>
  <sheetFormatPr baseColWidth="10" defaultColWidth="8.83203125" defaultRowHeight="15"/>
  <cols>
    <col width="8" customWidth="1" min="1" max="1"/>
    <col width="14" customWidth="1" min="2" max="2"/>
    <col width="11" customWidth="1" min="3" max="3"/>
    <col width="12" customWidth="1" min="4" max="4"/>
    <col width="11" customWidth="1" min="5" max="5"/>
    <col width="52" customWidth="1" min="6" max="6"/>
  </cols>
  <sheetData>
    <row r="1" ht="16" customHeight="1">
      <c r="A1" s="1" t="inlineStr">
        <is>
          <t>Sensor complement per autonomy level - the shared input for BOTH models</t>
        </is>
      </c>
    </row>
    <row r="2">
      <c r="A2" s="2" t="inlineStr">
        <is>
          <t>This is what 06_VehicleSensorNumbers.xlsx lacks: a level dimension. The wiring model turns these counts into ADAS/sensor wire length; the sensor model should read the SAME table so the two cannot drift apart.</t>
        </is>
      </c>
    </row>
    <row r="3">
      <c r="A3" s="2" t="inlineStr">
        <is>
          <t>ALL VALUES BELOW ARE MY ASSUMPTION (orange). Nothing here comes from a source - please overwrite.</t>
        </is>
      </c>
    </row>
    <row r="5">
      <c r="A5" s="8" t="inlineStr">
        <is>
          <t>Level</t>
        </is>
      </c>
      <c r="B5" s="8" t="inlineStr">
        <is>
          <t>Sensor_Type</t>
        </is>
      </c>
      <c r="C5" s="8" t="inlineStr">
        <is>
          <t>Count_Min</t>
        </is>
      </c>
      <c r="D5" s="8" t="inlineStr">
        <is>
          <t>Count_Mode</t>
        </is>
      </c>
      <c r="E5" s="8" t="inlineStr">
        <is>
          <t>Count_Max</t>
        </is>
      </c>
      <c r="F5" s="8" t="inlineStr">
        <is>
          <t>Note</t>
        </is>
      </c>
    </row>
    <row r="6">
      <c r="A6" s="4" t="inlineStr">
        <is>
          <t>L0</t>
        </is>
      </c>
      <c r="B6" s="4" t="inlineStr">
        <is>
          <t>camera</t>
        </is>
      </c>
      <c r="C6" s="9" t="n">
        <v>0</v>
      </c>
      <c r="D6" s="9" t="n">
        <v>1</v>
      </c>
      <c r="E6" s="9" t="n">
        <v>1</v>
      </c>
      <c r="F6" s="4" t="inlineStr">
        <is>
          <t>reversing camera only</t>
        </is>
      </c>
    </row>
    <row r="7">
      <c r="A7" s="4" t="inlineStr">
        <is>
          <t>L0</t>
        </is>
      </c>
      <c r="B7" s="4" t="inlineStr">
        <is>
          <t>radar</t>
        </is>
      </c>
      <c r="C7" s="9" t="n">
        <v>0</v>
      </c>
      <c r="D7" s="9" t="n">
        <v>0</v>
      </c>
      <c r="E7" s="9" t="n">
        <v>1</v>
      </c>
      <c r="F7" s="4" t="n"/>
    </row>
    <row r="8">
      <c r="A8" s="4" t="inlineStr">
        <is>
          <t>L0</t>
        </is>
      </c>
      <c r="B8" s="4" t="inlineStr">
        <is>
          <t>lidar</t>
        </is>
      </c>
      <c r="C8" s="9" t="n">
        <v>0</v>
      </c>
      <c r="D8" s="9" t="n">
        <v>0</v>
      </c>
      <c r="E8" s="9" t="n">
        <v>0</v>
      </c>
      <c r="F8" s="4" t="n"/>
    </row>
    <row r="9">
      <c r="A9" s="4" t="inlineStr">
        <is>
          <t>L0</t>
        </is>
      </c>
      <c r="B9" s="4" t="inlineStr">
        <is>
          <t>ultrasonic</t>
        </is>
      </c>
      <c r="C9" s="9" t="n">
        <v>0</v>
      </c>
      <c r="D9" s="9" t="n">
        <v>4</v>
      </c>
      <c r="E9" s="9" t="n">
        <v>8</v>
      </c>
      <c r="F9" s="4" t="inlineStr">
        <is>
          <t>park assist</t>
        </is>
      </c>
    </row>
    <row r="10">
      <c r="A10" s="4" t="inlineStr">
        <is>
          <t>L1</t>
        </is>
      </c>
      <c r="B10" s="4" t="inlineStr">
        <is>
          <t>camera</t>
        </is>
      </c>
      <c r="C10" s="9" t="n">
        <v>1</v>
      </c>
      <c r="D10" s="9" t="n">
        <v>1</v>
      </c>
      <c r="E10" s="9" t="n">
        <v>2</v>
      </c>
      <c r="F10" s="4" t="inlineStr">
        <is>
          <t>EU GSR: AEB + lane keep + sign recognition</t>
        </is>
      </c>
    </row>
    <row r="11">
      <c r="A11" s="4" t="inlineStr">
        <is>
          <t>L1</t>
        </is>
      </c>
      <c r="B11" s="4" t="inlineStr">
        <is>
          <t>radar</t>
        </is>
      </c>
      <c r="C11" s="9" t="n">
        <v>1</v>
      </c>
      <c r="D11" s="9" t="n">
        <v>1</v>
      </c>
      <c r="E11" s="9" t="n">
        <v>2</v>
      </c>
      <c r="F11" s="4" t="inlineStr">
        <is>
          <t>front radar for AEB/ACC</t>
        </is>
      </c>
    </row>
    <row r="12">
      <c r="A12" s="4" t="inlineStr">
        <is>
          <t>L1</t>
        </is>
      </c>
      <c r="B12" s="4" t="inlineStr">
        <is>
          <t>lidar</t>
        </is>
      </c>
      <c r="C12" s="9" t="n">
        <v>0</v>
      </c>
      <c r="D12" s="9" t="n">
        <v>0</v>
      </c>
      <c r="E12" s="9" t="n">
        <v>0</v>
      </c>
      <c r="F12" s="4" t="n"/>
    </row>
    <row r="13">
      <c r="A13" s="4" t="inlineStr">
        <is>
          <t>L1</t>
        </is>
      </c>
      <c r="B13" s="4" t="inlineStr">
        <is>
          <t>ultrasonic</t>
        </is>
      </c>
      <c r="C13" s="9" t="n">
        <v>4</v>
      </c>
      <c r="D13" s="9" t="n">
        <v>8</v>
      </c>
      <c r="E13" s="9" t="n">
        <v>10</v>
      </c>
      <c r="F13" s="4" t="n"/>
    </row>
    <row r="14">
      <c r="A14" s="4" t="inlineStr">
        <is>
          <t>L2</t>
        </is>
      </c>
      <c r="B14" s="4" t="inlineStr">
        <is>
          <t>camera</t>
        </is>
      </c>
      <c r="C14" s="9" t="n">
        <v>2</v>
      </c>
      <c r="D14" s="9" t="n">
        <v>3</v>
      </c>
      <c r="E14" s="9" t="n">
        <v>5</v>
      </c>
      <c r="F14" s="4" t="inlineStr">
        <is>
          <t>front + surround; sign reading, lane centring</t>
        </is>
      </c>
    </row>
    <row r="15">
      <c r="A15" s="4" t="inlineStr">
        <is>
          <t>L2</t>
        </is>
      </c>
      <c r="B15" s="4" t="inlineStr">
        <is>
          <t>radar</t>
        </is>
      </c>
      <c r="C15" s="9" t="n">
        <v>3</v>
      </c>
      <c r="D15" s="9" t="n">
        <v>4</v>
      </c>
      <c r="E15" s="9" t="n">
        <v>5</v>
      </c>
      <c r="F15" s="4" t="inlineStr">
        <is>
          <t>front + corner</t>
        </is>
      </c>
    </row>
    <row r="16">
      <c r="A16" s="4" t="inlineStr">
        <is>
          <t>L2</t>
        </is>
      </c>
      <c r="B16" s="4" t="inlineStr">
        <is>
          <t>lidar</t>
        </is>
      </c>
      <c r="C16" s="9" t="n">
        <v>0</v>
      </c>
      <c r="D16" s="9" t="n">
        <v>0</v>
      </c>
      <c r="E16" s="9" t="n">
        <v>1</v>
      </c>
      <c r="F16" s="4" t="n"/>
    </row>
    <row r="17">
      <c r="A17" s="4" t="inlineStr">
        <is>
          <t>L2</t>
        </is>
      </c>
      <c r="B17" s="4" t="inlineStr">
        <is>
          <t>ultrasonic</t>
        </is>
      </c>
      <c r="C17" s="9" t="n">
        <v>8</v>
      </c>
      <c r="D17" s="9" t="n">
        <v>10</v>
      </c>
      <c r="E17" s="9" t="n">
        <v>12</v>
      </c>
      <c r="F17" s="4" t="n"/>
    </row>
    <row r="18">
      <c r="A18" s="4" t="inlineStr">
        <is>
          <t>L3</t>
        </is>
      </c>
      <c r="B18" s="4" t="inlineStr">
        <is>
          <t>camera</t>
        </is>
      </c>
      <c r="C18" s="9" t="n">
        <v>6</v>
      </c>
      <c r="D18" s="9" t="n">
        <v>7</v>
      </c>
      <c r="E18" s="9" t="n">
        <v>9</v>
      </c>
      <c r="F18" s="4" t="inlineStr">
        <is>
          <t>eyes-off in ODD, redundancy required</t>
        </is>
      </c>
    </row>
    <row r="19">
      <c r="A19" s="4" t="inlineStr">
        <is>
          <t>L3</t>
        </is>
      </c>
      <c r="B19" s="4" t="inlineStr">
        <is>
          <t>radar</t>
        </is>
      </c>
      <c r="C19" s="9" t="n">
        <v>5</v>
      </c>
      <c r="D19" s="9" t="n">
        <v>6</v>
      </c>
      <c r="E19" s="9" t="n">
        <v>8</v>
      </c>
      <c r="F19" s="4" t="n"/>
    </row>
    <row r="20">
      <c r="A20" s="4" t="inlineStr">
        <is>
          <t>L3</t>
        </is>
      </c>
      <c r="B20" s="4" t="inlineStr">
        <is>
          <t>lidar</t>
        </is>
      </c>
      <c r="C20" s="9" t="n">
        <v>1</v>
      </c>
      <c r="D20" s="9" t="n">
        <v>1</v>
      </c>
      <c r="E20" s="9" t="n">
        <v>2</v>
      </c>
      <c r="F20" s="4" t="n"/>
    </row>
    <row r="21">
      <c r="A21" s="4" t="inlineStr">
        <is>
          <t>L3</t>
        </is>
      </c>
      <c r="B21" s="4" t="inlineStr">
        <is>
          <t>ultrasonic</t>
        </is>
      </c>
      <c r="C21" s="9" t="n">
        <v>10</v>
      </c>
      <c r="D21" s="9" t="n">
        <v>12</v>
      </c>
      <c r="E21" s="9" t="n">
        <v>12</v>
      </c>
      <c r="F21" s="4" t="n"/>
    </row>
    <row r="22">
      <c r="A22" s="4" t="inlineStr">
        <is>
          <t>L4</t>
        </is>
      </c>
      <c r="B22" s="4" t="inlineStr">
        <is>
          <t>camera</t>
        </is>
      </c>
      <c r="C22" s="9" t="n">
        <v>8</v>
      </c>
      <c r="D22" s="9" t="n">
        <v>11</v>
      </c>
      <c r="E22" s="9" t="n">
        <v>14</v>
      </c>
      <c r="F22" s="4" t="inlineStr">
        <is>
          <t>no driver in ODD, full redundancy</t>
        </is>
      </c>
    </row>
    <row r="23">
      <c r="A23" s="4" t="inlineStr">
        <is>
          <t>L4</t>
        </is>
      </c>
      <c r="B23" s="4" t="inlineStr">
        <is>
          <t>radar</t>
        </is>
      </c>
      <c r="C23" s="9" t="n">
        <v>6</v>
      </c>
      <c r="D23" s="9" t="n">
        <v>8</v>
      </c>
      <c r="E23" s="9" t="n">
        <v>10</v>
      </c>
      <c r="F23" s="4" t="n"/>
    </row>
    <row r="24">
      <c r="A24" s="4" t="inlineStr">
        <is>
          <t>L4</t>
        </is>
      </c>
      <c r="B24" s="4" t="inlineStr">
        <is>
          <t>lidar</t>
        </is>
      </c>
      <c r="C24" s="9" t="n">
        <v>2</v>
      </c>
      <c r="D24" s="9" t="n">
        <v>3</v>
      </c>
      <c r="E24" s="9" t="n">
        <v>4</v>
      </c>
      <c r="F24" s="4" t="n"/>
    </row>
    <row r="25">
      <c r="A25" s="4" t="inlineStr">
        <is>
          <t>L4</t>
        </is>
      </c>
      <c r="B25" s="4" t="inlineStr">
        <is>
          <t>ultrasonic</t>
        </is>
      </c>
      <c r="C25" s="9" t="n">
        <v>10</v>
      </c>
      <c r="D25" s="9" t="n">
        <v>12</v>
      </c>
      <c r="E25" s="9" t="n">
        <v>14</v>
      </c>
      <c r="F25" s="4" t="n"/>
    </row>
    <row r="26">
      <c r="A26" s="4" t="inlineStr">
        <is>
          <t>L5</t>
        </is>
      </c>
      <c r="B26" s="4" t="inlineStr">
        <is>
          <t>camera</t>
        </is>
      </c>
      <c r="C26" s="9" t="n">
        <v>12</v>
      </c>
      <c r="D26" s="9" t="n">
        <v>14</v>
      </c>
      <c r="E26" s="9" t="n">
        <v>18</v>
      </c>
      <c r="F26" s="4" t="inlineStr">
        <is>
          <t>no ODD limit</t>
        </is>
      </c>
    </row>
    <row r="27">
      <c r="A27" s="4" t="inlineStr">
        <is>
          <t>L5</t>
        </is>
      </c>
      <c r="B27" s="4" t="inlineStr">
        <is>
          <t>radar</t>
        </is>
      </c>
      <c r="C27" s="9" t="n">
        <v>8</v>
      </c>
      <c r="D27" s="9" t="n">
        <v>10</v>
      </c>
      <c r="E27" s="9" t="n">
        <v>12</v>
      </c>
      <c r="F27" s="4" t="n"/>
    </row>
    <row r="28">
      <c r="A28" s="4" t="inlineStr">
        <is>
          <t>L5</t>
        </is>
      </c>
      <c r="B28" s="4" t="inlineStr">
        <is>
          <t>lidar</t>
        </is>
      </c>
      <c r="C28" s="9" t="n">
        <v>4</v>
      </c>
      <c r="D28" s="9" t="n">
        <v>5</v>
      </c>
      <c r="E28" s="9" t="n">
        <v>7</v>
      </c>
      <c r="F28" s="4" t="n"/>
    </row>
    <row r="29">
      <c r="A29" s="4" t="inlineStr">
        <is>
          <t>L5</t>
        </is>
      </c>
      <c r="B29" s="4" t="inlineStr">
        <is>
          <t>ultrasonic</t>
        </is>
      </c>
      <c r="C29" s="9" t="n">
        <v>10</v>
      </c>
      <c r="D29" s="9" t="n">
        <v>12</v>
      </c>
      <c r="E29" s="9" t="n">
        <v>16</v>
      </c>
      <c r="F29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9" customWidth="1" min="2" max="5"/>
    <col width="40" customWidth="1" min="6" max="6"/>
    <col width="64" customWidth="1" min="7" max="7"/>
  </cols>
  <sheetData>
    <row r="1" ht="16" customHeight="1">
      <c r="A1" s="1" t="inlineStr">
        <is>
          <t>Wire length per sensor - links sensor counts to harness length</t>
        </is>
      </c>
    </row>
    <row r="2">
      <c r="A2" s="2" t="inlineStr">
        <is>
          <t>Camera and ultrasonic are DERIVED and cross-validated: 17_ ADAS length / 06_ sensor count gives 28 / 25 / 31 m per camera and 1.8 / 0.9 / 1.7 m per ultrasonic for AB / CD / EF. Two independently built datasets agreeing is a real check, not a fit.</t>
        </is>
      </c>
    </row>
    <row r="3">
      <c r="A3" s="2" t="inlineStr">
        <is>
          <t>Radar and lidar revised 2026-08-04 using YOUR placement information. They still cannot be derived - 06_ has no radar or lidar rows - but the values are now grounded in where the sensor physically sits.</t>
        </is>
      </c>
    </row>
    <row r="5">
      <c r="A5" s="8" t="inlineStr">
        <is>
          <t>Sensor_Type</t>
        </is>
      </c>
      <c r="B5" s="8" t="inlineStr">
        <is>
          <t>Segment</t>
        </is>
      </c>
      <c r="C5" s="8" t="inlineStr">
        <is>
          <t>m_Min</t>
        </is>
      </c>
      <c r="D5" s="8" t="inlineStr">
        <is>
          <t>m_Mode</t>
        </is>
      </c>
      <c r="E5" s="8" t="inlineStr">
        <is>
          <t>m_Max</t>
        </is>
      </c>
      <c r="F5" s="8" t="inlineStr">
        <is>
          <t>Basis</t>
        </is>
      </c>
      <c r="G5" s="8" t="inlineStr">
        <is>
          <t>Placement (your input)</t>
        </is>
      </c>
    </row>
    <row r="6">
      <c r="A6" s="4" t="inlineStr">
        <is>
          <t>camera</t>
        </is>
      </c>
      <c r="B6" s="4" t="inlineStr">
        <is>
          <t>AB</t>
        </is>
      </c>
      <c r="C6" s="10" t="n">
        <v>22</v>
      </c>
      <c r="D6" s="10" t="n">
        <v>28</v>
      </c>
      <c r="E6" s="10" t="n">
        <v>36</v>
      </c>
      <c r="F6" s="4" t="inlineStr">
        <is>
          <t>DERIVED 17_/06_</t>
        </is>
      </c>
      <c r="G6" s="4" t="inlineStr">
        <is>
          <t>front, rear, both mirrors - distributed, so a long average run</t>
        </is>
      </c>
    </row>
    <row r="7">
      <c r="A7" s="4" t="inlineStr">
        <is>
          <t>camera</t>
        </is>
      </c>
      <c r="B7" s="4" t="inlineStr">
        <is>
          <t>CD</t>
        </is>
      </c>
      <c r="C7" s="10" t="n">
        <v>20</v>
      </c>
      <c r="D7" s="10" t="n">
        <v>25</v>
      </c>
      <c r="E7" s="10" t="n">
        <v>32</v>
      </c>
      <c r="F7" s="4" t="inlineStr">
        <is>
          <t>DERIVED 17_/06_</t>
        </is>
      </c>
      <c r="G7" s="4" t="inlineStr">
        <is>
          <t>as above</t>
        </is>
      </c>
    </row>
    <row r="8">
      <c r="A8" s="4" t="inlineStr">
        <is>
          <t>camera</t>
        </is>
      </c>
      <c r="B8" s="4" t="inlineStr">
        <is>
          <t>EF</t>
        </is>
      </c>
      <c r="C8" s="10" t="n">
        <v>24</v>
      </c>
      <c r="D8" s="10" t="n">
        <v>31</v>
      </c>
      <c r="E8" s="10" t="n">
        <v>40</v>
      </c>
      <c r="F8" s="4" t="inlineStr">
        <is>
          <t>DERIVED 17_/06_</t>
        </is>
      </c>
      <c r="G8" s="4" t="inlineStr">
        <is>
          <t>as above</t>
        </is>
      </c>
    </row>
    <row r="9">
      <c r="A9" s="4" t="inlineStr">
        <is>
          <t>ultrasonic</t>
        </is>
      </c>
      <c r="B9" s="4" t="inlineStr">
        <is>
          <t>AB</t>
        </is>
      </c>
      <c r="C9" s="10" t="n">
        <v>1</v>
      </c>
      <c r="D9" s="10" t="n">
        <v>1.8</v>
      </c>
      <c r="E9" s="10" t="n">
        <v>2.6</v>
      </c>
      <c r="F9" s="4" t="inlineStr">
        <is>
          <t>DERIVED 17_/06_</t>
        </is>
      </c>
      <c r="G9" s="4" t="inlineStr">
        <is>
          <t>bumper-local, very short runs</t>
        </is>
      </c>
    </row>
    <row r="10">
      <c r="A10" s="4" t="inlineStr">
        <is>
          <t>ultrasonic</t>
        </is>
      </c>
      <c r="B10" s="4" t="inlineStr">
        <is>
          <t>CD</t>
        </is>
      </c>
      <c r="C10" s="10" t="n">
        <v>0.6</v>
      </c>
      <c r="D10" s="10" t="n">
        <v>0.9</v>
      </c>
      <c r="E10" s="10" t="n">
        <v>1.4</v>
      </c>
      <c r="F10" s="4" t="inlineStr">
        <is>
          <t>DERIVED 17_/06_</t>
        </is>
      </c>
      <c r="G10" s="4" t="inlineStr">
        <is>
          <t>as above</t>
        </is>
      </c>
    </row>
    <row r="11">
      <c r="A11" s="4" t="inlineStr">
        <is>
          <t>ultrasonic</t>
        </is>
      </c>
      <c r="B11" s="4" t="inlineStr">
        <is>
          <t>EF</t>
        </is>
      </c>
      <c r="C11" s="10" t="n">
        <v>1</v>
      </c>
      <c r="D11" s="10" t="n">
        <v>1.7</v>
      </c>
      <c r="E11" s="10" t="n">
        <v>2.4</v>
      </c>
      <c r="F11" s="4" t="inlineStr">
        <is>
          <t>DERIVED 17_/06_</t>
        </is>
      </c>
      <c r="G11" s="4" t="inlineStr">
        <is>
          <t>as above</t>
        </is>
      </c>
    </row>
    <row r="12">
      <c r="A12" s="4" t="inlineStr">
        <is>
          <t>radar</t>
        </is>
      </c>
      <c r="B12" s="4" t="inlineStr">
        <is>
          <t>AB</t>
        </is>
      </c>
      <c r="C12" s="10" t="n">
        <v>6</v>
      </c>
      <c r="D12" s="10" t="n">
        <v>10</v>
      </c>
      <c r="E12" s="10" t="n">
        <v>16</v>
      </c>
      <c r="F12" s="4" t="inlineStr">
        <is>
          <t>17_ ADAS_RADAR 10 m / ~1 radar in AB</t>
        </is>
      </c>
      <c r="G12" s="4" t="inlineStr">
        <is>
          <t>FRONT and FRONT-SIDE only - all at one end, so shorter than a camera average</t>
        </is>
      </c>
    </row>
    <row r="13">
      <c r="A13" s="4" t="inlineStr">
        <is>
          <t>radar</t>
        </is>
      </c>
      <c r="B13" s="4" t="inlineStr">
        <is>
          <t>CD</t>
        </is>
      </c>
      <c r="C13" s="11" t="n">
        <v>6</v>
      </c>
      <c r="D13" s="11" t="n">
        <v>10</v>
      </c>
      <c r="E13" s="11" t="n">
        <v>16</v>
      </c>
      <c r="F13" s="4" t="inlineStr">
        <is>
          <t>ASSUMPTION - see conflict note</t>
        </is>
      </c>
      <c r="G13" s="4" t="inlineStr">
        <is>
          <t>front + front corners</t>
        </is>
      </c>
    </row>
    <row r="14">
      <c r="A14" s="4" t="inlineStr">
        <is>
          <t>radar</t>
        </is>
      </c>
      <c r="B14" s="4" t="inlineStr">
        <is>
          <t>EF</t>
        </is>
      </c>
      <c r="C14" s="11" t="n">
        <v>7</v>
      </c>
      <c r="D14" s="11" t="n">
        <v>12</v>
      </c>
      <c r="E14" s="11" t="n">
        <v>18</v>
      </c>
      <c r="F14" s="4" t="inlineStr">
        <is>
          <t>ASSUMPTION</t>
        </is>
      </c>
      <c r="G14" s="4" t="inlineStr">
        <is>
          <t>front + front corners</t>
        </is>
      </c>
    </row>
    <row r="15">
      <c r="A15" s="4" t="inlineStr">
        <is>
          <t>lidar</t>
        </is>
      </c>
      <c r="B15" s="4" t="inlineStr">
        <is>
          <t>AB</t>
        </is>
      </c>
      <c r="C15" s="11" t="n">
        <v>7</v>
      </c>
      <c r="D15" s="11" t="n">
        <v>12</v>
      </c>
      <c r="E15" s="11" t="n">
        <v>20</v>
      </c>
      <c r="F15" s="4" t="inlineStr">
        <is>
          <t>ASSUMPTION</t>
        </is>
      </c>
      <c r="G15" s="4" t="inlineStr">
        <is>
          <t>ROOF mainly (short drop to compute), some REAR and SIDE (full-length runs)</t>
        </is>
      </c>
    </row>
    <row r="16">
      <c r="A16" s="4" t="inlineStr">
        <is>
          <t>lidar</t>
        </is>
      </c>
      <c r="B16" s="4" t="inlineStr">
        <is>
          <t>CD</t>
        </is>
      </c>
      <c r="C16" s="11" t="n">
        <v>8</v>
      </c>
      <c r="D16" s="11" t="n">
        <v>14</v>
      </c>
      <c r="E16" s="11" t="n">
        <v>22</v>
      </c>
      <c r="F16" s="4" t="inlineStr">
        <is>
          <t>ASSUMPTION</t>
        </is>
      </c>
      <c r="G16" s="4" t="inlineStr">
        <is>
          <t>roof + rear + side mix</t>
        </is>
      </c>
    </row>
    <row r="17">
      <c r="A17" s="4" t="inlineStr">
        <is>
          <t>lidar</t>
        </is>
      </c>
      <c r="B17" s="4" t="inlineStr">
        <is>
          <t>EF</t>
        </is>
      </c>
      <c r="C17" s="11" t="n">
        <v>10</v>
      </c>
      <c r="D17" s="11" t="n">
        <v>18</v>
      </c>
      <c r="E17" s="11" t="n">
        <v>28</v>
      </c>
      <c r="F17" s="4" t="inlineStr">
        <is>
          <t>ASSUMPTION</t>
        </is>
      </c>
      <c r="G17" s="4" t="inlineStr">
        <is>
          <t>roof + rear + side mix, longest vehicle</t>
        </is>
      </c>
    </row>
    <row r="20">
      <c r="A20" s="13" t="inlineStr">
        <is>
          <t>CONFLICT</t>
        </is>
      </c>
      <c r="B20" s="2" t="inlineStr">
        <is>
          <t>17_ gives ADAS_RADAR totals of 10 / 12 / 18 m for AB / CD / EF. With ~1 radar in AB that is 10 m per radar, but CD at L2 has ~4 radars, which would give only 3 m each. The two cannot both be right - the CD/EF radar totals in 17_ look too low for their sensor count. Radar mode is set to ~10 m on the AB reading; widen the band if you disagree.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4" topLeftCell="A5" activePane="bottomLeft" state="frozen"/>
      <selection pane="bottomLeft" activeCell="A1" sqref="A1"/>
    </sheetView>
  </sheetViews>
  <sheetFormatPr baseColWidth="10" defaultColWidth="8.83203125" defaultRowHeight="15"/>
  <cols>
    <col width="14" customWidth="1" min="1" max="1"/>
    <col width="9" customWidth="1" min="2" max="2"/>
    <col width="8" customWidth="1" min="3" max="3"/>
    <col width="18" customWidth="1" min="4" max="4"/>
  </cols>
  <sheetData>
    <row r="1" ht="16" customHeight="1">
      <c r="A1" s="1" t="inlineStr">
        <is>
          <t>Do the shares sum to 1?</t>
        </is>
      </c>
    </row>
    <row r="2">
      <c r="A2" s="2" t="inlineStr">
        <is>
          <t>Any row not showing 1.00 needs fixing before the model is run. Formulas read the Penetration sheet live.</t>
        </is>
      </c>
    </row>
    <row r="4">
      <c r="A4" s="8" t="inlineStr">
        <is>
          <t>Driver</t>
        </is>
      </c>
      <c r="B4" s="8" t="inlineStr">
        <is>
          <t>Segment</t>
        </is>
      </c>
      <c r="C4" s="8" t="inlineStr">
        <is>
          <t>Year</t>
        </is>
      </c>
      <c r="D4" s="8" t="inlineStr">
        <is>
          <t>Sum of Share_Mode</t>
        </is>
      </c>
    </row>
    <row r="5">
      <c r="A5" s="4" t="inlineStr">
        <is>
          <t>Architecture</t>
        </is>
      </c>
      <c r="B5" s="4" t="inlineStr">
        <is>
          <t>AB</t>
        </is>
      </c>
      <c r="C5" s="4" t="n">
        <v>2010</v>
      </c>
      <c r="D5" s="12">
        <f>SUMIFS(Penetration!$F$6:$F$368,Penetration!$A$6:$A$368,$A5,Penetration!$B$6:$B$368,$B5,Penetration!$D$6:$D$368,$C5)</f>
        <v/>
      </c>
    </row>
    <row r="6">
      <c r="A6" s="4" t="inlineStr">
        <is>
          <t>Architecture</t>
        </is>
      </c>
      <c r="B6" s="4" t="inlineStr">
        <is>
          <t>AB</t>
        </is>
      </c>
      <c r="C6" s="4" t="n">
        <v>2015</v>
      </c>
      <c r="D6" s="12">
        <f>SUMIFS(Penetration!$F$6:$F$368,Penetration!$A$6:$A$368,$A6,Penetration!$B$6:$B$368,$B6,Penetration!$D$6:$D$368,$C6)</f>
        <v/>
      </c>
    </row>
    <row r="7">
      <c r="A7" s="4" t="inlineStr">
        <is>
          <t>Architecture</t>
        </is>
      </c>
      <c r="B7" s="4" t="inlineStr">
        <is>
          <t>AB</t>
        </is>
      </c>
      <c r="C7" s="4" t="n">
        <v>2020</v>
      </c>
      <c r="D7" s="12">
        <f>SUMIFS(Penetration!$F$6:$F$368,Penetration!$A$6:$A$368,$A7,Penetration!$B$6:$B$368,$B7,Penetration!$D$6:$D$368,$C7)</f>
        <v/>
      </c>
    </row>
    <row r="8">
      <c r="A8" s="4" t="inlineStr">
        <is>
          <t>Architecture</t>
        </is>
      </c>
      <c r="B8" s="4" t="inlineStr">
        <is>
          <t>AB</t>
        </is>
      </c>
      <c r="C8" s="4" t="n">
        <v>2025</v>
      </c>
      <c r="D8" s="12">
        <f>SUMIFS(Penetration!$F$6:$F$368,Penetration!$A$6:$A$368,$A8,Penetration!$B$6:$B$368,$B8,Penetration!$D$6:$D$368,$C8)</f>
        <v/>
      </c>
    </row>
    <row r="9">
      <c r="A9" s="4" t="inlineStr">
        <is>
          <t>Architecture</t>
        </is>
      </c>
      <c r="B9" s="4" t="inlineStr">
        <is>
          <t>AB</t>
        </is>
      </c>
      <c r="C9" s="4" t="n">
        <v>2030</v>
      </c>
      <c r="D9" s="12">
        <f>SUMIFS(Penetration!$F$6:$F$368,Penetration!$A$6:$A$368,$A9,Penetration!$B$6:$B$368,$B9,Penetration!$D$6:$D$368,$C9)</f>
        <v/>
      </c>
    </row>
    <row r="10">
      <c r="A10" s="4" t="inlineStr">
        <is>
          <t>Architecture</t>
        </is>
      </c>
      <c r="B10" s="4" t="inlineStr">
        <is>
          <t>AB</t>
        </is>
      </c>
      <c r="C10" s="4" t="n">
        <v>2035</v>
      </c>
      <c r="D10" s="12">
        <f>SUMIFS(Penetration!$F$6:$F$368,Penetration!$A$6:$A$368,$A10,Penetration!$B$6:$B$368,$B10,Penetration!$D$6:$D$368,$C10)</f>
        <v/>
      </c>
    </row>
    <row r="11">
      <c r="A11" s="4" t="inlineStr">
        <is>
          <t>Architecture</t>
        </is>
      </c>
      <c r="B11" s="4" t="inlineStr">
        <is>
          <t>AB</t>
        </is>
      </c>
      <c r="C11" s="4" t="n">
        <v>2040</v>
      </c>
      <c r="D11" s="12">
        <f>SUMIFS(Penetration!$F$6:$F$368,Penetration!$A$6:$A$368,$A11,Penetration!$B$6:$B$368,$B11,Penetration!$D$6:$D$368,$C11)</f>
        <v/>
      </c>
    </row>
    <row r="12">
      <c r="A12" s="4" t="inlineStr">
        <is>
          <t>Architecture</t>
        </is>
      </c>
      <c r="B12" s="4" t="inlineStr">
        <is>
          <t>AB</t>
        </is>
      </c>
      <c r="C12" s="4" t="n">
        <v>2045</v>
      </c>
      <c r="D12" s="12">
        <f>SUMIFS(Penetration!$F$6:$F$368,Penetration!$A$6:$A$368,$A12,Penetration!$B$6:$B$368,$B12,Penetration!$D$6:$D$368,$C12)</f>
        <v/>
      </c>
    </row>
    <row r="13">
      <c r="A13" s="4" t="inlineStr">
        <is>
          <t>Architecture</t>
        </is>
      </c>
      <c r="B13" s="4" t="inlineStr">
        <is>
          <t>AB</t>
        </is>
      </c>
      <c r="C13" s="4" t="n">
        <v>2050</v>
      </c>
      <c r="D13" s="12">
        <f>SUMIFS(Penetration!$F$6:$F$368,Penetration!$A$6:$A$368,$A13,Penetration!$B$6:$B$368,$B13,Penetration!$D$6:$D$368,$C13)</f>
        <v/>
      </c>
    </row>
    <row r="14">
      <c r="A14" s="4" t="inlineStr">
        <is>
          <t>Architecture</t>
        </is>
      </c>
      <c r="B14" s="4" t="inlineStr">
        <is>
          <t>AB</t>
        </is>
      </c>
      <c r="C14" s="4" t="n">
        <v>2060</v>
      </c>
      <c r="D14" s="12">
        <f>SUMIFS(Penetration!$F$6:$F$368,Penetration!$A$6:$A$368,$A14,Penetration!$B$6:$B$368,$B14,Penetration!$D$6:$D$368,$C14)</f>
        <v/>
      </c>
    </row>
    <row r="15">
      <c r="A15" s="4" t="inlineStr">
        <is>
          <t>Architecture</t>
        </is>
      </c>
      <c r="B15" s="4" t="inlineStr">
        <is>
          <t>AB</t>
        </is>
      </c>
      <c r="C15" s="4" t="n">
        <v>2070</v>
      </c>
      <c r="D15" s="12">
        <f>SUMIFS(Penetration!$F$6:$F$368,Penetration!$A$6:$A$368,$A15,Penetration!$B$6:$B$368,$B15,Penetration!$D$6:$D$368,$C15)</f>
        <v/>
      </c>
    </row>
    <row r="16">
      <c r="A16" s="4" t="inlineStr">
        <is>
          <t>Architecture</t>
        </is>
      </c>
      <c r="B16" s="4" t="inlineStr">
        <is>
          <t>CD</t>
        </is>
      </c>
      <c r="C16" s="4" t="n">
        <v>2010</v>
      </c>
      <c r="D16" s="12">
        <f>SUMIFS(Penetration!$F$6:$F$368,Penetration!$A$6:$A$368,$A16,Penetration!$B$6:$B$368,$B16,Penetration!$D$6:$D$368,$C16)</f>
        <v/>
      </c>
    </row>
    <row r="17">
      <c r="A17" s="4" t="inlineStr">
        <is>
          <t>Architecture</t>
        </is>
      </c>
      <c r="B17" s="4" t="inlineStr">
        <is>
          <t>CD</t>
        </is>
      </c>
      <c r="C17" s="4" t="n">
        <v>2015</v>
      </c>
      <c r="D17" s="12">
        <f>SUMIFS(Penetration!$F$6:$F$368,Penetration!$A$6:$A$368,$A17,Penetration!$B$6:$B$368,$B17,Penetration!$D$6:$D$368,$C17)</f>
        <v/>
      </c>
    </row>
    <row r="18">
      <c r="A18" s="4" t="inlineStr">
        <is>
          <t>Architecture</t>
        </is>
      </c>
      <c r="B18" s="4" t="inlineStr">
        <is>
          <t>CD</t>
        </is>
      </c>
      <c r="C18" s="4" t="n">
        <v>2020</v>
      </c>
      <c r="D18" s="12">
        <f>SUMIFS(Penetration!$F$6:$F$368,Penetration!$A$6:$A$368,$A18,Penetration!$B$6:$B$368,$B18,Penetration!$D$6:$D$368,$C18)</f>
        <v/>
      </c>
    </row>
    <row r="19">
      <c r="A19" s="4" t="inlineStr">
        <is>
          <t>Architecture</t>
        </is>
      </c>
      <c r="B19" s="4" t="inlineStr">
        <is>
          <t>CD</t>
        </is>
      </c>
      <c r="C19" s="4" t="n">
        <v>2025</v>
      </c>
      <c r="D19" s="12">
        <f>SUMIFS(Penetration!$F$6:$F$368,Penetration!$A$6:$A$368,$A19,Penetration!$B$6:$B$368,$B19,Penetration!$D$6:$D$368,$C19)</f>
        <v/>
      </c>
    </row>
    <row r="20">
      <c r="A20" s="4" t="inlineStr">
        <is>
          <t>Architecture</t>
        </is>
      </c>
      <c r="B20" s="4" t="inlineStr">
        <is>
          <t>CD</t>
        </is>
      </c>
      <c r="C20" s="4" t="n">
        <v>2030</v>
      </c>
      <c r="D20" s="12">
        <f>SUMIFS(Penetration!$F$6:$F$368,Penetration!$A$6:$A$368,$A20,Penetration!$B$6:$B$368,$B20,Penetration!$D$6:$D$368,$C20)</f>
        <v/>
      </c>
    </row>
    <row r="21">
      <c r="A21" s="4" t="inlineStr">
        <is>
          <t>Architecture</t>
        </is>
      </c>
      <c r="B21" s="4" t="inlineStr">
        <is>
          <t>CD</t>
        </is>
      </c>
      <c r="C21" s="4" t="n">
        <v>2035</v>
      </c>
      <c r="D21" s="12">
        <f>SUMIFS(Penetration!$F$6:$F$368,Penetration!$A$6:$A$368,$A21,Penetration!$B$6:$B$368,$B21,Penetration!$D$6:$D$368,$C21)</f>
        <v/>
      </c>
    </row>
    <row r="22">
      <c r="A22" s="4" t="inlineStr">
        <is>
          <t>Architecture</t>
        </is>
      </c>
      <c r="B22" s="4" t="inlineStr">
        <is>
          <t>CD</t>
        </is>
      </c>
      <c r="C22" s="4" t="n">
        <v>2040</v>
      </c>
      <c r="D22" s="12">
        <f>SUMIFS(Penetration!$F$6:$F$368,Penetration!$A$6:$A$368,$A22,Penetration!$B$6:$B$368,$B22,Penetration!$D$6:$D$368,$C22)</f>
        <v/>
      </c>
    </row>
    <row r="23">
      <c r="A23" s="4" t="inlineStr">
        <is>
          <t>Architecture</t>
        </is>
      </c>
      <c r="B23" s="4" t="inlineStr">
        <is>
          <t>CD</t>
        </is>
      </c>
      <c r="C23" s="4" t="n">
        <v>2045</v>
      </c>
      <c r="D23" s="12">
        <f>SUMIFS(Penetration!$F$6:$F$368,Penetration!$A$6:$A$368,$A23,Penetration!$B$6:$B$368,$B23,Penetration!$D$6:$D$368,$C23)</f>
        <v/>
      </c>
    </row>
    <row r="24">
      <c r="A24" s="4" t="inlineStr">
        <is>
          <t>Architecture</t>
        </is>
      </c>
      <c r="B24" s="4" t="inlineStr">
        <is>
          <t>CD</t>
        </is>
      </c>
      <c r="C24" s="4" t="n">
        <v>2050</v>
      </c>
      <c r="D24" s="12">
        <f>SUMIFS(Penetration!$F$6:$F$368,Penetration!$A$6:$A$368,$A24,Penetration!$B$6:$B$368,$B24,Penetration!$D$6:$D$368,$C24)</f>
        <v/>
      </c>
    </row>
    <row r="25">
      <c r="A25" s="4" t="inlineStr">
        <is>
          <t>Architecture</t>
        </is>
      </c>
      <c r="B25" s="4" t="inlineStr">
        <is>
          <t>CD</t>
        </is>
      </c>
      <c r="C25" s="4" t="n">
        <v>2060</v>
      </c>
      <c r="D25" s="12">
        <f>SUMIFS(Penetration!$F$6:$F$368,Penetration!$A$6:$A$368,$A25,Penetration!$B$6:$B$368,$B25,Penetration!$D$6:$D$368,$C25)</f>
        <v/>
      </c>
    </row>
    <row r="26">
      <c r="A26" s="4" t="inlineStr">
        <is>
          <t>Architecture</t>
        </is>
      </c>
      <c r="B26" s="4" t="inlineStr">
        <is>
          <t>CD</t>
        </is>
      </c>
      <c r="C26" s="4" t="n">
        <v>2070</v>
      </c>
      <c r="D26" s="12">
        <f>SUMIFS(Penetration!$F$6:$F$368,Penetration!$A$6:$A$368,$A26,Penetration!$B$6:$B$368,$B26,Penetration!$D$6:$D$368,$C26)</f>
        <v/>
      </c>
    </row>
    <row r="27">
      <c r="A27" s="4" t="inlineStr">
        <is>
          <t>Architecture</t>
        </is>
      </c>
      <c r="B27" s="4" t="inlineStr">
        <is>
          <t>EF</t>
        </is>
      </c>
      <c r="C27" s="4" t="n">
        <v>2010</v>
      </c>
      <c r="D27" s="12">
        <f>SUMIFS(Penetration!$F$6:$F$368,Penetration!$A$6:$A$368,$A27,Penetration!$B$6:$B$368,$B27,Penetration!$D$6:$D$368,$C27)</f>
        <v/>
      </c>
    </row>
    <row r="28">
      <c r="A28" s="4" t="inlineStr">
        <is>
          <t>Architecture</t>
        </is>
      </c>
      <c r="B28" s="4" t="inlineStr">
        <is>
          <t>EF</t>
        </is>
      </c>
      <c r="C28" s="4" t="n">
        <v>2015</v>
      </c>
      <c r="D28" s="12">
        <f>SUMIFS(Penetration!$F$6:$F$368,Penetration!$A$6:$A$368,$A28,Penetration!$B$6:$B$368,$B28,Penetration!$D$6:$D$368,$C28)</f>
        <v/>
      </c>
    </row>
    <row r="29">
      <c r="A29" s="4" t="inlineStr">
        <is>
          <t>Architecture</t>
        </is>
      </c>
      <c r="B29" s="4" t="inlineStr">
        <is>
          <t>EF</t>
        </is>
      </c>
      <c r="C29" s="4" t="n">
        <v>2020</v>
      </c>
      <c r="D29" s="12">
        <f>SUMIFS(Penetration!$F$6:$F$368,Penetration!$A$6:$A$368,$A29,Penetration!$B$6:$B$368,$B29,Penetration!$D$6:$D$368,$C29)</f>
        <v/>
      </c>
    </row>
    <row r="30">
      <c r="A30" s="4" t="inlineStr">
        <is>
          <t>Architecture</t>
        </is>
      </c>
      <c r="B30" s="4" t="inlineStr">
        <is>
          <t>EF</t>
        </is>
      </c>
      <c r="C30" s="4" t="n">
        <v>2025</v>
      </c>
      <c r="D30" s="12">
        <f>SUMIFS(Penetration!$F$6:$F$368,Penetration!$A$6:$A$368,$A30,Penetration!$B$6:$B$368,$B30,Penetration!$D$6:$D$368,$C30)</f>
        <v/>
      </c>
    </row>
    <row r="31">
      <c r="A31" s="4" t="inlineStr">
        <is>
          <t>Architecture</t>
        </is>
      </c>
      <c r="B31" s="4" t="inlineStr">
        <is>
          <t>EF</t>
        </is>
      </c>
      <c r="C31" s="4" t="n">
        <v>2030</v>
      </c>
      <c r="D31" s="12">
        <f>SUMIFS(Penetration!$F$6:$F$368,Penetration!$A$6:$A$368,$A31,Penetration!$B$6:$B$368,$B31,Penetration!$D$6:$D$368,$C31)</f>
        <v/>
      </c>
    </row>
    <row r="32">
      <c r="A32" s="4" t="inlineStr">
        <is>
          <t>Architecture</t>
        </is>
      </c>
      <c r="B32" s="4" t="inlineStr">
        <is>
          <t>EF</t>
        </is>
      </c>
      <c r="C32" s="4" t="n">
        <v>2035</v>
      </c>
      <c r="D32" s="12">
        <f>SUMIFS(Penetration!$F$6:$F$368,Penetration!$A$6:$A$368,$A32,Penetration!$B$6:$B$368,$B32,Penetration!$D$6:$D$368,$C32)</f>
        <v/>
      </c>
    </row>
    <row r="33">
      <c r="A33" s="4" t="inlineStr">
        <is>
          <t>Architecture</t>
        </is>
      </c>
      <c r="B33" s="4" t="inlineStr">
        <is>
          <t>EF</t>
        </is>
      </c>
      <c r="C33" s="4" t="n">
        <v>2040</v>
      </c>
      <c r="D33" s="12">
        <f>SUMIFS(Penetration!$F$6:$F$368,Penetration!$A$6:$A$368,$A33,Penetration!$B$6:$B$368,$B33,Penetration!$D$6:$D$368,$C33)</f>
        <v/>
      </c>
    </row>
    <row r="34">
      <c r="A34" s="4" t="inlineStr">
        <is>
          <t>Architecture</t>
        </is>
      </c>
      <c r="B34" s="4" t="inlineStr">
        <is>
          <t>EF</t>
        </is>
      </c>
      <c r="C34" s="4" t="n">
        <v>2045</v>
      </c>
      <c r="D34" s="12">
        <f>SUMIFS(Penetration!$F$6:$F$368,Penetration!$A$6:$A$368,$A34,Penetration!$B$6:$B$368,$B34,Penetration!$D$6:$D$368,$C34)</f>
        <v/>
      </c>
    </row>
    <row r="35">
      <c r="A35" s="4" t="inlineStr">
        <is>
          <t>Architecture</t>
        </is>
      </c>
      <c r="B35" s="4" t="inlineStr">
        <is>
          <t>EF</t>
        </is>
      </c>
      <c r="C35" s="4" t="n">
        <v>2050</v>
      </c>
      <c r="D35" s="12">
        <f>SUMIFS(Penetration!$F$6:$F$368,Penetration!$A$6:$A$368,$A35,Penetration!$B$6:$B$368,$B35,Penetration!$D$6:$D$368,$C35)</f>
        <v/>
      </c>
    </row>
    <row r="36">
      <c r="A36" s="4" t="inlineStr">
        <is>
          <t>Architecture</t>
        </is>
      </c>
      <c r="B36" s="4" t="inlineStr">
        <is>
          <t>EF</t>
        </is>
      </c>
      <c r="C36" s="4" t="n">
        <v>2060</v>
      </c>
      <c r="D36" s="12">
        <f>SUMIFS(Penetration!$F$6:$F$368,Penetration!$A$6:$A$368,$A36,Penetration!$B$6:$B$368,$B36,Penetration!$D$6:$D$368,$C36)</f>
        <v/>
      </c>
    </row>
    <row r="37">
      <c r="A37" s="4" t="inlineStr">
        <is>
          <t>Architecture</t>
        </is>
      </c>
      <c r="B37" s="4" t="inlineStr">
        <is>
          <t>EF</t>
        </is>
      </c>
      <c r="C37" s="4" t="n">
        <v>2070</v>
      </c>
      <c r="D37" s="12">
        <f>SUMIFS(Penetration!$F$6:$F$368,Penetration!$A$6:$A$368,$A37,Penetration!$B$6:$B$368,$B37,Penetration!$D$6:$D$368,$C37)</f>
        <v/>
      </c>
    </row>
    <row r="38">
      <c r="A38" s="4" t="inlineStr">
        <is>
          <t>Voltage</t>
        </is>
      </c>
      <c r="B38" s="4" t="inlineStr">
        <is>
          <t>AB</t>
        </is>
      </c>
      <c r="C38" s="4" t="n">
        <v>2010</v>
      </c>
      <c r="D38" s="12">
        <f>SUMIFS(Penetration!$F$6:$F$368,Penetration!$A$6:$A$368,$A38,Penetration!$B$6:$B$368,$B38,Penetration!$D$6:$D$368,$C38)</f>
        <v/>
      </c>
    </row>
    <row r="39">
      <c r="A39" s="4" t="inlineStr">
        <is>
          <t>Voltage</t>
        </is>
      </c>
      <c r="B39" s="4" t="inlineStr">
        <is>
          <t>AB</t>
        </is>
      </c>
      <c r="C39" s="4" t="n">
        <v>2015</v>
      </c>
      <c r="D39" s="12">
        <f>SUMIFS(Penetration!$F$6:$F$368,Penetration!$A$6:$A$368,$A39,Penetration!$B$6:$B$368,$B39,Penetration!$D$6:$D$368,$C39)</f>
        <v/>
      </c>
    </row>
    <row r="40">
      <c r="A40" s="4" t="inlineStr">
        <is>
          <t>Voltage</t>
        </is>
      </c>
      <c r="B40" s="4" t="inlineStr">
        <is>
          <t>AB</t>
        </is>
      </c>
      <c r="C40" s="4" t="n">
        <v>2020</v>
      </c>
      <c r="D40" s="12">
        <f>SUMIFS(Penetration!$F$6:$F$368,Penetration!$A$6:$A$368,$A40,Penetration!$B$6:$B$368,$B40,Penetration!$D$6:$D$368,$C40)</f>
        <v/>
      </c>
    </row>
    <row r="41">
      <c r="A41" s="4" t="inlineStr">
        <is>
          <t>Voltage</t>
        </is>
      </c>
      <c r="B41" s="4" t="inlineStr">
        <is>
          <t>AB</t>
        </is>
      </c>
      <c r="C41" s="4" t="n">
        <v>2025</v>
      </c>
      <c r="D41" s="12">
        <f>SUMIFS(Penetration!$F$6:$F$368,Penetration!$A$6:$A$368,$A41,Penetration!$B$6:$B$368,$B41,Penetration!$D$6:$D$368,$C41)</f>
        <v/>
      </c>
    </row>
    <row r="42">
      <c r="A42" s="4" t="inlineStr">
        <is>
          <t>Voltage</t>
        </is>
      </c>
      <c r="B42" s="4" t="inlineStr">
        <is>
          <t>AB</t>
        </is>
      </c>
      <c r="C42" s="4" t="n">
        <v>2030</v>
      </c>
      <c r="D42" s="12">
        <f>SUMIFS(Penetration!$F$6:$F$368,Penetration!$A$6:$A$368,$A42,Penetration!$B$6:$B$368,$B42,Penetration!$D$6:$D$368,$C42)</f>
        <v/>
      </c>
    </row>
    <row r="43">
      <c r="A43" s="4" t="inlineStr">
        <is>
          <t>Voltage</t>
        </is>
      </c>
      <c r="B43" s="4" t="inlineStr">
        <is>
          <t>AB</t>
        </is>
      </c>
      <c r="C43" s="4" t="n">
        <v>2035</v>
      </c>
      <c r="D43" s="12">
        <f>SUMIFS(Penetration!$F$6:$F$368,Penetration!$A$6:$A$368,$A43,Penetration!$B$6:$B$368,$B43,Penetration!$D$6:$D$368,$C43)</f>
        <v/>
      </c>
    </row>
    <row r="44">
      <c r="A44" s="4" t="inlineStr">
        <is>
          <t>Voltage</t>
        </is>
      </c>
      <c r="B44" s="4" t="inlineStr">
        <is>
          <t>AB</t>
        </is>
      </c>
      <c r="C44" s="4" t="n">
        <v>2040</v>
      </c>
      <c r="D44" s="12">
        <f>SUMIFS(Penetration!$F$6:$F$368,Penetration!$A$6:$A$368,$A44,Penetration!$B$6:$B$368,$B44,Penetration!$D$6:$D$368,$C44)</f>
        <v/>
      </c>
    </row>
    <row r="45">
      <c r="A45" s="4" t="inlineStr">
        <is>
          <t>Voltage</t>
        </is>
      </c>
      <c r="B45" s="4" t="inlineStr">
        <is>
          <t>AB</t>
        </is>
      </c>
      <c r="C45" s="4" t="n">
        <v>2045</v>
      </c>
      <c r="D45" s="12">
        <f>SUMIFS(Penetration!$F$6:$F$368,Penetration!$A$6:$A$368,$A45,Penetration!$B$6:$B$368,$B45,Penetration!$D$6:$D$368,$C45)</f>
        <v/>
      </c>
    </row>
    <row r="46">
      <c r="A46" s="4" t="inlineStr">
        <is>
          <t>Voltage</t>
        </is>
      </c>
      <c r="B46" s="4" t="inlineStr">
        <is>
          <t>AB</t>
        </is>
      </c>
      <c r="C46" s="4" t="n">
        <v>2050</v>
      </c>
      <c r="D46" s="12">
        <f>SUMIFS(Penetration!$F$6:$F$368,Penetration!$A$6:$A$368,$A46,Penetration!$B$6:$B$368,$B46,Penetration!$D$6:$D$368,$C46)</f>
        <v/>
      </c>
    </row>
    <row r="47">
      <c r="A47" s="4" t="inlineStr">
        <is>
          <t>Voltage</t>
        </is>
      </c>
      <c r="B47" s="4" t="inlineStr">
        <is>
          <t>AB</t>
        </is>
      </c>
      <c r="C47" s="4" t="n">
        <v>2060</v>
      </c>
      <c r="D47" s="12">
        <f>SUMIFS(Penetration!$F$6:$F$368,Penetration!$A$6:$A$368,$A47,Penetration!$B$6:$B$368,$B47,Penetration!$D$6:$D$368,$C47)</f>
        <v/>
      </c>
    </row>
    <row r="48">
      <c r="A48" s="4" t="inlineStr">
        <is>
          <t>Voltage</t>
        </is>
      </c>
      <c r="B48" s="4" t="inlineStr">
        <is>
          <t>AB</t>
        </is>
      </c>
      <c r="C48" s="4" t="n">
        <v>2070</v>
      </c>
      <c r="D48" s="12">
        <f>SUMIFS(Penetration!$F$6:$F$368,Penetration!$A$6:$A$368,$A48,Penetration!$B$6:$B$368,$B48,Penetration!$D$6:$D$368,$C48)</f>
        <v/>
      </c>
    </row>
    <row r="49">
      <c r="A49" s="4" t="inlineStr">
        <is>
          <t>Voltage</t>
        </is>
      </c>
      <c r="B49" s="4" t="inlineStr">
        <is>
          <t>CD</t>
        </is>
      </c>
      <c r="C49" s="4" t="n">
        <v>2010</v>
      </c>
      <c r="D49" s="12">
        <f>SUMIFS(Penetration!$F$6:$F$368,Penetration!$A$6:$A$368,$A49,Penetration!$B$6:$B$368,$B49,Penetration!$D$6:$D$368,$C49)</f>
        <v/>
      </c>
    </row>
    <row r="50">
      <c r="A50" s="4" t="inlineStr">
        <is>
          <t>Voltage</t>
        </is>
      </c>
      <c r="B50" s="4" t="inlineStr">
        <is>
          <t>CD</t>
        </is>
      </c>
      <c r="C50" s="4" t="n">
        <v>2015</v>
      </c>
      <c r="D50" s="12">
        <f>SUMIFS(Penetration!$F$6:$F$368,Penetration!$A$6:$A$368,$A50,Penetration!$B$6:$B$368,$B50,Penetration!$D$6:$D$368,$C50)</f>
        <v/>
      </c>
    </row>
    <row r="51">
      <c r="A51" s="4" t="inlineStr">
        <is>
          <t>Voltage</t>
        </is>
      </c>
      <c r="B51" s="4" t="inlineStr">
        <is>
          <t>CD</t>
        </is>
      </c>
      <c r="C51" s="4" t="n">
        <v>2020</v>
      </c>
      <c r="D51" s="12">
        <f>SUMIFS(Penetration!$F$6:$F$368,Penetration!$A$6:$A$368,$A51,Penetration!$B$6:$B$368,$B51,Penetration!$D$6:$D$368,$C51)</f>
        <v/>
      </c>
    </row>
    <row r="52">
      <c r="A52" s="4" t="inlineStr">
        <is>
          <t>Voltage</t>
        </is>
      </c>
      <c r="B52" s="4" t="inlineStr">
        <is>
          <t>CD</t>
        </is>
      </c>
      <c r="C52" s="4" t="n">
        <v>2025</v>
      </c>
      <c r="D52" s="12">
        <f>SUMIFS(Penetration!$F$6:$F$368,Penetration!$A$6:$A$368,$A52,Penetration!$B$6:$B$368,$B52,Penetration!$D$6:$D$368,$C52)</f>
        <v/>
      </c>
    </row>
    <row r="53">
      <c r="A53" s="4" t="inlineStr">
        <is>
          <t>Voltage</t>
        </is>
      </c>
      <c r="B53" s="4" t="inlineStr">
        <is>
          <t>CD</t>
        </is>
      </c>
      <c r="C53" s="4" t="n">
        <v>2030</v>
      </c>
      <c r="D53" s="12">
        <f>SUMIFS(Penetration!$F$6:$F$368,Penetration!$A$6:$A$368,$A53,Penetration!$B$6:$B$368,$B53,Penetration!$D$6:$D$368,$C53)</f>
        <v/>
      </c>
    </row>
    <row r="54">
      <c r="A54" s="4" t="inlineStr">
        <is>
          <t>Voltage</t>
        </is>
      </c>
      <c r="B54" s="4" t="inlineStr">
        <is>
          <t>CD</t>
        </is>
      </c>
      <c r="C54" s="4" t="n">
        <v>2035</v>
      </c>
      <c r="D54" s="12">
        <f>SUMIFS(Penetration!$F$6:$F$368,Penetration!$A$6:$A$368,$A54,Penetration!$B$6:$B$368,$B54,Penetration!$D$6:$D$368,$C54)</f>
        <v/>
      </c>
    </row>
    <row r="55">
      <c r="A55" s="4" t="inlineStr">
        <is>
          <t>Voltage</t>
        </is>
      </c>
      <c r="B55" s="4" t="inlineStr">
        <is>
          <t>CD</t>
        </is>
      </c>
      <c r="C55" s="4" t="n">
        <v>2040</v>
      </c>
      <c r="D55" s="12">
        <f>SUMIFS(Penetration!$F$6:$F$368,Penetration!$A$6:$A$368,$A55,Penetration!$B$6:$B$368,$B55,Penetration!$D$6:$D$368,$C55)</f>
        <v/>
      </c>
    </row>
    <row r="56">
      <c r="A56" s="4" t="inlineStr">
        <is>
          <t>Voltage</t>
        </is>
      </c>
      <c r="B56" s="4" t="inlineStr">
        <is>
          <t>CD</t>
        </is>
      </c>
      <c r="C56" s="4" t="n">
        <v>2045</v>
      </c>
      <c r="D56" s="12">
        <f>SUMIFS(Penetration!$F$6:$F$368,Penetration!$A$6:$A$368,$A56,Penetration!$B$6:$B$368,$B56,Penetration!$D$6:$D$368,$C56)</f>
        <v/>
      </c>
    </row>
    <row r="57">
      <c r="A57" s="4" t="inlineStr">
        <is>
          <t>Voltage</t>
        </is>
      </c>
      <c r="B57" s="4" t="inlineStr">
        <is>
          <t>CD</t>
        </is>
      </c>
      <c r="C57" s="4" t="n">
        <v>2050</v>
      </c>
      <c r="D57" s="12">
        <f>SUMIFS(Penetration!$F$6:$F$368,Penetration!$A$6:$A$368,$A57,Penetration!$B$6:$B$368,$B57,Penetration!$D$6:$D$368,$C57)</f>
        <v/>
      </c>
    </row>
    <row r="58">
      <c r="A58" s="4" t="inlineStr">
        <is>
          <t>Voltage</t>
        </is>
      </c>
      <c r="B58" s="4" t="inlineStr">
        <is>
          <t>CD</t>
        </is>
      </c>
      <c r="C58" s="4" t="n">
        <v>2060</v>
      </c>
      <c r="D58" s="12">
        <f>SUMIFS(Penetration!$F$6:$F$368,Penetration!$A$6:$A$368,$A58,Penetration!$B$6:$B$368,$B58,Penetration!$D$6:$D$368,$C58)</f>
        <v/>
      </c>
    </row>
    <row r="59">
      <c r="A59" s="4" t="inlineStr">
        <is>
          <t>Voltage</t>
        </is>
      </c>
      <c r="B59" s="4" t="inlineStr">
        <is>
          <t>CD</t>
        </is>
      </c>
      <c r="C59" s="4" t="n">
        <v>2070</v>
      </c>
      <c r="D59" s="12">
        <f>SUMIFS(Penetration!$F$6:$F$368,Penetration!$A$6:$A$368,$A59,Penetration!$B$6:$B$368,$B59,Penetration!$D$6:$D$368,$C59)</f>
        <v/>
      </c>
    </row>
    <row r="60">
      <c r="A60" s="4" t="inlineStr">
        <is>
          <t>Voltage</t>
        </is>
      </c>
      <c r="B60" s="4" t="inlineStr">
        <is>
          <t>EF</t>
        </is>
      </c>
      <c r="C60" s="4" t="n">
        <v>2010</v>
      </c>
      <c r="D60" s="12">
        <f>SUMIFS(Penetration!$F$6:$F$368,Penetration!$A$6:$A$368,$A60,Penetration!$B$6:$B$368,$B60,Penetration!$D$6:$D$368,$C60)</f>
        <v/>
      </c>
    </row>
    <row r="61">
      <c r="A61" s="4" t="inlineStr">
        <is>
          <t>Voltage</t>
        </is>
      </c>
      <c r="B61" s="4" t="inlineStr">
        <is>
          <t>EF</t>
        </is>
      </c>
      <c r="C61" s="4" t="n">
        <v>2015</v>
      </c>
      <c r="D61" s="12">
        <f>SUMIFS(Penetration!$F$6:$F$368,Penetration!$A$6:$A$368,$A61,Penetration!$B$6:$B$368,$B61,Penetration!$D$6:$D$368,$C61)</f>
        <v/>
      </c>
    </row>
    <row r="62">
      <c r="A62" s="4" t="inlineStr">
        <is>
          <t>Voltage</t>
        </is>
      </c>
      <c r="B62" s="4" t="inlineStr">
        <is>
          <t>EF</t>
        </is>
      </c>
      <c r="C62" s="4" t="n">
        <v>2020</v>
      </c>
      <c r="D62" s="12">
        <f>SUMIFS(Penetration!$F$6:$F$368,Penetration!$A$6:$A$368,$A62,Penetration!$B$6:$B$368,$B62,Penetration!$D$6:$D$368,$C62)</f>
        <v/>
      </c>
    </row>
    <row r="63">
      <c r="A63" s="4" t="inlineStr">
        <is>
          <t>Voltage</t>
        </is>
      </c>
      <c r="B63" s="4" t="inlineStr">
        <is>
          <t>EF</t>
        </is>
      </c>
      <c r="C63" s="4" t="n">
        <v>2025</v>
      </c>
      <c r="D63" s="12">
        <f>SUMIFS(Penetration!$F$6:$F$368,Penetration!$A$6:$A$368,$A63,Penetration!$B$6:$B$368,$B63,Penetration!$D$6:$D$368,$C63)</f>
        <v/>
      </c>
    </row>
    <row r="64">
      <c r="A64" s="4" t="inlineStr">
        <is>
          <t>Voltage</t>
        </is>
      </c>
      <c r="B64" s="4" t="inlineStr">
        <is>
          <t>EF</t>
        </is>
      </c>
      <c r="C64" s="4" t="n">
        <v>2030</v>
      </c>
      <c r="D64" s="12">
        <f>SUMIFS(Penetration!$F$6:$F$368,Penetration!$A$6:$A$368,$A64,Penetration!$B$6:$B$368,$B64,Penetration!$D$6:$D$368,$C64)</f>
        <v/>
      </c>
    </row>
    <row r="65">
      <c r="A65" s="4" t="inlineStr">
        <is>
          <t>Voltage</t>
        </is>
      </c>
      <c r="B65" s="4" t="inlineStr">
        <is>
          <t>EF</t>
        </is>
      </c>
      <c r="C65" s="4" t="n">
        <v>2035</v>
      </c>
      <c r="D65" s="12">
        <f>SUMIFS(Penetration!$F$6:$F$368,Penetration!$A$6:$A$368,$A65,Penetration!$B$6:$B$368,$B65,Penetration!$D$6:$D$368,$C65)</f>
        <v/>
      </c>
    </row>
    <row r="66">
      <c r="A66" s="4" t="inlineStr">
        <is>
          <t>Voltage</t>
        </is>
      </c>
      <c r="B66" s="4" t="inlineStr">
        <is>
          <t>EF</t>
        </is>
      </c>
      <c r="C66" s="4" t="n">
        <v>2040</v>
      </c>
      <c r="D66" s="12">
        <f>SUMIFS(Penetration!$F$6:$F$368,Penetration!$A$6:$A$368,$A66,Penetration!$B$6:$B$368,$B66,Penetration!$D$6:$D$368,$C66)</f>
        <v/>
      </c>
    </row>
    <row r="67">
      <c r="A67" s="4" t="inlineStr">
        <is>
          <t>Voltage</t>
        </is>
      </c>
      <c r="B67" s="4" t="inlineStr">
        <is>
          <t>EF</t>
        </is>
      </c>
      <c r="C67" s="4" t="n">
        <v>2045</v>
      </c>
      <c r="D67" s="12">
        <f>SUMIFS(Penetration!$F$6:$F$368,Penetration!$A$6:$A$368,$A67,Penetration!$B$6:$B$368,$B67,Penetration!$D$6:$D$368,$C67)</f>
        <v/>
      </c>
    </row>
    <row r="68">
      <c r="A68" s="4" t="inlineStr">
        <is>
          <t>Voltage</t>
        </is>
      </c>
      <c r="B68" s="4" t="inlineStr">
        <is>
          <t>EF</t>
        </is>
      </c>
      <c r="C68" s="4" t="n">
        <v>2050</v>
      </c>
      <c r="D68" s="12">
        <f>SUMIFS(Penetration!$F$6:$F$368,Penetration!$A$6:$A$368,$A68,Penetration!$B$6:$B$368,$B68,Penetration!$D$6:$D$368,$C68)</f>
        <v/>
      </c>
    </row>
    <row r="69">
      <c r="A69" s="4" t="inlineStr">
        <is>
          <t>Voltage</t>
        </is>
      </c>
      <c r="B69" s="4" t="inlineStr">
        <is>
          <t>EF</t>
        </is>
      </c>
      <c r="C69" s="4" t="n">
        <v>2060</v>
      </c>
      <c r="D69" s="12">
        <f>SUMIFS(Penetration!$F$6:$F$368,Penetration!$A$6:$A$368,$A69,Penetration!$B$6:$B$368,$B69,Penetration!$D$6:$D$368,$C69)</f>
        <v/>
      </c>
    </row>
    <row r="70">
      <c r="A70" s="4" t="inlineStr">
        <is>
          <t>Voltage</t>
        </is>
      </c>
      <c r="B70" s="4" t="inlineStr">
        <is>
          <t>EF</t>
        </is>
      </c>
      <c r="C70" s="4" t="n">
        <v>2070</v>
      </c>
      <c r="D70" s="12">
        <f>SUMIFS(Penetration!$F$6:$F$368,Penetration!$A$6:$A$368,$A70,Penetration!$B$6:$B$368,$B70,Penetration!$D$6:$D$368,$C70)</f>
        <v/>
      </c>
    </row>
    <row r="71">
      <c r="A71" s="4" t="inlineStr">
        <is>
          <t>Autonomy</t>
        </is>
      </c>
      <c r="B71" s="4" t="inlineStr">
        <is>
          <t>AB</t>
        </is>
      </c>
      <c r="C71" s="4" t="n">
        <v>2010</v>
      </c>
      <c r="D71" s="12">
        <f>SUMIFS(Penetration!$F$6:$F$368,Penetration!$A$6:$A$368,$A71,Penetration!$B$6:$B$368,$B71,Penetration!$D$6:$D$368,$C71)</f>
        <v/>
      </c>
    </row>
    <row r="72">
      <c r="A72" s="4" t="inlineStr">
        <is>
          <t>Autonomy</t>
        </is>
      </c>
      <c r="B72" s="4" t="inlineStr">
        <is>
          <t>AB</t>
        </is>
      </c>
      <c r="C72" s="4" t="n">
        <v>2015</v>
      </c>
      <c r="D72" s="12">
        <f>SUMIFS(Penetration!$F$6:$F$368,Penetration!$A$6:$A$368,$A72,Penetration!$B$6:$B$368,$B72,Penetration!$D$6:$D$368,$C72)</f>
        <v/>
      </c>
    </row>
    <row r="73">
      <c r="A73" s="4" t="inlineStr">
        <is>
          <t>Autonomy</t>
        </is>
      </c>
      <c r="B73" s="4" t="inlineStr">
        <is>
          <t>AB</t>
        </is>
      </c>
      <c r="C73" s="4" t="n">
        <v>2020</v>
      </c>
      <c r="D73" s="12">
        <f>SUMIFS(Penetration!$F$6:$F$368,Penetration!$A$6:$A$368,$A73,Penetration!$B$6:$B$368,$B73,Penetration!$D$6:$D$368,$C73)</f>
        <v/>
      </c>
    </row>
    <row r="74">
      <c r="A74" s="4" t="inlineStr">
        <is>
          <t>Autonomy</t>
        </is>
      </c>
      <c r="B74" s="4" t="inlineStr">
        <is>
          <t>AB</t>
        </is>
      </c>
      <c r="C74" s="4" t="n">
        <v>2025</v>
      </c>
      <c r="D74" s="12">
        <f>SUMIFS(Penetration!$F$6:$F$368,Penetration!$A$6:$A$368,$A74,Penetration!$B$6:$B$368,$B74,Penetration!$D$6:$D$368,$C74)</f>
        <v/>
      </c>
    </row>
    <row r="75">
      <c r="A75" s="4" t="inlineStr">
        <is>
          <t>Autonomy</t>
        </is>
      </c>
      <c r="B75" s="4" t="inlineStr">
        <is>
          <t>AB</t>
        </is>
      </c>
      <c r="C75" s="4" t="n">
        <v>2030</v>
      </c>
      <c r="D75" s="12">
        <f>SUMIFS(Penetration!$F$6:$F$368,Penetration!$A$6:$A$368,$A75,Penetration!$B$6:$B$368,$B75,Penetration!$D$6:$D$368,$C75)</f>
        <v/>
      </c>
    </row>
    <row r="76">
      <c r="A76" s="4" t="inlineStr">
        <is>
          <t>Autonomy</t>
        </is>
      </c>
      <c r="B76" s="4" t="inlineStr">
        <is>
          <t>AB</t>
        </is>
      </c>
      <c r="C76" s="4" t="n">
        <v>2035</v>
      </c>
      <c r="D76" s="12">
        <f>SUMIFS(Penetration!$F$6:$F$368,Penetration!$A$6:$A$368,$A76,Penetration!$B$6:$B$368,$B76,Penetration!$D$6:$D$368,$C76)</f>
        <v/>
      </c>
    </row>
    <row r="77">
      <c r="A77" s="4" t="inlineStr">
        <is>
          <t>Autonomy</t>
        </is>
      </c>
      <c r="B77" s="4" t="inlineStr">
        <is>
          <t>AB</t>
        </is>
      </c>
      <c r="C77" s="4" t="n">
        <v>2040</v>
      </c>
      <c r="D77" s="12">
        <f>SUMIFS(Penetration!$F$6:$F$368,Penetration!$A$6:$A$368,$A77,Penetration!$B$6:$B$368,$B77,Penetration!$D$6:$D$368,$C77)</f>
        <v/>
      </c>
    </row>
    <row r="78">
      <c r="A78" s="4" t="inlineStr">
        <is>
          <t>Autonomy</t>
        </is>
      </c>
      <c r="B78" s="4" t="inlineStr">
        <is>
          <t>AB</t>
        </is>
      </c>
      <c r="C78" s="4" t="n">
        <v>2045</v>
      </c>
      <c r="D78" s="12">
        <f>SUMIFS(Penetration!$F$6:$F$368,Penetration!$A$6:$A$368,$A78,Penetration!$B$6:$B$368,$B78,Penetration!$D$6:$D$368,$C78)</f>
        <v/>
      </c>
    </row>
    <row r="79">
      <c r="A79" s="4" t="inlineStr">
        <is>
          <t>Autonomy</t>
        </is>
      </c>
      <c r="B79" s="4" t="inlineStr">
        <is>
          <t>AB</t>
        </is>
      </c>
      <c r="C79" s="4" t="n">
        <v>2050</v>
      </c>
      <c r="D79" s="12">
        <f>SUMIFS(Penetration!$F$6:$F$368,Penetration!$A$6:$A$368,$A79,Penetration!$B$6:$B$368,$B79,Penetration!$D$6:$D$368,$C79)</f>
        <v/>
      </c>
    </row>
    <row r="80">
      <c r="A80" s="4" t="inlineStr">
        <is>
          <t>Autonomy</t>
        </is>
      </c>
      <c r="B80" s="4" t="inlineStr">
        <is>
          <t>AB</t>
        </is>
      </c>
      <c r="C80" s="4" t="n">
        <v>2060</v>
      </c>
      <c r="D80" s="12">
        <f>SUMIFS(Penetration!$F$6:$F$368,Penetration!$A$6:$A$368,$A80,Penetration!$B$6:$B$368,$B80,Penetration!$D$6:$D$368,$C80)</f>
        <v/>
      </c>
    </row>
    <row r="81">
      <c r="A81" s="4" t="inlineStr">
        <is>
          <t>Autonomy</t>
        </is>
      </c>
      <c r="B81" s="4" t="inlineStr">
        <is>
          <t>AB</t>
        </is>
      </c>
      <c r="C81" s="4" t="n">
        <v>2070</v>
      </c>
      <c r="D81" s="12">
        <f>SUMIFS(Penetration!$F$6:$F$368,Penetration!$A$6:$A$368,$A81,Penetration!$B$6:$B$368,$B81,Penetration!$D$6:$D$368,$C81)</f>
        <v/>
      </c>
    </row>
    <row r="82">
      <c r="A82" s="4" t="inlineStr">
        <is>
          <t>Autonomy</t>
        </is>
      </c>
      <c r="B82" s="4" t="inlineStr">
        <is>
          <t>CD</t>
        </is>
      </c>
      <c r="C82" s="4" t="n">
        <v>2010</v>
      </c>
      <c r="D82" s="12">
        <f>SUMIFS(Penetration!$F$6:$F$368,Penetration!$A$6:$A$368,$A82,Penetration!$B$6:$B$368,$B82,Penetration!$D$6:$D$368,$C82)</f>
        <v/>
      </c>
    </row>
    <row r="83">
      <c r="A83" s="4" t="inlineStr">
        <is>
          <t>Autonomy</t>
        </is>
      </c>
      <c r="B83" s="4" t="inlineStr">
        <is>
          <t>CD</t>
        </is>
      </c>
      <c r="C83" s="4" t="n">
        <v>2015</v>
      </c>
      <c r="D83" s="12">
        <f>SUMIFS(Penetration!$F$6:$F$368,Penetration!$A$6:$A$368,$A83,Penetration!$B$6:$B$368,$B83,Penetration!$D$6:$D$368,$C83)</f>
        <v/>
      </c>
    </row>
    <row r="84">
      <c r="A84" s="4" t="inlineStr">
        <is>
          <t>Autonomy</t>
        </is>
      </c>
      <c r="B84" s="4" t="inlineStr">
        <is>
          <t>CD</t>
        </is>
      </c>
      <c r="C84" s="4" t="n">
        <v>2020</v>
      </c>
      <c r="D84" s="12">
        <f>SUMIFS(Penetration!$F$6:$F$368,Penetration!$A$6:$A$368,$A84,Penetration!$B$6:$B$368,$B84,Penetration!$D$6:$D$368,$C84)</f>
        <v/>
      </c>
    </row>
    <row r="85">
      <c r="A85" s="4" t="inlineStr">
        <is>
          <t>Autonomy</t>
        </is>
      </c>
      <c r="B85" s="4" t="inlineStr">
        <is>
          <t>CD</t>
        </is>
      </c>
      <c r="C85" s="4" t="n">
        <v>2025</v>
      </c>
      <c r="D85" s="12">
        <f>SUMIFS(Penetration!$F$6:$F$368,Penetration!$A$6:$A$368,$A85,Penetration!$B$6:$B$368,$B85,Penetration!$D$6:$D$368,$C85)</f>
        <v/>
      </c>
    </row>
    <row r="86">
      <c r="A86" s="4" t="inlineStr">
        <is>
          <t>Autonomy</t>
        </is>
      </c>
      <c r="B86" s="4" t="inlineStr">
        <is>
          <t>CD</t>
        </is>
      </c>
      <c r="C86" s="4" t="n">
        <v>2030</v>
      </c>
      <c r="D86" s="12">
        <f>SUMIFS(Penetration!$F$6:$F$368,Penetration!$A$6:$A$368,$A86,Penetration!$B$6:$B$368,$B86,Penetration!$D$6:$D$368,$C86)</f>
        <v/>
      </c>
    </row>
    <row r="87">
      <c r="A87" s="4" t="inlineStr">
        <is>
          <t>Autonomy</t>
        </is>
      </c>
      <c r="B87" s="4" t="inlineStr">
        <is>
          <t>CD</t>
        </is>
      </c>
      <c r="C87" s="4" t="n">
        <v>2035</v>
      </c>
      <c r="D87" s="12">
        <f>SUMIFS(Penetration!$F$6:$F$368,Penetration!$A$6:$A$368,$A87,Penetration!$B$6:$B$368,$B87,Penetration!$D$6:$D$368,$C87)</f>
        <v/>
      </c>
    </row>
    <row r="88">
      <c r="A88" s="4" t="inlineStr">
        <is>
          <t>Autonomy</t>
        </is>
      </c>
      <c r="B88" s="4" t="inlineStr">
        <is>
          <t>CD</t>
        </is>
      </c>
      <c r="C88" s="4" t="n">
        <v>2040</v>
      </c>
      <c r="D88" s="12">
        <f>SUMIFS(Penetration!$F$6:$F$368,Penetration!$A$6:$A$368,$A88,Penetration!$B$6:$B$368,$B88,Penetration!$D$6:$D$368,$C88)</f>
        <v/>
      </c>
    </row>
    <row r="89">
      <c r="A89" s="4" t="inlineStr">
        <is>
          <t>Autonomy</t>
        </is>
      </c>
      <c r="B89" s="4" t="inlineStr">
        <is>
          <t>CD</t>
        </is>
      </c>
      <c r="C89" s="4" t="n">
        <v>2045</v>
      </c>
      <c r="D89" s="12">
        <f>SUMIFS(Penetration!$F$6:$F$368,Penetration!$A$6:$A$368,$A89,Penetration!$B$6:$B$368,$B89,Penetration!$D$6:$D$368,$C89)</f>
        <v/>
      </c>
    </row>
    <row r="90">
      <c r="A90" s="4" t="inlineStr">
        <is>
          <t>Autonomy</t>
        </is>
      </c>
      <c r="B90" s="4" t="inlineStr">
        <is>
          <t>CD</t>
        </is>
      </c>
      <c r="C90" s="4" t="n">
        <v>2050</v>
      </c>
      <c r="D90" s="12">
        <f>SUMIFS(Penetration!$F$6:$F$368,Penetration!$A$6:$A$368,$A90,Penetration!$B$6:$B$368,$B90,Penetration!$D$6:$D$368,$C90)</f>
        <v/>
      </c>
    </row>
    <row r="91">
      <c r="A91" s="4" t="inlineStr">
        <is>
          <t>Autonomy</t>
        </is>
      </c>
      <c r="B91" s="4" t="inlineStr">
        <is>
          <t>CD</t>
        </is>
      </c>
      <c r="C91" s="4" t="n">
        <v>2060</v>
      </c>
      <c r="D91" s="12">
        <f>SUMIFS(Penetration!$F$6:$F$368,Penetration!$A$6:$A$368,$A91,Penetration!$B$6:$B$368,$B91,Penetration!$D$6:$D$368,$C91)</f>
        <v/>
      </c>
    </row>
    <row r="92">
      <c r="A92" s="4" t="inlineStr">
        <is>
          <t>Autonomy</t>
        </is>
      </c>
      <c r="B92" s="4" t="inlineStr">
        <is>
          <t>CD</t>
        </is>
      </c>
      <c r="C92" s="4" t="n">
        <v>2070</v>
      </c>
      <c r="D92" s="12">
        <f>SUMIFS(Penetration!$F$6:$F$368,Penetration!$A$6:$A$368,$A92,Penetration!$B$6:$B$368,$B92,Penetration!$D$6:$D$368,$C92)</f>
        <v/>
      </c>
    </row>
    <row r="93">
      <c r="A93" s="4" t="inlineStr">
        <is>
          <t>Autonomy</t>
        </is>
      </c>
      <c r="B93" s="4" t="inlineStr">
        <is>
          <t>EF</t>
        </is>
      </c>
      <c r="C93" s="4" t="n">
        <v>2010</v>
      </c>
      <c r="D93" s="12">
        <f>SUMIFS(Penetration!$F$6:$F$368,Penetration!$A$6:$A$368,$A93,Penetration!$B$6:$B$368,$B93,Penetration!$D$6:$D$368,$C93)</f>
        <v/>
      </c>
    </row>
    <row r="94">
      <c r="A94" s="4" t="inlineStr">
        <is>
          <t>Autonomy</t>
        </is>
      </c>
      <c r="B94" s="4" t="inlineStr">
        <is>
          <t>EF</t>
        </is>
      </c>
      <c r="C94" s="4" t="n">
        <v>2015</v>
      </c>
      <c r="D94" s="12">
        <f>SUMIFS(Penetration!$F$6:$F$368,Penetration!$A$6:$A$368,$A94,Penetration!$B$6:$B$368,$B94,Penetration!$D$6:$D$368,$C94)</f>
        <v/>
      </c>
    </row>
    <row r="95">
      <c r="A95" s="4" t="inlineStr">
        <is>
          <t>Autonomy</t>
        </is>
      </c>
      <c r="B95" s="4" t="inlineStr">
        <is>
          <t>EF</t>
        </is>
      </c>
      <c r="C95" s="4" t="n">
        <v>2020</v>
      </c>
      <c r="D95" s="12">
        <f>SUMIFS(Penetration!$F$6:$F$368,Penetration!$A$6:$A$368,$A95,Penetration!$B$6:$B$368,$B95,Penetration!$D$6:$D$368,$C95)</f>
        <v/>
      </c>
    </row>
    <row r="96">
      <c r="A96" s="4" t="inlineStr">
        <is>
          <t>Autonomy</t>
        </is>
      </c>
      <c r="B96" s="4" t="inlineStr">
        <is>
          <t>EF</t>
        </is>
      </c>
      <c r="C96" s="4" t="n">
        <v>2025</v>
      </c>
      <c r="D96" s="12">
        <f>SUMIFS(Penetration!$F$6:$F$368,Penetration!$A$6:$A$368,$A96,Penetration!$B$6:$B$368,$B96,Penetration!$D$6:$D$368,$C96)</f>
        <v/>
      </c>
    </row>
    <row r="97">
      <c r="A97" s="4" t="inlineStr">
        <is>
          <t>Autonomy</t>
        </is>
      </c>
      <c r="B97" s="4" t="inlineStr">
        <is>
          <t>EF</t>
        </is>
      </c>
      <c r="C97" s="4" t="n">
        <v>2030</v>
      </c>
      <c r="D97" s="12">
        <f>SUMIFS(Penetration!$F$6:$F$368,Penetration!$A$6:$A$368,$A97,Penetration!$B$6:$B$368,$B97,Penetration!$D$6:$D$368,$C97)</f>
        <v/>
      </c>
    </row>
    <row r="98">
      <c r="A98" s="4" t="inlineStr">
        <is>
          <t>Autonomy</t>
        </is>
      </c>
      <c r="B98" s="4" t="inlineStr">
        <is>
          <t>EF</t>
        </is>
      </c>
      <c r="C98" s="4" t="n">
        <v>2035</v>
      </c>
      <c r="D98" s="12">
        <f>SUMIFS(Penetration!$F$6:$F$368,Penetration!$A$6:$A$368,$A98,Penetration!$B$6:$B$368,$B98,Penetration!$D$6:$D$368,$C98)</f>
        <v/>
      </c>
    </row>
    <row r="99">
      <c r="A99" s="4" t="inlineStr">
        <is>
          <t>Autonomy</t>
        </is>
      </c>
      <c r="B99" s="4" t="inlineStr">
        <is>
          <t>EF</t>
        </is>
      </c>
      <c r="C99" s="4" t="n">
        <v>2040</v>
      </c>
      <c r="D99" s="12">
        <f>SUMIFS(Penetration!$F$6:$F$368,Penetration!$A$6:$A$368,$A99,Penetration!$B$6:$B$368,$B99,Penetration!$D$6:$D$368,$C99)</f>
        <v/>
      </c>
    </row>
    <row r="100">
      <c r="A100" s="4" t="inlineStr">
        <is>
          <t>Autonomy</t>
        </is>
      </c>
      <c r="B100" s="4" t="inlineStr">
        <is>
          <t>EF</t>
        </is>
      </c>
      <c r="C100" s="4" t="n">
        <v>2045</v>
      </c>
      <c r="D100" s="12">
        <f>SUMIFS(Penetration!$F$6:$F$368,Penetration!$A$6:$A$368,$A100,Penetration!$B$6:$B$368,$B100,Penetration!$D$6:$D$368,$C100)</f>
        <v/>
      </c>
    </row>
    <row r="101">
      <c r="A101" s="4" t="inlineStr">
        <is>
          <t>Autonomy</t>
        </is>
      </c>
      <c r="B101" s="4" t="inlineStr">
        <is>
          <t>EF</t>
        </is>
      </c>
      <c r="C101" s="4" t="n">
        <v>2050</v>
      </c>
      <c r="D101" s="12">
        <f>SUMIFS(Penetration!$F$6:$F$368,Penetration!$A$6:$A$368,$A101,Penetration!$B$6:$B$368,$B101,Penetration!$D$6:$D$368,$C101)</f>
        <v/>
      </c>
    </row>
    <row r="102">
      <c r="A102" s="4" t="inlineStr">
        <is>
          <t>Autonomy</t>
        </is>
      </c>
      <c r="B102" s="4" t="inlineStr">
        <is>
          <t>EF</t>
        </is>
      </c>
      <c r="C102" s="4" t="n">
        <v>2060</v>
      </c>
      <c r="D102" s="12">
        <f>SUMIFS(Penetration!$F$6:$F$368,Penetration!$A$6:$A$368,$A102,Penetration!$B$6:$B$368,$B102,Penetration!$D$6:$D$368,$C102)</f>
        <v/>
      </c>
    </row>
    <row r="103">
      <c r="A103" s="4" t="inlineStr">
        <is>
          <t>Autonomy</t>
        </is>
      </c>
      <c r="B103" s="4" t="inlineStr">
        <is>
          <t>EF</t>
        </is>
      </c>
      <c r="C103" s="4" t="n">
        <v>2070</v>
      </c>
      <c r="D103" s="12">
        <f>SUMIFS(Penetration!$F$6:$F$368,Penetration!$A$6:$A$368,$A103,Penetration!$B$6:$B$368,$B103,Penetration!$D$6:$D$368,$C103)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10" defaultColWidth="8.83203125" defaultRowHeight="15"/>
  <cols>
    <col width="13" customWidth="1" min="1" max="1"/>
    <col width="118" customWidth="1" min="2" max="2"/>
  </cols>
  <sheetData>
    <row r="1" ht="16" customHeight="1">
      <c r="A1" s="1" t="inlineStr">
        <is>
          <t>What is yours, what is mine, and what is still missing</t>
        </is>
      </c>
    </row>
    <row r="3">
      <c r="A3" s="13" t="inlineStr">
        <is>
          <t>FROM YOU</t>
        </is>
      </c>
      <c r="B3" s="14" t="inlineStr">
        <is>
          <t>EF already L3 in 2025; L4 ~20% by 2030; L5 ~20% by 2035; full adoption 2040-45.</t>
        </is>
      </c>
    </row>
    <row r="4">
      <c r="A4" s="13" t="inlineStr">
        <is>
          <t>FROM YOU</t>
        </is>
      </c>
      <c r="B4" s="14" t="inlineStr">
        <is>
          <t>CD already reads signs and some lane following, but not full street driving -&gt; treated as L2 dominant.</t>
        </is>
      </c>
    </row>
    <row r="5">
      <c r="A5" s="13" t="inlineStr">
        <is>
          <t>FROM YOU</t>
        </is>
      </c>
      <c r="B5" s="14" t="inlineStr">
        <is>
          <t>AB has not started, except EU-mandated features such as collision avoidance -&gt; treated as L0/L1.</t>
        </is>
      </c>
    </row>
    <row r="6">
      <c r="A6" s="13" t="inlineStr">
        <is>
          <t>FROM YOU</t>
        </is>
      </c>
      <c r="B6" s="14" t="inlineStr">
        <is>
          <t>Transitions mean old designs persist while new ones phase in, which should WIDEN uncertainty.</t>
        </is>
      </c>
    </row>
    <row r="7">
      <c r="A7" s="13" t="inlineStr">
        <is>
          <t>FROM YOU</t>
        </is>
      </c>
      <c r="B7" s="14" t="inlineStr">
        <is>
          <t>BEV entry ~2010; do not model earlier.</t>
        </is>
      </c>
    </row>
    <row r="8">
      <c r="A8" s="13" t="inlineStr">
        <is>
          <t>FROM YOU</t>
        </is>
      </c>
      <c r="B8" s="14" t="inlineStr">
        <is>
          <t>New architecture shortens wiring, but new sensors lengthen it. Both must act independently.</t>
        </is>
      </c>
    </row>
    <row r="9">
      <c r="A9" s="14" t="n"/>
      <c r="B9" s="14" t="n"/>
    </row>
    <row r="10">
      <c r="A10" s="13" t="inlineStr">
        <is>
          <t>MY GUESS</t>
        </is>
      </c>
      <c r="B10" s="14" t="inlineStr">
        <is>
          <t>Everything on Sensors_per_Level. No source. Most consequential sheet in the file - please review first.</t>
        </is>
      </c>
    </row>
    <row r="11">
      <c r="A11" s="13" t="inlineStr">
        <is>
          <t>MY GUESS</t>
        </is>
      </c>
      <c r="B11" s="14" t="inlineStr">
        <is>
          <t>Radar and lidar metres-per-sensor. CORRECTED 2026-08-05: 06_ DOES have radar and lidar rows (components Front long-range radar, Corner short/mid-range radars, LiDAR sensor); their SensorType values are the physical parts (RF transceiver, laser diode array, photodetector array), not the words radar/lidar. Its EF radar (5) and lidar (0-1) counts match the measured EQS, i7 and EX90 exactly. The METRES-PER-SENSOR figures remain assumptions - that part of this note stands.</t>
        </is>
      </c>
    </row>
    <row r="12">
      <c r="A12" s="13" t="inlineStr">
        <is>
          <t>MY GUESS</t>
        </is>
      </c>
      <c r="B12" s="14" t="inlineStr">
        <is>
          <t>CD and AB autonomy shares away from the years you specified.</t>
        </is>
      </c>
    </row>
    <row r="13">
      <c r="A13" s="13" t="inlineStr">
        <is>
          <t>MY GUESS</t>
        </is>
      </c>
      <c r="B13" s="14" t="inlineStr">
        <is>
          <t>Conventional-&gt;Transitional architecture timing (EF 2016/2026, CD 2018/2029, AB 2020/2032).</t>
        </is>
      </c>
    </row>
    <row r="14">
      <c r="A14" s="13" t="inlineStr">
        <is>
          <t>MY GUESS</t>
        </is>
      </c>
      <c r="B14" s="14" t="inlineStr">
        <is>
          <t>The +/-0.12 share band on every derived row. Widen where you are less sure.</t>
        </is>
      </c>
    </row>
    <row r="15">
      <c r="A15" s="14" t="n"/>
      <c r="B15" s="14" t="n"/>
    </row>
    <row r="16">
      <c r="A16" s="13" t="inlineStr">
        <is>
          <t>GAP</t>
        </is>
      </c>
      <c r="B16" s="14" t="inlineStr">
        <is>
          <t>CORRECTED 2026-08-05: the claim that 06_ has NO radar and NO lidar rows was WRONG - it was a naming mismatch, not missing data (see row 11). The real gap is that 06_ has no TIME and no TIER dimension, and that its camera counts are low (EF max 5 vs 6-10 measured). See Data/Sources/ADAS_Sensor_Adoption_Report_2025_2070.md section 2.3.</t>
        </is>
      </c>
    </row>
    <row r="17">
      <c r="A17" s="13" t="inlineStr">
        <is>
          <t>GAP</t>
        </is>
      </c>
      <c r="B17" s="14" t="inlineStr">
        <is>
          <t>SensorNumbersMC must gain the same time horizon and read this file, or the two models will diverge.</t>
        </is>
      </c>
    </row>
    <row r="18">
      <c r="A18" s="14" t="n"/>
      <c r="B18" s="14" t="n"/>
    </row>
    <row r="19">
      <c r="A19" s="13" t="inlineStr">
        <is>
          <t>SUPERSEDES</t>
        </is>
      </c>
      <c r="B19" s="14" t="inlineStr">
        <is>
          <t>16_BEV_wiring_transition_parameters.xlsx - kept for reference, no longer the input.</t>
        </is>
      </c>
    </row>
    <row r="20">
      <c r="A20" s="13" t="inlineStr">
        <is>
          <t>MECHANISM</t>
        </is>
      </c>
      <c r="B20" s="14" t="inlineStr">
        <is>
          <t>Architecture state is drawn DISCRETELY per iteration, not share-weighted: a vehicle is either an old</t>
        </is>
      </c>
    </row>
    <row r="21">
      <c r="A21" s="14" t="n"/>
      <c r="B21" s="14" t="inlineStr">
        <is>
          <t>design or a new one. Uncertainty then peaks mid-transition (band ~188% of median vs ~71% once settled),</t>
        </is>
      </c>
    </row>
    <row r="22">
      <c r="A22" s="14" t="n"/>
      <c r="B22" s="14" t="inlineStr">
        <is>
          <t>which is the behaviour you described. Share-weighting averaged it away.</t>
        </is>
      </c>
    </row>
    <row r="24">
      <c r="A24" s="25" t="inlineStr">
        <is>
          <t>SUPERSEDED</t>
        </is>
      </c>
      <c r="B24" s="26" t="inlineStr">
        <is>
          <t>2026-08-05: sheet Sensors_per_Level is NO LONGER READ by Wiring/BevWiring.py. It was keyed on SAE CERTIFICATION level; the model now uses an installed-HARDWARE-TIER axis in Data/19_ADAS_sensor_adoption.xlsx (drivers A/B/C). Sheet Metres_per_Sensor IS still read, unchanged. Set USE_TIER_AXIS=False in BevWiring.py section 0 to restore the old path for comparison. Rationale: Wiring/AUTONOMY_LEVELS_VS_HARDWARE.md.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10" defaultColWidth="8.83203125" defaultRowHeight="15"/>
  <cols>
    <col width="10" customWidth="1" min="1" max="1"/>
    <col width="9" customWidth="1" min="2" max="7"/>
  </cols>
  <sheetData>
    <row r="1" ht="16" customHeight="1">
      <c r="A1" s="1" t="inlineStr">
        <is>
          <t>SOURCE: your BEV_Automation_Adoption_Report_2020_2050.md, Section 6</t>
        </is>
      </c>
    </row>
    <row r="2">
      <c r="A2" s="2" t="inlineStr">
        <is>
          <t>% of GLOBAL IN-USE BEV FLEET by maximum SAE capability. Each row sums to 100.</t>
        </is>
      </c>
    </row>
    <row r="3">
      <c r="A3" s="15" t="inlineStr">
        <is>
          <t>WARNING: the report calls these scenarios AB / CD / EF. Those are NOT vehicle size segments. Renamed here to avoid the collision.</t>
        </is>
      </c>
    </row>
    <row r="5">
      <c r="A5" s="16" t="inlineStr">
        <is>
          <t>Conservative  (report calls this 'AB')</t>
        </is>
      </c>
    </row>
    <row r="6">
      <c r="A6" s="8" t="inlineStr">
        <is>
          <t>Year</t>
        </is>
      </c>
      <c r="B6" s="8" t="inlineStr">
        <is>
          <t>L0</t>
        </is>
      </c>
      <c r="C6" s="8" t="inlineStr">
        <is>
          <t>L1</t>
        </is>
      </c>
      <c r="D6" s="8" t="inlineStr">
        <is>
          <t>L2</t>
        </is>
      </c>
      <c r="E6" s="8" t="inlineStr">
        <is>
          <t>L3</t>
        </is>
      </c>
      <c r="F6" s="8" t="inlineStr">
        <is>
          <t>L4</t>
        </is>
      </c>
      <c r="G6" s="8" t="inlineStr">
        <is>
          <t>L5</t>
        </is>
      </c>
    </row>
    <row r="7">
      <c r="A7" s="4" t="n">
        <v>2020</v>
      </c>
      <c r="B7" s="6" t="n">
        <v>0.35</v>
      </c>
      <c r="C7" s="6" t="n">
        <v>0.1</v>
      </c>
      <c r="D7" s="6" t="n">
        <v>0.53</v>
      </c>
      <c r="E7" s="6" t="n">
        <v>0.02</v>
      </c>
      <c r="F7" s="6" t="n">
        <v>0</v>
      </c>
      <c r="G7" s="6" t="n">
        <v>0</v>
      </c>
    </row>
    <row r="8">
      <c r="A8" s="4" t="n">
        <v>2025</v>
      </c>
      <c r="B8" s="6" t="n">
        <v>0.2</v>
      </c>
      <c r="C8" s="6" t="n">
        <v>0.08</v>
      </c>
      <c r="D8" s="6" t="n">
        <v>0.64</v>
      </c>
      <c r="E8" s="6" t="n">
        <v>0.07000000000000001</v>
      </c>
      <c r="F8" s="6" t="n">
        <v>0.01</v>
      </c>
      <c r="G8" s="6" t="n">
        <v>0</v>
      </c>
    </row>
    <row r="9">
      <c r="A9" s="4" t="n">
        <v>2030</v>
      </c>
      <c r="B9" s="6" t="n">
        <v>0.1</v>
      </c>
      <c r="C9" s="6" t="n">
        <v>0.05</v>
      </c>
      <c r="D9" s="6" t="n">
        <v>0.7</v>
      </c>
      <c r="E9" s="6" t="n">
        <v>0.12</v>
      </c>
      <c r="F9" s="6" t="n">
        <v>0.03</v>
      </c>
      <c r="G9" s="6" t="n">
        <v>0</v>
      </c>
    </row>
    <row r="10">
      <c r="A10" s="4" t="n">
        <v>2035</v>
      </c>
      <c r="B10" s="6" t="n">
        <v>0.07000000000000001</v>
      </c>
      <c r="C10" s="6" t="n">
        <v>0.04</v>
      </c>
      <c r="D10" s="6" t="n">
        <v>0.68</v>
      </c>
      <c r="E10" s="6" t="n">
        <v>0.16</v>
      </c>
      <c r="F10" s="6" t="n">
        <v>0.05</v>
      </c>
      <c r="G10" s="6" t="n">
        <v>0</v>
      </c>
    </row>
    <row r="11">
      <c r="A11" s="4" t="n">
        <v>2040</v>
      </c>
      <c r="B11" s="6" t="n">
        <v>0.05</v>
      </c>
      <c r="C11" s="6" t="n">
        <v>0.03</v>
      </c>
      <c r="D11" s="6" t="n">
        <v>0.64</v>
      </c>
      <c r="E11" s="6" t="n">
        <v>0.2</v>
      </c>
      <c r="F11" s="6" t="n">
        <v>0.07000000000000001</v>
      </c>
      <c r="G11" s="6" t="n">
        <v>0.01</v>
      </c>
    </row>
    <row r="12">
      <c r="A12" s="4" t="n">
        <v>2045</v>
      </c>
      <c r="B12" s="6" t="n">
        <v>0.04</v>
      </c>
      <c r="C12" s="6" t="n">
        <v>0.02</v>
      </c>
      <c r="D12" s="6" t="n">
        <v>0.59</v>
      </c>
      <c r="E12" s="6" t="n">
        <v>0.24</v>
      </c>
      <c r="F12" s="6" t="n">
        <v>0.1</v>
      </c>
      <c r="G12" s="6" t="n">
        <v>0.01</v>
      </c>
    </row>
    <row r="13">
      <c r="A13" s="4" t="n">
        <v>2050</v>
      </c>
      <c r="B13" s="6" t="n">
        <v>0.03</v>
      </c>
      <c r="C13" s="6" t="n">
        <v>0.02</v>
      </c>
      <c r="D13" s="6" t="n">
        <v>0.54</v>
      </c>
      <c r="E13" s="6" t="n">
        <v>0.27</v>
      </c>
      <c r="F13" s="6" t="n">
        <v>0.12</v>
      </c>
      <c r="G13" s="6" t="n">
        <v>0.02</v>
      </c>
    </row>
    <row r="16">
      <c r="A16" s="16" t="inlineStr">
        <is>
          <t>Central  (report calls this 'CD')</t>
        </is>
      </c>
    </row>
    <row r="17">
      <c r="A17" s="8" t="inlineStr">
        <is>
          <t>Year</t>
        </is>
      </c>
      <c r="B17" s="8" t="inlineStr">
        <is>
          <t>L0</t>
        </is>
      </c>
      <c r="C17" s="8" t="inlineStr">
        <is>
          <t>L1</t>
        </is>
      </c>
      <c r="D17" s="8" t="inlineStr">
        <is>
          <t>L2</t>
        </is>
      </c>
      <c r="E17" s="8" t="inlineStr">
        <is>
          <t>L3</t>
        </is>
      </c>
      <c r="F17" s="8" t="inlineStr">
        <is>
          <t>L4</t>
        </is>
      </c>
      <c r="G17" s="8" t="inlineStr">
        <is>
          <t>L5</t>
        </is>
      </c>
    </row>
    <row r="18">
      <c r="A18" s="4" t="n">
        <v>2020</v>
      </c>
      <c r="B18" s="6" t="n">
        <v>0.35</v>
      </c>
      <c r="C18" s="6" t="n">
        <v>0.1</v>
      </c>
      <c r="D18" s="6" t="n">
        <v>0.53</v>
      </c>
      <c r="E18" s="6" t="n">
        <v>0.02</v>
      </c>
      <c r="F18" s="6" t="n">
        <v>0</v>
      </c>
      <c r="G18" s="6" t="n">
        <v>0</v>
      </c>
    </row>
    <row r="19">
      <c r="A19" s="4" t="n">
        <v>2025</v>
      </c>
      <c r="B19" s="6" t="n">
        <v>0.18</v>
      </c>
      <c r="C19" s="6" t="n">
        <v>0.07000000000000001</v>
      </c>
      <c r="D19" s="6" t="n">
        <v>0.65</v>
      </c>
      <c r="E19" s="6" t="n">
        <v>0.08</v>
      </c>
      <c r="F19" s="6" t="n">
        <v>0.02</v>
      </c>
      <c r="G19" s="6" t="n">
        <v>0</v>
      </c>
    </row>
    <row r="20">
      <c r="A20" s="4" t="n">
        <v>2030</v>
      </c>
      <c r="B20" s="6" t="n">
        <v>0.08</v>
      </c>
      <c r="C20" s="6" t="n">
        <v>0.04</v>
      </c>
      <c r="D20" s="6" t="n">
        <v>0.6899999999999999</v>
      </c>
      <c r="E20" s="6" t="n">
        <v>0.14</v>
      </c>
      <c r="F20" s="6" t="n">
        <v>0.05</v>
      </c>
      <c r="G20" s="6" t="n">
        <v>0</v>
      </c>
    </row>
    <row r="21">
      <c r="A21" s="4" t="n">
        <v>2035</v>
      </c>
      <c r="B21" s="6" t="n">
        <v>0.05</v>
      </c>
      <c r="C21" s="6" t="n">
        <v>0.03</v>
      </c>
      <c r="D21" s="6" t="n">
        <v>0.63</v>
      </c>
      <c r="E21" s="6" t="n">
        <v>0.19</v>
      </c>
      <c r="F21" s="6" t="n">
        <v>0.09</v>
      </c>
      <c r="G21" s="6" t="n">
        <v>0.01</v>
      </c>
    </row>
    <row r="22">
      <c r="A22" s="4" t="n">
        <v>2040</v>
      </c>
      <c r="B22" s="6" t="n">
        <v>0.03</v>
      </c>
      <c r="C22" s="6" t="n">
        <v>0.02</v>
      </c>
      <c r="D22" s="6" t="n">
        <v>0.55</v>
      </c>
      <c r="E22" s="6" t="n">
        <v>0.22</v>
      </c>
      <c r="F22" s="6" t="n">
        <v>0.16</v>
      </c>
      <c r="G22" s="6" t="n">
        <v>0.02</v>
      </c>
    </row>
    <row r="23">
      <c r="A23" s="4" t="n">
        <v>2045</v>
      </c>
      <c r="B23" s="6" t="n">
        <v>0.02</v>
      </c>
      <c r="C23" s="6" t="n">
        <v>0.01</v>
      </c>
      <c r="D23" s="6" t="n">
        <v>0.47</v>
      </c>
      <c r="E23" s="6" t="n">
        <v>0.23</v>
      </c>
      <c r="F23" s="6" t="n">
        <v>0.24</v>
      </c>
      <c r="G23" s="6" t="n">
        <v>0.03</v>
      </c>
    </row>
    <row r="24">
      <c r="A24" s="4" t="n">
        <v>2050</v>
      </c>
      <c r="B24" s="6" t="n">
        <v>0.01</v>
      </c>
      <c r="C24" s="6" t="n">
        <v>0.01</v>
      </c>
      <c r="D24" s="6" t="n">
        <v>0.39</v>
      </c>
      <c r="E24" s="6" t="n">
        <v>0.23</v>
      </c>
      <c r="F24" s="6" t="n">
        <v>0.31</v>
      </c>
      <c r="G24" s="6" t="n">
        <v>0.05</v>
      </c>
    </row>
    <row r="27">
      <c r="A27" s="16" t="inlineStr">
        <is>
          <t>Accelerated  (report calls this 'EF')</t>
        </is>
      </c>
    </row>
    <row r="28">
      <c r="A28" s="8" t="inlineStr">
        <is>
          <t>Year</t>
        </is>
      </c>
      <c r="B28" s="8" t="inlineStr">
        <is>
          <t>L0</t>
        </is>
      </c>
      <c r="C28" s="8" t="inlineStr">
        <is>
          <t>L1</t>
        </is>
      </c>
      <c r="D28" s="8" t="inlineStr">
        <is>
          <t>L2</t>
        </is>
      </c>
      <c r="E28" s="8" t="inlineStr">
        <is>
          <t>L3</t>
        </is>
      </c>
      <c r="F28" s="8" t="inlineStr">
        <is>
          <t>L4</t>
        </is>
      </c>
      <c r="G28" s="8" t="inlineStr">
        <is>
          <t>L5</t>
        </is>
      </c>
    </row>
    <row r="29">
      <c r="A29" s="4" t="n">
        <v>2020</v>
      </c>
      <c r="B29" s="6" t="n">
        <v>0.35</v>
      </c>
      <c r="C29" s="6" t="n">
        <v>0.1</v>
      </c>
      <c r="D29" s="6" t="n">
        <v>0.53</v>
      </c>
      <c r="E29" s="6" t="n">
        <v>0.02</v>
      </c>
      <c r="F29" s="6" t="n">
        <v>0</v>
      </c>
      <c r="G29" s="6" t="n">
        <v>0</v>
      </c>
    </row>
    <row r="30">
      <c r="A30" s="4" t="n">
        <v>2025</v>
      </c>
      <c r="B30" s="6" t="n">
        <v>0.16</v>
      </c>
      <c r="C30" s="6" t="n">
        <v>0.06</v>
      </c>
      <c r="D30" s="6" t="n">
        <v>0.66</v>
      </c>
      <c r="E30" s="6" t="n">
        <v>0.09</v>
      </c>
      <c r="F30" s="6" t="n">
        <v>0.03</v>
      </c>
      <c r="G30" s="6" t="n">
        <v>0</v>
      </c>
    </row>
    <row r="31">
      <c r="A31" s="4" t="n">
        <v>2030</v>
      </c>
      <c r="B31" s="6" t="n">
        <v>0.06</v>
      </c>
      <c r="C31" s="6" t="n">
        <v>0.03</v>
      </c>
      <c r="D31" s="6" t="n">
        <v>0.68</v>
      </c>
      <c r="E31" s="6" t="n">
        <v>0.16</v>
      </c>
      <c r="F31" s="6" t="n">
        <v>0.07000000000000001</v>
      </c>
      <c r="G31" s="6" t="n">
        <v>0</v>
      </c>
    </row>
    <row r="32">
      <c r="A32" s="4" t="n">
        <v>2035</v>
      </c>
      <c r="B32" s="6" t="n">
        <v>0.03</v>
      </c>
      <c r="C32" s="6" t="n">
        <v>0.02</v>
      </c>
      <c r="D32" s="6" t="n">
        <v>0.59</v>
      </c>
      <c r="E32" s="6" t="n">
        <v>0.2</v>
      </c>
      <c r="F32" s="6" t="n">
        <v>0.14</v>
      </c>
      <c r="G32" s="6" t="n">
        <v>0.02</v>
      </c>
    </row>
    <row r="33">
      <c r="A33" s="4" t="n">
        <v>2040</v>
      </c>
      <c r="B33" s="6" t="n">
        <v>0.02</v>
      </c>
      <c r="C33" s="6" t="n">
        <v>0.01</v>
      </c>
      <c r="D33" s="6" t="n">
        <v>0.47</v>
      </c>
      <c r="E33" s="6" t="n">
        <v>0.2</v>
      </c>
      <c r="F33" s="6" t="n">
        <v>0.25</v>
      </c>
      <c r="G33" s="6" t="n">
        <v>0.05</v>
      </c>
    </row>
    <row r="34">
      <c r="A34" s="4" t="n">
        <v>2045</v>
      </c>
      <c r="B34" s="6" t="n">
        <v>0.01</v>
      </c>
      <c r="C34" s="6" t="n">
        <v>0.01</v>
      </c>
      <c r="D34" s="6" t="n">
        <v>0.36</v>
      </c>
      <c r="E34" s="6" t="n">
        <v>0.18</v>
      </c>
      <c r="F34" s="6" t="n">
        <v>0.36</v>
      </c>
      <c r="G34" s="6" t="n">
        <v>0.08</v>
      </c>
    </row>
    <row r="35">
      <c r="A35" s="4" t="n">
        <v>2050</v>
      </c>
      <c r="B35" s="6" t="n">
        <v>0.01</v>
      </c>
      <c r="C35" s="6" t="n">
        <v>0</v>
      </c>
      <c r="D35" s="6" t="n">
        <v>0.29</v>
      </c>
      <c r="E35" s="6" t="n">
        <v>0.15</v>
      </c>
      <c r="F35" s="6" t="n">
        <v>0.44</v>
      </c>
      <c r="G35" s="6" t="n">
        <v>0.11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10" defaultColWidth="8.83203125" defaultRowHeight="15"/>
  <cols>
    <col width="24" customWidth="1" min="1" max="1"/>
    <col width="12" customWidth="1" min="2" max="2"/>
    <col width="104" customWidth="1" min="3" max="3"/>
  </cols>
  <sheetData>
    <row r="1" ht="16" customHeight="1">
      <c r="A1" s="1" t="inlineStr">
        <is>
          <t>Conversion: global in-use fleet  -&gt;  European private NEW VEHICLES SOLD, by size segment</t>
        </is>
      </c>
    </row>
    <row r="2">
      <c r="A2" s="2" t="inlineStr">
        <is>
          <t>Edit the yellow cells. Every number on Autonomy_Derived recalculates. This is where you generate different scenarios.</t>
        </is>
      </c>
    </row>
    <row r="4">
      <c r="A4" s="8" t="inlineStr">
        <is>
          <t>Parameter</t>
        </is>
      </c>
      <c r="B4" s="8" t="inlineStr">
        <is>
          <t>Value</t>
        </is>
      </c>
      <c r="C4" s="8" t="inlineStr">
        <is>
          <t>Meaning</t>
        </is>
      </c>
    </row>
    <row r="5">
      <c r="A5" s="17" t="inlineStr">
        <is>
          <t>Fleet_to_NewSales_lead_y</t>
        </is>
      </c>
      <c r="B5" s="10" t="n">
        <v>7</v>
      </c>
      <c r="C5" s="18" t="inlineStr">
        <is>
          <t>New sales LEAD the parc by roughly the mean fleet age. Positive = new sales are ahead. Raises the numbers.</t>
        </is>
      </c>
    </row>
    <row r="6">
      <c r="A6" s="17" t="inlineStr">
        <is>
          <t>Private_lag_y</t>
        </is>
      </c>
      <c r="B6" s="10" t="n">
        <v>5</v>
      </c>
      <c r="C6" s="18" t="inlineStr">
        <is>
          <t>YOUR INPUT: private adoption follows robotaxi/commercial by ~5 years. Lowers the numbers.</t>
        </is>
      </c>
    </row>
    <row r="7">
      <c r="A7" s="17" t="inlineStr">
        <is>
          <t>Europe_shift_y</t>
        </is>
      </c>
      <c r="B7" s="10" t="n">
        <v>0</v>
      </c>
      <c r="C7" s="18" t="inlineStr">
        <is>
          <t>Europe vs global. Goldman's only regional figure is 2040 (EU ~80%, US ~65%, CN ~90%) - roughly neutral.</t>
        </is>
      </c>
    </row>
    <row r="8">
      <c r="A8" s="17" t="inlineStr">
        <is>
          <t>Offset_EF_y</t>
        </is>
      </c>
      <c r="B8" s="10" t="n">
        <v>-5</v>
      </c>
      <c r="C8" s="18" t="inlineStr">
        <is>
          <t>EF leads the market average (premium first). Negative = earlier.</t>
        </is>
      </c>
    </row>
    <row r="9">
      <c r="A9" s="17" t="inlineStr">
        <is>
          <t>Offset_CD_y</t>
        </is>
      </c>
      <c r="B9" s="10" t="n">
        <v>0</v>
      </c>
      <c r="C9" s="18" t="inlineStr">
        <is>
          <t>CD tracks the market average.</t>
        </is>
      </c>
    </row>
    <row r="10">
      <c r="A10" s="17" t="inlineStr">
        <is>
          <t>Offset_AB_y</t>
        </is>
      </c>
      <c r="B10" s="10" t="n">
        <v>5</v>
      </c>
      <c r="C10" s="18" t="inlineStr">
        <is>
          <t>AB lags (cost sensitive).</t>
        </is>
      </c>
    </row>
    <row r="11">
      <c r="A11" s="17" t="n"/>
      <c r="B11" s="19" t="n"/>
      <c r="C11" s="18" t="n"/>
    </row>
    <row r="12">
      <c r="A12" s="17" t="inlineStr">
        <is>
          <t>NET_SHIFT_EF</t>
        </is>
      </c>
      <c r="B12" s="20">
        <f>-$B$5+$B$6+$B$7+B8</f>
        <v/>
      </c>
      <c r="C12" s="18" t="n"/>
    </row>
    <row r="13">
      <c r="A13" s="17" t="inlineStr">
        <is>
          <t>NET_SHIFT_CD</t>
        </is>
      </c>
      <c r="B13" s="20">
        <f>-$B$5+$B$6+$B$7+B9</f>
        <v/>
      </c>
      <c r="C13" s="18" t="n"/>
    </row>
    <row r="14">
      <c r="A14" s="17" t="inlineStr">
        <is>
          <t>NET_SHIFT_AB</t>
        </is>
      </c>
      <c r="B14" s="20">
        <f>-$B$5+$B$6+$B$7+B10</f>
        <v/>
      </c>
      <c r="C14" s="18" t="n"/>
    </row>
    <row r="17" ht="16" customHeight="1">
      <c r="A17" s="1" t="inlineStr">
        <is>
          <t>Scenario -&gt; uncertainty band</t>
        </is>
      </c>
    </row>
    <row r="18">
      <c r="A18" s="13" t="inlineStr">
        <is>
          <t>Share_Min</t>
        </is>
      </c>
      <c r="B18" s="21" t="inlineStr">
        <is>
          <t>Conservative</t>
        </is>
      </c>
      <c r="C18" s="2" t="inlineStr">
        <is>
          <t>Swap these to re-map which scenario drives which edge of the band.</t>
        </is>
      </c>
    </row>
    <row r="19">
      <c r="A19" s="13" t="inlineStr">
        <is>
          <t>Share_Mode</t>
        </is>
      </c>
      <c r="B19" s="21" t="inlineStr">
        <is>
          <t>Central</t>
        </is>
      </c>
      <c r="C19" s="2" t="inlineStr">
        <is>
          <t>Swap these to re-map which scenario drives which edge of the band.</t>
        </is>
      </c>
    </row>
    <row r="20">
      <c r="A20" s="13" t="inlineStr">
        <is>
          <t>Share_Max</t>
        </is>
      </c>
      <c r="B20" s="21" t="inlineStr">
        <is>
          <t>Accelerated</t>
        </is>
      </c>
      <c r="C20" s="2" t="inlineStr">
        <is>
          <t>Swap these to re-map which scenario drives which edge of the band.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9" customWidth="1" min="1" max="1"/>
    <col width="7" customWidth="1" min="2" max="2"/>
    <col width="11" customWidth="1" min="3" max="3"/>
    <col width="13" customWidth="1" min="4" max="4"/>
    <col width="10" customWidth="1" min="5" max="23"/>
  </cols>
  <sheetData>
    <row r="1" ht="16" customHeight="1">
      <c r="A1" s="1" t="inlineStr">
        <is>
          <t>Autonomy shares - European private NEW VEHICLES SOLD, by size segment</t>
        </is>
      </c>
    </row>
    <row r="2">
      <c r="A2" s="2" t="inlineStr">
        <is>
          <t>Every value is a FORMULA reading Report_Scenarios through the lags on Conversion. Change a lag and the whole sheet moves. Raw = straight conversion. Norm = rescaled so the six levels sum to 1. OVERRIDE (green) wins where you type a number.</t>
        </is>
      </c>
    </row>
    <row r="4" ht="29" customHeight="1">
      <c r="A4" s="22" t="inlineStr">
        <is>
          <t>Segment</t>
        </is>
      </c>
      <c r="B4" s="22" t="inlineStr">
        <is>
          <t>Year</t>
        </is>
      </c>
      <c r="C4" s="22" t="inlineStr">
        <is>
          <t>Band</t>
        </is>
      </c>
      <c r="D4" s="22" t="inlineStr">
        <is>
          <t>Scenario used</t>
        </is>
      </c>
      <c r="E4" s="22" t="inlineStr">
        <is>
          <t>L0_raw</t>
        </is>
      </c>
      <c r="F4" s="22" t="inlineStr">
        <is>
          <t>L1_raw</t>
        </is>
      </c>
      <c r="G4" s="22" t="inlineStr">
        <is>
          <t>L2_raw</t>
        </is>
      </c>
      <c r="H4" s="22" t="inlineStr">
        <is>
          <t>L3_raw</t>
        </is>
      </c>
      <c r="I4" s="22" t="inlineStr">
        <is>
          <t>L4_raw</t>
        </is>
      </c>
      <c r="J4" s="22" t="inlineStr">
        <is>
          <t>L5_raw</t>
        </is>
      </c>
      <c r="K4" s="22" t="inlineStr">
        <is>
          <t>SUM_raw</t>
        </is>
      </c>
      <c r="L4" s="22" t="inlineStr">
        <is>
          <t>L0_norm</t>
        </is>
      </c>
      <c r="M4" s="22" t="inlineStr">
        <is>
          <t>L1_norm</t>
        </is>
      </c>
      <c r="N4" s="22" t="inlineStr">
        <is>
          <t>L2_norm</t>
        </is>
      </c>
      <c r="O4" s="22" t="inlineStr">
        <is>
          <t>L3_norm</t>
        </is>
      </c>
      <c r="P4" s="22" t="inlineStr">
        <is>
          <t>L4_norm</t>
        </is>
      </c>
      <c r="Q4" s="22" t="inlineStr">
        <is>
          <t>L5_norm</t>
        </is>
      </c>
      <c r="R4" s="22" t="inlineStr">
        <is>
          <t>L0_OVERRIDE</t>
        </is>
      </c>
      <c r="S4" s="22" t="inlineStr">
        <is>
          <t>L1_OVERRIDE</t>
        </is>
      </c>
      <c r="T4" s="22" t="inlineStr">
        <is>
          <t>L2_OVERRIDE</t>
        </is>
      </c>
      <c r="U4" s="22" t="inlineStr">
        <is>
          <t>L3_OVERRIDE</t>
        </is>
      </c>
      <c r="V4" s="22" t="inlineStr">
        <is>
          <t>L4_OVERRIDE</t>
        </is>
      </c>
      <c r="W4" s="22" t="inlineStr">
        <is>
          <t>L5_OVERRIDE</t>
        </is>
      </c>
    </row>
    <row r="5">
      <c r="A5" s="4" t="inlineStr">
        <is>
          <t>AB</t>
        </is>
      </c>
      <c r="B5" s="4" t="n">
        <v>2020</v>
      </c>
      <c r="C5" s="4" t="inlineStr">
        <is>
          <t>Share_Min</t>
        </is>
      </c>
      <c r="D5" s="4">
        <f>Conversion!$B$18</f>
        <v/>
      </c>
      <c r="E5" s="23">
        <f>IF($D5="Conservative",IF(INDEX(Report_Scenarios!$A$7:$A$13,MIN(MATCH(MEDIAN($B5-Conversion!$B$16,2020,2050),Report_Scenarios!$A$7:$A$13,1)+1,7))=INDEX(Report_Scenarios!$A$7:$A$13,MATCH(MEDIAN($B5-Conversion!$B$16,2020,2050),Report_Scenarios!$A$7:$A$13,1)),INDEX(Report_Scenarios!$B$7:$B$13,MATCH(MEDIAN($B5-Conversion!$B$16,2020,2050),Report_Scenarios!$A$7:$A$13,1)),INDEX(Report_Scenarios!$B$7:$B$13,MATCH(MEDIAN($B5-Conversion!$B$16,2020,2050),Report_Scenarios!$A$7:$A$13,1))+(INDEX(Report_Scenarios!$B$7:$B$13,MIN(MATCH(MEDIAN($B5-Conversion!$B$16,2020,2050),Report_Scenarios!$A$7:$A$13,1)+1,7))-INDEX(Report_Scenarios!$B$7:$B$13,MATCH(MEDIAN($B5-Conversion!$B$16,2020,2050),Report_Scenarios!$A$7:$A$13,1)))*(MEDIAN($B5-Conversion!$B$16,2020,2050)-INDEX(Report_Scenarios!$A$7:$A$13,MATCH(MEDIAN($B5-Conversion!$B$16,2020,2050),Report_Scenarios!$A$7:$A$13,1)))/(INDEX(Report_Scenarios!$A$7:$A$13,MIN(MATCH(MEDIAN($B5-Conversion!$B$16,2020,2050),Report_Scenarios!$A$7:$A$13,1)+1,7))-INDEX(Report_Scenarios!$A$7:$A$13,MATCH(MEDIAN($B5-Conversion!$B$16,2020,2050),Report_Scenarios!$A$7:$A$13,1)))),IF($D5="Central",IF(INDEX(Report_Scenarios!$A$18:$A$24,MIN(MATCH(MEDIAN($B5-Conversion!$B$16,2020,2050),Report_Scenarios!$A$18:$A$24,1)+1,7))=INDEX(Report_Scenarios!$A$18:$A$24,MATCH(MEDIAN($B5-Conversion!$B$16,2020,2050),Report_Scenarios!$A$18:$A$24,1)),INDEX(Report_Scenarios!$B$18:$B$24,MATCH(MEDIAN($B5-Conversion!$B$16,2020,2050),Report_Scenarios!$A$18:$A$24,1)),INDEX(Report_Scenarios!$B$18:$B$24,MATCH(MEDIAN($B5-Conversion!$B$16,2020,2050),Report_Scenarios!$A$18:$A$24,1))+(INDEX(Report_Scenarios!$B$18:$B$24,MIN(MATCH(MEDIAN($B5-Conversion!$B$16,2020,2050),Report_Scenarios!$A$18:$A$24,1)+1,7))-INDEX(Report_Scenarios!$B$18:$B$24,MATCH(MEDIAN($B5-Conversion!$B$16,2020,2050),Report_Scenarios!$A$18:$A$24,1)))*(MEDIAN($B5-Conversion!$B$16,2020,2050)-INDEX(Report_Scenarios!$A$18:$A$24,MATCH(MEDIAN($B5-Conversion!$B$16,2020,2050),Report_Scenarios!$A$18:$A$24,1)))/(INDEX(Report_Scenarios!$A$18:$A$24,MIN(MATCH(MEDIAN($B5-Conversion!$B$16,2020,2050),Report_Scenarios!$A$18:$A$24,1)+1,7))-INDEX(Report_Scenarios!$A$18:$A$24,MATCH(MEDIAN($B5-Conversion!$B$16,2020,2050),Report_Scenarios!$A$18:$A$24,1)))),IF(INDEX(Report_Scenarios!$A$29:$A$35,MIN(MATCH(MEDIAN($B5-Conversion!$B$16,2020,2050),Report_Scenarios!$A$29:$A$35,1)+1,7))=INDEX(Report_Scenarios!$A$29:$A$35,MATCH(MEDIAN($B5-Conversion!$B$16,2020,2050),Report_Scenarios!$A$29:$A$35,1)),INDEX(Report_Scenarios!$B$29:$B$35,MATCH(MEDIAN($B5-Conversion!$B$16,2020,2050),Report_Scenarios!$A$29:$A$35,1)),INDEX(Report_Scenarios!$B$29:$B$35,MATCH(MEDIAN($B5-Conversion!$B$16,2020,2050),Report_Scenarios!$A$29:$A$35,1))+(INDEX(Report_Scenarios!$B$29:$B$35,MIN(MATCH(MEDIAN($B5-Conversion!$B$16,2020,2050),Report_Scenarios!$A$29:$A$35,1)+1,7))-INDEX(Report_Scenarios!$B$29:$B$35,MATCH(MEDIAN($B5-Conversion!$B$16,2020,2050),Report_Scenarios!$A$29:$A$35,1)))*(MEDIAN($B5-Conversion!$B$16,2020,2050)-INDEX(Report_Scenarios!$A$29:$A$35,MATCH(MEDIAN($B5-Conversion!$B$16,2020,2050),Report_Scenarios!$A$29:$A$35,1)))/(INDEX(Report_Scenarios!$A$29:$A$35,MIN(MATCH(MEDIAN($B5-Conversion!$B$16,2020,2050),Report_Scenarios!$A$29:$A$35,1)+1,7))-INDEX(Report_Scenarios!$A$29:$A$35,MATCH(MEDIAN($B5-Conversion!$B$16,2020,2050),Report_Scenarios!$A$29:$A$35,1))))))</f>
        <v/>
      </c>
      <c r="F5" s="23">
        <f>IF($D5="Conservative",IF(INDEX(Report_Scenarios!$A$7:$A$13,MIN(MATCH(MEDIAN($B5-Conversion!$B$16,2020,2050),Report_Scenarios!$A$7:$A$13,1)+1,7))=INDEX(Report_Scenarios!$A$7:$A$13,MATCH(MEDIAN($B5-Conversion!$B$16,2020,2050),Report_Scenarios!$A$7:$A$13,1)),INDEX(Report_Scenarios!$C$7:$C$13,MATCH(MEDIAN($B5-Conversion!$B$16,2020,2050),Report_Scenarios!$A$7:$A$13,1)),INDEX(Report_Scenarios!$C$7:$C$13,MATCH(MEDIAN($B5-Conversion!$B$16,2020,2050),Report_Scenarios!$A$7:$A$13,1))+(INDEX(Report_Scenarios!$C$7:$C$13,MIN(MATCH(MEDIAN($B5-Conversion!$B$16,2020,2050),Report_Scenarios!$A$7:$A$13,1)+1,7))-INDEX(Report_Scenarios!$C$7:$C$13,MATCH(MEDIAN($B5-Conversion!$B$16,2020,2050),Report_Scenarios!$A$7:$A$13,1)))*(MEDIAN($B5-Conversion!$B$16,2020,2050)-INDEX(Report_Scenarios!$A$7:$A$13,MATCH(MEDIAN($B5-Conversion!$B$16,2020,2050),Report_Scenarios!$A$7:$A$13,1)))/(INDEX(Report_Scenarios!$A$7:$A$13,MIN(MATCH(MEDIAN($B5-Conversion!$B$16,2020,2050),Report_Scenarios!$A$7:$A$13,1)+1,7))-INDEX(Report_Scenarios!$A$7:$A$13,MATCH(MEDIAN($B5-Conversion!$B$16,2020,2050),Report_Scenarios!$A$7:$A$13,1)))),IF($D5="Central",IF(INDEX(Report_Scenarios!$A$18:$A$24,MIN(MATCH(MEDIAN($B5-Conversion!$B$16,2020,2050),Report_Scenarios!$A$18:$A$24,1)+1,7))=INDEX(Report_Scenarios!$A$18:$A$24,MATCH(MEDIAN($B5-Conversion!$B$16,2020,2050),Report_Scenarios!$A$18:$A$24,1)),INDEX(Report_Scenarios!$C$18:$C$24,MATCH(MEDIAN($B5-Conversion!$B$16,2020,2050),Report_Scenarios!$A$18:$A$24,1)),INDEX(Report_Scenarios!$C$18:$C$24,MATCH(MEDIAN($B5-Conversion!$B$16,2020,2050),Report_Scenarios!$A$18:$A$24,1))+(INDEX(Report_Scenarios!$C$18:$C$24,MIN(MATCH(MEDIAN($B5-Conversion!$B$16,2020,2050),Report_Scenarios!$A$18:$A$24,1)+1,7))-INDEX(Report_Scenarios!$C$18:$C$24,MATCH(MEDIAN($B5-Conversion!$B$16,2020,2050),Report_Scenarios!$A$18:$A$24,1)))*(MEDIAN($B5-Conversion!$B$16,2020,2050)-INDEX(Report_Scenarios!$A$18:$A$24,MATCH(MEDIAN($B5-Conversion!$B$16,2020,2050),Report_Scenarios!$A$18:$A$24,1)))/(INDEX(Report_Scenarios!$A$18:$A$24,MIN(MATCH(MEDIAN($B5-Conversion!$B$16,2020,2050),Report_Scenarios!$A$18:$A$24,1)+1,7))-INDEX(Report_Scenarios!$A$18:$A$24,MATCH(MEDIAN($B5-Conversion!$B$16,2020,2050),Report_Scenarios!$A$18:$A$24,1)))),IF(INDEX(Report_Scenarios!$A$29:$A$35,MIN(MATCH(MEDIAN($B5-Conversion!$B$16,2020,2050),Report_Scenarios!$A$29:$A$35,1)+1,7))=INDEX(Report_Scenarios!$A$29:$A$35,MATCH(MEDIAN($B5-Conversion!$B$16,2020,2050),Report_Scenarios!$A$29:$A$35,1)),INDEX(Report_Scenarios!$C$29:$C$35,MATCH(MEDIAN($B5-Conversion!$B$16,2020,2050),Report_Scenarios!$A$29:$A$35,1)),INDEX(Report_Scenarios!$C$29:$C$35,MATCH(MEDIAN($B5-Conversion!$B$16,2020,2050),Report_Scenarios!$A$29:$A$35,1))+(INDEX(Report_Scenarios!$C$29:$C$35,MIN(MATCH(MEDIAN($B5-Conversion!$B$16,2020,2050),Report_Scenarios!$A$29:$A$35,1)+1,7))-INDEX(Report_Scenarios!$C$29:$C$35,MATCH(MEDIAN($B5-Conversion!$B$16,2020,2050),Report_Scenarios!$A$29:$A$35,1)))*(MEDIAN($B5-Conversion!$B$16,2020,2050)-INDEX(Report_Scenarios!$A$29:$A$35,MATCH(MEDIAN($B5-Conversion!$B$16,2020,2050),Report_Scenarios!$A$29:$A$35,1)))/(INDEX(Report_Scenarios!$A$29:$A$35,MIN(MATCH(MEDIAN($B5-Conversion!$B$16,2020,2050),Report_Scenarios!$A$29:$A$35,1)+1,7))-INDEX(Report_Scenarios!$A$29:$A$35,MATCH(MEDIAN($B5-Conversion!$B$16,2020,2050),Report_Scenarios!$A$29:$A$35,1))))))</f>
        <v/>
      </c>
      <c r="G5" s="23">
        <f>IF($D5="Conservative",IF(INDEX(Report_Scenarios!$A$7:$A$13,MIN(MATCH(MEDIAN($B5-Conversion!$B$16,2020,2050),Report_Scenarios!$A$7:$A$13,1)+1,7))=INDEX(Report_Scenarios!$A$7:$A$13,MATCH(MEDIAN($B5-Conversion!$B$16,2020,2050),Report_Scenarios!$A$7:$A$13,1)),INDEX(Report_Scenarios!$D$7:$D$13,MATCH(MEDIAN($B5-Conversion!$B$16,2020,2050),Report_Scenarios!$A$7:$A$13,1)),INDEX(Report_Scenarios!$D$7:$D$13,MATCH(MEDIAN($B5-Conversion!$B$16,2020,2050),Report_Scenarios!$A$7:$A$13,1))+(INDEX(Report_Scenarios!$D$7:$D$13,MIN(MATCH(MEDIAN($B5-Conversion!$B$16,2020,2050),Report_Scenarios!$A$7:$A$13,1)+1,7))-INDEX(Report_Scenarios!$D$7:$D$13,MATCH(MEDIAN($B5-Conversion!$B$16,2020,2050),Report_Scenarios!$A$7:$A$13,1)))*(MEDIAN($B5-Conversion!$B$16,2020,2050)-INDEX(Report_Scenarios!$A$7:$A$13,MATCH(MEDIAN($B5-Conversion!$B$16,2020,2050),Report_Scenarios!$A$7:$A$13,1)))/(INDEX(Report_Scenarios!$A$7:$A$13,MIN(MATCH(MEDIAN($B5-Conversion!$B$16,2020,2050),Report_Scenarios!$A$7:$A$13,1)+1,7))-INDEX(Report_Scenarios!$A$7:$A$13,MATCH(MEDIAN($B5-Conversion!$B$16,2020,2050),Report_Scenarios!$A$7:$A$13,1)))),IF($D5="Central",IF(INDEX(Report_Scenarios!$A$18:$A$24,MIN(MATCH(MEDIAN($B5-Conversion!$B$16,2020,2050),Report_Scenarios!$A$18:$A$24,1)+1,7))=INDEX(Report_Scenarios!$A$18:$A$24,MATCH(MEDIAN($B5-Conversion!$B$16,2020,2050),Report_Scenarios!$A$18:$A$24,1)),INDEX(Report_Scenarios!$D$18:$D$24,MATCH(MEDIAN($B5-Conversion!$B$16,2020,2050),Report_Scenarios!$A$18:$A$24,1)),INDEX(Report_Scenarios!$D$18:$D$24,MATCH(MEDIAN($B5-Conversion!$B$16,2020,2050),Report_Scenarios!$A$18:$A$24,1))+(INDEX(Report_Scenarios!$D$18:$D$24,MIN(MATCH(MEDIAN($B5-Conversion!$B$16,2020,2050),Report_Scenarios!$A$18:$A$24,1)+1,7))-INDEX(Report_Scenarios!$D$18:$D$24,MATCH(MEDIAN($B5-Conversion!$B$16,2020,2050),Report_Scenarios!$A$18:$A$24,1)))*(MEDIAN($B5-Conversion!$B$16,2020,2050)-INDEX(Report_Scenarios!$A$18:$A$24,MATCH(MEDIAN($B5-Conversion!$B$16,2020,2050),Report_Scenarios!$A$18:$A$24,1)))/(INDEX(Report_Scenarios!$A$18:$A$24,MIN(MATCH(MEDIAN($B5-Conversion!$B$16,2020,2050),Report_Scenarios!$A$18:$A$24,1)+1,7))-INDEX(Report_Scenarios!$A$18:$A$24,MATCH(MEDIAN($B5-Conversion!$B$16,2020,2050),Report_Scenarios!$A$18:$A$24,1)))),IF(INDEX(Report_Scenarios!$A$29:$A$35,MIN(MATCH(MEDIAN($B5-Conversion!$B$16,2020,2050),Report_Scenarios!$A$29:$A$35,1)+1,7))=INDEX(Report_Scenarios!$A$29:$A$35,MATCH(MEDIAN($B5-Conversion!$B$16,2020,2050),Report_Scenarios!$A$29:$A$35,1)),INDEX(Report_Scenarios!$D$29:$D$35,MATCH(MEDIAN($B5-Conversion!$B$16,2020,2050),Report_Scenarios!$A$29:$A$35,1)),INDEX(Report_Scenarios!$D$29:$D$35,MATCH(MEDIAN($B5-Conversion!$B$16,2020,2050),Report_Scenarios!$A$29:$A$35,1))+(INDEX(Report_Scenarios!$D$29:$D$35,MIN(MATCH(MEDIAN($B5-Conversion!$B$16,2020,2050),Report_Scenarios!$A$29:$A$35,1)+1,7))-INDEX(Report_Scenarios!$D$29:$D$35,MATCH(MEDIAN($B5-Conversion!$B$16,2020,2050),Report_Scenarios!$A$29:$A$35,1)))*(MEDIAN($B5-Conversion!$B$16,2020,2050)-INDEX(Report_Scenarios!$A$29:$A$35,MATCH(MEDIAN($B5-Conversion!$B$16,2020,2050),Report_Scenarios!$A$29:$A$35,1)))/(INDEX(Report_Scenarios!$A$29:$A$35,MIN(MATCH(MEDIAN($B5-Conversion!$B$16,2020,2050),Report_Scenarios!$A$29:$A$35,1)+1,7))-INDEX(Report_Scenarios!$A$29:$A$35,MATCH(MEDIAN($B5-Conversion!$B$16,2020,2050),Report_Scenarios!$A$29:$A$35,1))))))</f>
        <v/>
      </c>
      <c r="H5" s="23">
        <f>IF($D5="Conservative",IF(INDEX(Report_Scenarios!$A$7:$A$13,MIN(MATCH(MEDIAN($B5-Conversion!$B$16,2020,2050),Report_Scenarios!$A$7:$A$13,1)+1,7))=INDEX(Report_Scenarios!$A$7:$A$13,MATCH(MEDIAN($B5-Conversion!$B$16,2020,2050),Report_Scenarios!$A$7:$A$13,1)),INDEX(Report_Scenarios!$E$7:$E$13,MATCH(MEDIAN($B5-Conversion!$B$16,2020,2050),Report_Scenarios!$A$7:$A$13,1)),INDEX(Report_Scenarios!$E$7:$E$13,MATCH(MEDIAN($B5-Conversion!$B$16,2020,2050),Report_Scenarios!$A$7:$A$13,1))+(INDEX(Report_Scenarios!$E$7:$E$13,MIN(MATCH(MEDIAN($B5-Conversion!$B$16,2020,2050),Report_Scenarios!$A$7:$A$13,1)+1,7))-INDEX(Report_Scenarios!$E$7:$E$13,MATCH(MEDIAN($B5-Conversion!$B$16,2020,2050),Report_Scenarios!$A$7:$A$13,1)))*(MEDIAN($B5-Conversion!$B$16,2020,2050)-INDEX(Report_Scenarios!$A$7:$A$13,MATCH(MEDIAN($B5-Conversion!$B$16,2020,2050),Report_Scenarios!$A$7:$A$13,1)))/(INDEX(Report_Scenarios!$A$7:$A$13,MIN(MATCH(MEDIAN($B5-Conversion!$B$16,2020,2050),Report_Scenarios!$A$7:$A$13,1)+1,7))-INDEX(Report_Scenarios!$A$7:$A$13,MATCH(MEDIAN($B5-Conversion!$B$16,2020,2050),Report_Scenarios!$A$7:$A$13,1)))),IF($D5="Central",IF(INDEX(Report_Scenarios!$A$18:$A$24,MIN(MATCH(MEDIAN($B5-Conversion!$B$16,2020,2050),Report_Scenarios!$A$18:$A$24,1)+1,7))=INDEX(Report_Scenarios!$A$18:$A$24,MATCH(MEDIAN($B5-Conversion!$B$16,2020,2050),Report_Scenarios!$A$18:$A$24,1)),INDEX(Report_Scenarios!$E$18:$E$24,MATCH(MEDIAN($B5-Conversion!$B$16,2020,2050),Report_Scenarios!$A$18:$A$24,1)),INDEX(Report_Scenarios!$E$18:$E$24,MATCH(MEDIAN($B5-Conversion!$B$16,2020,2050),Report_Scenarios!$A$18:$A$24,1))+(INDEX(Report_Scenarios!$E$18:$E$24,MIN(MATCH(MEDIAN($B5-Conversion!$B$16,2020,2050),Report_Scenarios!$A$18:$A$24,1)+1,7))-INDEX(Report_Scenarios!$E$18:$E$24,MATCH(MEDIAN($B5-Conversion!$B$16,2020,2050),Report_Scenarios!$A$18:$A$24,1)))*(MEDIAN($B5-Conversion!$B$16,2020,2050)-INDEX(Report_Scenarios!$A$18:$A$24,MATCH(MEDIAN($B5-Conversion!$B$16,2020,2050),Report_Scenarios!$A$18:$A$24,1)))/(INDEX(Report_Scenarios!$A$18:$A$24,MIN(MATCH(MEDIAN($B5-Conversion!$B$16,2020,2050),Report_Scenarios!$A$18:$A$24,1)+1,7))-INDEX(Report_Scenarios!$A$18:$A$24,MATCH(MEDIAN($B5-Conversion!$B$16,2020,2050),Report_Scenarios!$A$18:$A$24,1)))),IF(INDEX(Report_Scenarios!$A$29:$A$35,MIN(MATCH(MEDIAN($B5-Conversion!$B$16,2020,2050),Report_Scenarios!$A$29:$A$35,1)+1,7))=INDEX(Report_Scenarios!$A$29:$A$35,MATCH(MEDIAN($B5-Conversion!$B$16,2020,2050),Report_Scenarios!$A$29:$A$35,1)),INDEX(Report_Scenarios!$E$29:$E$35,MATCH(MEDIAN($B5-Conversion!$B$16,2020,2050),Report_Scenarios!$A$29:$A$35,1)),INDEX(Report_Scenarios!$E$29:$E$35,MATCH(MEDIAN($B5-Conversion!$B$16,2020,2050),Report_Scenarios!$A$29:$A$35,1))+(INDEX(Report_Scenarios!$E$29:$E$35,MIN(MATCH(MEDIAN($B5-Conversion!$B$16,2020,2050),Report_Scenarios!$A$29:$A$35,1)+1,7))-INDEX(Report_Scenarios!$E$29:$E$35,MATCH(MEDIAN($B5-Conversion!$B$16,2020,2050),Report_Scenarios!$A$29:$A$35,1)))*(MEDIAN($B5-Conversion!$B$16,2020,2050)-INDEX(Report_Scenarios!$A$29:$A$35,MATCH(MEDIAN($B5-Conversion!$B$16,2020,2050),Report_Scenarios!$A$29:$A$35,1)))/(INDEX(Report_Scenarios!$A$29:$A$35,MIN(MATCH(MEDIAN($B5-Conversion!$B$16,2020,2050),Report_Scenarios!$A$29:$A$35,1)+1,7))-INDEX(Report_Scenarios!$A$29:$A$35,MATCH(MEDIAN($B5-Conversion!$B$16,2020,2050),Report_Scenarios!$A$29:$A$35,1))))))</f>
        <v/>
      </c>
      <c r="I5" s="23">
        <f>IF($D5="Conservative",IF(INDEX(Report_Scenarios!$A$7:$A$13,MIN(MATCH(MEDIAN($B5-Conversion!$B$16,2020,2050),Report_Scenarios!$A$7:$A$13,1)+1,7))=INDEX(Report_Scenarios!$A$7:$A$13,MATCH(MEDIAN($B5-Conversion!$B$16,2020,2050),Report_Scenarios!$A$7:$A$13,1)),INDEX(Report_Scenarios!$F$7:$F$13,MATCH(MEDIAN($B5-Conversion!$B$16,2020,2050),Report_Scenarios!$A$7:$A$13,1)),INDEX(Report_Scenarios!$F$7:$F$13,MATCH(MEDIAN($B5-Conversion!$B$16,2020,2050),Report_Scenarios!$A$7:$A$13,1))+(INDEX(Report_Scenarios!$F$7:$F$13,MIN(MATCH(MEDIAN($B5-Conversion!$B$16,2020,2050),Report_Scenarios!$A$7:$A$13,1)+1,7))-INDEX(Report_Scenarios!$F$7:$F$13,MATCH(MEDIAN($B5-Conversion!$B$16,2020,2050),Report_Scenarios!$A$7:$A$13,1)))*(MEDIAN($B5-Conversion!$B$16,2020,2050)-INDEX(Report_Scenarios!$A$7:$A$13,MATCH(MEDIAN($B5-Conversion!$B$16,2020,2050),Report_Scenarios!$A$7:$A$13,1)))/(INDEX(Report_Scenarios!$A$7:$A$13,MIN(MATCH(MEDIAN($B5-Conversion!$B$16,2020,2050),Report_Scenarios!$A$7:$A$13,1)+1,7))-INDEX(Report_Scenarios!$A$7:$A$13,MATCH(MEDIAN($B5-Conversion!$B$16,2020,2050),Report_Scenarios!$A$7:$A$13,1)))),IF($D5="Central",IF(INDEX(Report_Scenarios!$A$18:$A$24,MIN(MATCH(MEDIAN($B5-Conversion!$B$16,2020,2050),Report_Scenarios!$A$18:$A$24,1)+1,7))=INDEX(Report_Scenarios!$A$18:$A$24,MATCH(MEDIAN($B5-Conversion!$B$16,2020,2050),Report_Scenarios!$A$18:$A$24,1)),INDEX(Report_Scenarios!$F$18:$F$24,MATCH(MEDIAN($B5-Conversion!$B$16,2020,2050),Report_Scenarios!$A$18:$A$24,1)),INDEX(Report_Scenarios!$F$18:$F$24,MATCH(MEDIAN($B5-Conversion!$B$16,2020,2050),Report_Scenarios!$A$18:$A$24,1))+(INDEX(Report_Scenarios!$F$18:$F$24,MIN(MATCH(MEDIAN($B5-Conversion!$B$16,2020,2050),Report_Scenarios!$A$18:$A$24,1)+1,7))-INDEX(Report_Scenarios!$F$18:$F$24,MATCH(MEDIAN($B5-Conversion!$B$16,2020,2050),Report_Scenarios!$A$18:$A$24,1)))*(MEDIAN($B5-Conversion!$B$16,2020,2050)-INDEX(Report_Scenarios!$A$18:$A$24,MATCH(MEDIAN($B5-Conversion!$B$16,2020,2050),Report_Scenarios!$A$18:$A$24,1)))/(INDEX(Report_Scenarios!$A$18:$A$24,MIN(MATCH(MEDIAN($B5-Conversion!$B$16,2020,2050),Report_Scenarios!$A$18:$A$24,1)+1,7))-INDEX(Report_Scenarios!$A$18:$A$24,MATCH(MEDIAN($B5-Conversion!$B$16,2020,2050),Report_Scenarios!$A$18:$A$24,1)))),IF(INDEX(Report_Scenarios!$A$29:$A$35,MIN(MATCH(MEDIAN($B5-Conversion!$B$16,2020,2050),Report_Scenarios!$A$29:$A$35,1)+1,7))=INDEX(Report_Scenarios!$A$29:$A$35,MATCH(MEDIAN($B5-Conversion!$B$16,2020,2050),Report_Scenarios!$A$29:$A$35,1)),INDEX(Report_Scenarios!$F$29:$F$35,MATCH(MEDIAN($B5-Conversion!$B$16,2020,2050),Report_Scenarios!$A$29:$A$35,1)),INDEX(Report_Scenarios!$F$29:$F$35,MATCH(MEDIAN($B5-Conversion!$B$16,2020,2050),Report_Scenarios!$A$29:$A$35,1))+(INDEX(Report_Scenarios!$F$29:$F$35,MIN(MATCH(MEDIAN($B5-Conversion!$B$16,2020,2050),Report_Scenarios!$A$29:$A$35,1)+1,7))-INDEX(Report_Scenarios!$F$29:$F$35,MATCH(MEDIAN($B5-Conversion!$B$16,2020,2050),Report_Scenarios!$A$29:$A$35,1)))*(MEDIAN($B5-Conversion!$B$16,2020,2050)-INDEX(Report_Scenarios!$A$29:$A$35,MATCH(MEDIAN($B5-Conversion!$B$16,2020,2050),Report_Scenarios!$A$29:$A$35,1)))/(INDEX(Report_Scenarios!$A$29:$A$35,MIN(MATCH(MEDIAN($B5-Conversion!$B$16,2020,2050),Report_Scenarios!$A$29:$A$35,1)+1,7))-INDEX(Report_Scenarios!$A$29:$A$35,MATCH(MEDIAN($B5-Conversion!$B$16,2020,2050),Report_Scenarios!$A$29:$A$35,1))))))</f>
        <v/>
      </c>
      <c r="J5" s="23">
        <f>IF($D5="Conservative",IF(INDEX(Report_Scenarios!$A$7:$A$13,MIN(MATCH(MEDIAN($B5-Conversion!$B$16,2020,2050),Report_Scenarios!$A$7:$A$13,1)+1,7))=INDEX(Report_Scenarios!$A$7:$A$13,MATCH(MEDIAN($B5-Conversion!$B$16,2020,2050),Report_Scenarios!$A$7:$A$13,1)),INDEX(Report_Scenarios!$G$7:$G$13,MATCH(MEDIAN($B5-Conversion!$B$16,2020,2050),Report_Scenarios!$A$7:$A$13,1)),INDEX(Report_Scenarios!$G$7:$G$13,MATCH(MEDIAN($B5-Conversion!$B$16,2020,2050),Report_Scenarios!$A$7:$A$13,1))+(INDEX(Report_Scenarios!$G$7:$G$13,MIN(MATCH(MEDIAN($B5-Conversion!$B$16,2020,2050),Report_Scenarios!$A$7:$A$13,1)+1,7))-INDEX(Report_Scenarios!$G$7:$G$13,MATCH(MEDIAN($B5-Conversion!$B$16,2020,2050),Report_Scenarios!$A$7:$A$13,1)))*(MEDIAN($B5-Conversion!$B$16,2020,2050)-INDEX(Report_Scenarios!$A$7:$A$13,MATCH(MEDIAN($B5-Conversion!$B$16,2020,2050),Report_Scenarios!$A$7:$A$13,1)))/(INDEX(Report_Scenarios!$A$7:$A$13,MIN(MATCH(MEDIAN($B5-Conversion!$B$16,2020,2050),Report_Scenarios!$A$7:$A$13,1)+1,7))-INDEX(Report_Scenarios!$A$7:$A$13,MATCH(MEDIAN($B5-Conversion!$B$16,2020,2050),Report_Scenarios!$A$7:$A$13,1)))),IF($D5="Central",IF(INDEX(Report_Scenarios!$A$18:$A$24,MIN(MATCH(MEDIAN($B5-Conversion!$B$16,2020,2050),Report_Scenarios!$A$18:$A$24,1)+1,7))=INDEX(Report_Scenarios!$A$18:$A$24,MATCH(MEDIAN($B5-Conversion!$B$16,2020,2050),Report_Scenarios!$A$18:$A$24,1)),INDEX(Report_Scenarios!$G$18:$G$24,MATCH(MEDIAN($B5-Conversion!$B$16,2020,2050),Report_Scenarios!$A$18:$A$24,1)),INDEX(Report_Scenarios!$G$18:$G$24,MATCH(MEDIAN($B5-Conversion!$B$16,2020,2050),Report_Scenarios!$A$18:$A$24,1))+(INDEX(Report_Scenarios!$G$18:$G$24,MIN(MATCH(MEDIAN($B5-Conversion!$B$16,2020,2050),Report_Scenarios!$A$18:$A$24,1)+1,7))-INDEX(Report_Scenarios!$G$18:$G$24,MATCH(MEDIAN($B5-Conversion!$B$16,2020,2050),Report_Scenarios!$A$18:$A$24,1)))*(MEDIAN($B5-Conversion!$B$16,2020,2050)-INDEX(Report_Scenarios!$A$18:$A$24,MATCH(MEDIAN($B5-Conversion!$B$16,2020,2050),Report_Scenarios!$A$18:$A$24,1)))/(INDEX(Report_Scenarios!$A$18:$A$24,MIN(MATCH(MEDIAN($B5-Conversion!$B$16,2020,2050),Report_Scenarios!$A$18:$A$24,1)+1,7))-INDEX(Report_Scenarios!$A$18:$A$24,MATCH(MEDIAN($B5-Conversion!$B$16,2020,2050),Report_Scenarios!$A$18:$A$24,1)))),IF(INDEX(Report_Scenarios!$A$29:$A$35,MIN(MATCH(MEDIAN($B5-Conversion!$B$16,2020,2050),Report_Scenarios!$A$29:$A$35,1)+1,7))=INDEX(Report_Scenarios!$A$29:$A$35,MATCH(MEDIAN($B5-Conversion!$B$16,2020,2050),Report_Scenarios!$A$29:$A$35,1)),INDEX(Report_Scenarios!$G$29:$G$35,MATCH(MEDIAN($B5-Conversion!$B$16,2020,2050),Report_Scenarios!$A$29:$A$35,1)),INDEX(Report_Scenarios!$G$29:$G$35,MATCH(MEDIAN($B5-Conversion!$B$16,2020,2050),Report_Scenarios!$A$29:$A$35,1))+(INDEX(Report_Scenarios!$G$29:$G$35,MIN(MATCH(MEDIAN($B5-Conversion!$B$16,2020,2050),Report_Scenarios!$A$29:$A$35,1)+1,7))-INDEX(Report_Scenarios!$G$29:$G$35,MATCH(MEDIAN($B5-Conversion!$B$16,2020,2050),Report_Scenarios!$A$29:$A$35,1)))*(MEDIAN($B5-Conversion!$B$16,2020,2050)-INDEX(Report_Scenarios!$A$29:$A$35,MATCH(MEDIAN($B5-Conversion!$B$16,2020,2050),Report_Scenarios!$A$29:$A$35,1)))/(INDEX(Report_Scenarios!$A$29:$A$35,MIN(MATCH(MEDIAN($B5-Conversion!$B$16,2020,2050),Report_Scenarios!$A$29:$A$35,1)+1,7))-INDEX(Report_Scenarios!$A$29:$A$35,MATCH(MEDIAN($B5-Conversion!$B$16,2020,2050),Report_Scenarios!$A$29:$A$35,1))))))</f>
        <v/>
      </c>
      <c r="K5" s="23">
        <f>SUM(E5:J5)</f>
        <v/>
      </c>
      <c r="L5" s="23">
        <f>IF(R5&lt;&gt;"",R5,IF($K5=0,0,E5/$K5))</f>
        <v/>
      </c>
      <c r="M5" s="23">
        <f>IF(S5&lt;&gt;"",S5,IF($K5=0,0,F5/$K5))</f>
        <v/>
      </c>
      <c r="N5" s="23">
        <f>IF(T5&lt;&gt;"",T5,IF($K5=0,0,G5/$K5))</f>
        <v/>
      </c>
      <c r="O5" s="23">
        <f>IF(U5&lt;&gt;"",U5,IF($K5=0,0,H5/$K5))</f>
        <v/>
      </c>
      <c r="P5" s="23">
        <f>IF(V5&lt;&gt;"",V5,IF($K5=0,0,I5/$K5))</f>
        <v/>
      </c>
      <c r="Q5" s="23">
        <f>IF(W5&lt;&gt;"",W5,IF($K5=0,0,J5/$K5))</f>
        <v/>
      </c>
      <c r="R5" s="24" t="n"/>
      <c r="S5" s="24" t="n"/>
      <c r="T5" s="24" t="n"/>
      <c r="U5" s="24" t="n"/>
      <c r="V5" s="24" t="n"/>
      <c r="W5" s="24" t="n"/>
    </row>
    <row r="6">
      <c r="A6" s="4" t="inlineStr">
        <is>
          <t>AB</t>
        </is>
      </c>
      <c r="B6" s="4" t="n">
        <v>2020</v>
      </c>
      <c r="C6" s="4" t="inlineStr">
        <is>
          <t>Share_Mode</t>
        </is>
      </c>
      <c r="D6" s="4">
        <f>Conversion!$B$19</f>
        <v/>
      </c>
      <c r="E6" s="23">
        <f>IF($D6="Conservative",IF(INDEX(Report_Scenarios!$A$7:$A$13,MIN(MATCH(MEDIAN($B6-Conversion!$B$16,2020,2050),Report_Scenarios!$A$7:$A$13,1)+1,7))=INDEX(Report_Scenarios!$A$7:$A$13,MATCH(MEDIAN($B6-Conversion!$B$16,2020,2050),Report_Scenarios!$A$7:$A$13,1)),INDEX(Report_Scenarios!$B$7:$B$13,MATCH(MEDIAN($B6-Conversion!$B$16,2020,2050),Report_Scenarios!$A$7:$A$13,1)),INDEX(Report_Scenarios!$B$7:$B$13,MATCH(MEDIAN($B6-Conversion!$B$16,2020,2050),Report_Scenarios!$A$7:$A$13,1))+(INDEX(Report_Scenarios!$B$7:$B$13,MIN(MATCH(MEDIAN($B6-Conversion!$B$16,2020,2050),Report_Scenarios!$A$7:$A$13,1)+1,7))-INDEX(Report_Scenarios!$B$7:$B$13,MATCH(MEDIAN($B6-Conversion!$B$16,2020,2050),Report_Scenarios!$A$7:$A$13,1)))*(MEDIAN($B6-Conversion!$B$16,2020,2050)-INDEX(Report_Scenarios!$A$7:$A$13,MATCH(MEDIAN($B6-Conversion!$B$16,2020,2050),Report_Scenarios!$A$7:$A$13,1)))/(INDEX(Report_Scenarios!$A$7:$A$13,MIN(MATCH(MEDIAN($B6-Conversion!$B$16,2020,2050),Report_Scenarios!$A$7:$A$13,1)+1,7))-INDEX(Report_Scenarios!$A$7:$A$13,MATCH(MEDIAN($B6-Conversion!$B$16,2020,2050),Report_Scenarios!$A$7:$A$13,1)))),IF($D6="Central",IF(INDEX(Report_Scenarios!$A$18:$A$24,MIN(MATCH(MEDIAN($B6-Conversion!$B$16,2020,2050),Report_Scenarios!$A$18:$A$24,1)+1,7))=INDEX(Report_Scenarios!$A$18:$A$24,MATCH(MEDIAN($B6-Conversion!$B$16,2020,2050),Report_Scenarios!$A$18:$A$24,1)),INDEX(Report_Scenarios!$B$18:$B$24,MATCH(MEDIAN($B6-Conversion!$B$16,2020,2050),Report_Scenarios!$A$18:$A$24,1)),INDEX(Report_Scenarios!$B$18:$B$24,MATCH(MEDIAN($B6-Conversion!$B$16,2020,2050),Report_Scenarios!$A$18:$A$24,1))+(INDEX(Report_Scenarios!$B$18:$B$24,MIN(MATCH(MEDIAN($B6-Conversion!$B$16,2020,2050),Report_Scenarios!$A$18:$A$24,1)+1,7))-INDEX(Report_Scenarios!$B$18:$B$24,MATCH(MEDIAN($B6-Conversion!$B$16,2020,2050),Report_Scenarios!$A$18:$A$24,1)))*(MEDIAN($B6-Conversion!$B$16,2020,2050)-INDEX(Report_Scenarios!$A$18:$A$24,MATCH(MEDIAN($B6-Conversion!$B$16,2020,2050),Report_Scenarios!$A$18:$A$24,1)))/(INDEX(Report_Scenarios!$A$18:$A$24,MIN(MATCH(MEDIAN($B6-Conversion!$B$16,2020,2050),Report_Scenarios!$A$18:$A$24,1)+1,7))-INDEX(Report_Scenarios!$A$18:$A$24,MATCH(MEDIAN($B6-Conversion!$B$16,2020,2050),Report_Scenarios!$A$18:$A$24,1)))),IF(INDEX(Report_Scenarios!$A$29:$A$35,MIN(MATCH(MEDIAN($B6-Conversion!$B$16,2020,2050),Report_Scenarios!$A$29:$A$35,1)+1,7))=INDEX(Report_Scenarios!$A$29:$A$35,MATCH(MEDIAN($B6-Conversion!$B$16,2020,2050),Report_Scenarios!$A$29:$A$35,1)),INDEX(Report_Scenarios!$B$29:$B$35,MATCH(MEDIAN($B6-Conversion!$B$16,2020,2050),Report_Scenarios!$A$29:$A$35,1)),INDEX(Report_Scenarios!$B$29:$B$35,MATCH(MEDIAN($B6-Conversion!$B$16,2020,2050),Report_Scenarios!$A$29:$A$35,1))+(INDEX(Report_Scenarios!$B$29:$B$35,MIN(MATCH(MEDIAN($B6-Conversion!$B$16,2020,2050),Report_Scenarios!$A$29:$A$35,1)+1,7))-INDEX(Report_Scenarios!$B$29:$B$35,MATCH(MEDIAN($B6-Conversion!$B$16,2020,2050),Report_Scenarios!$A$29:$A$35,1)))*(MEDIAN($B6-Conversion!$B$16,2020,2050)-INDEX(Report_Scenarios!$A$29:$A$35,MATCH(MEDIAN($B6-Conversion!$B$16,2020,2050),Report_Scenarios!$A$29:$A$35,1)))/(INDEX(Report_Scenarios!$A$29:$A$35,MIN(MATCH(MEDIAN($B6-Conversion!$B$16,2020,2050),Report_Scenarios!$A$29:$A$35,1)+1,7))-INDEX(Report_Scenarios!$A$29:$A$35,MATCH(MEDIAN($B6-Conversion!$B$16,2020,2050),Report_Scenarios!$A$29:$A$35,1))))))</f>
        <v/>
      </c>
      <c r="F6" s="23">
        <f>IF($D6="Conservative",IF(INDEX(Report_Scenarios!$A$7:$A$13,MIN(MATCH(MEDIAN($B6-Conversion!$B$16,2020,2050),Report_Scenarios!$A$7:$A$13,1)+1,7))=INDEX(Report_Scenarios!$A$7:$A$13,MATCH(MEDIAN($B6-Conversion!$B$16,2020,2050),Report_Scenarios!$A$7:$A$13,1)),INDEX(Report_Scenarios!$C$7:$C$13,MATCH(MEDIAN($B6-Conversion!$B$16,2020,2050),Report_Scenarios!$A$7:$A$13,1)),INDEX(Report_Scenarios!$C$7:$C$13,MATCH(MEDIAN($B6-Conversion!$B$16,2020,2050),Report_Scenarios!$A$7:$A$13,1))+(INDEX(Report_Scenarios!$C$7:$C$13,MIN(MATCH(MEDIAN($B6-Conversion!$B$16,2020,2050),Report_Scenarios!$A$7:$A$13,1)+1,7))-INDEX(Report_Scenarios!$C$7:$C$13,MATCH(MEDIAN($B6-Conversion!$B$16,2020,2050),Report_Scenarios!$A$7:$A$13,1)))*(MEDIAN($B6-Conversion!$B$16,2020,2050)-INDEX(Report_Scenarios!$A$7:$A$13,MATCH(MEDIAN($B6-Conversion!$B$16,2020,2050),Report_Scenarios!$A$7:$A$13,1)))/(INDEX(Report_Scenarios!$A$7:$A$13,MIN(MATCH(MEDIAN($B6-Conversion!$B$16,2020,2050),Report_Scenarios!$A$7:$A$13,1)+1,7))-INDEX(Report_Scenarios!$A$7:$A$13,MATCH(MEDIAN($B6-Conversion!$B$16,2020,2050),Report_Scenarios!$A$7:$A$13,1)))),IF($D6="Central",IF(INDEX(Report_Scenarios!$A$18:$A$24,MIN(MATCH(MEDIAN($B6-Conversion!$B$16,2020,2050),Report_Scenarios!$A$18:$A$24,1)+1,7))=INDEX(Report_Scenarios!$A$18:$A$24,MATCH(MEDIAN($B6-Conversion!$B$16,2020,2050),Report_Scenarios!$A$18:$A$24,1)),INDEX(Report_Scenarios!$C$18:$C$24,MATCH(MEDIAN($B6-Conversion!$B$16,2020,2050),Report_Scenarios!$A$18:$A$24,1)),INDEX(Report_Scenarios!$C$18:$C$24,MATCH(MEDIAN($B6-Conversion!$B$16,2020,2050),Report_Scenarios!$A$18:$A$24,1))+(INDEX(Report_Scenarios!$C$18:$C$24,MIN(MATCH(MEDIAN($B6-Conversion!$B$16,2020,2050),Report_Scenarios!$A$18:$A$24,1)+1,7))-INDEX(Report_Scenarios!$C$18:$C$24,MATCH(MEDIAN($B6-Conversion!$B$16,2020,2050),Report_Scenarios!$A$18:$A$24,1)))*(MEDIAN($B6-Conversion!$B$16,2020,2050)-INDEX(Report_Scenarios!$A$18:$A$24,MATCH(MEDIAN($B6-Conversion!$B$16,2020,2050),Report_Scenarios!$A$18:$A$24,1)))/(INDEX(Report_Scenarios!$A$18:$A$24,MIN(MATCH(MEDIAN($B6-Conversion!$B$16,2020,2050),Report_Scenarios!$A$18:$A$24,1)+1,7))-INDEX(Report_Scenarios!$A$18:$A$24,MATCH(MEDIAN($B6-Conversion!$B$16,2020,2050),Report_Scenarios!$A$18:$A$24,1)))),IF(INDEX(Report_Scenarios!$A$29:$A$35,MIN(MATCH(MEDIAN($B6-Conversion!$B$16,2020,2050),Report_Scenarios!$A$29:$A$35,1)+1,7))=INDEX(Report_Scenarios!$A$29:$A$35,MATCH(MEDIAN($B6-Conversion!$B$16,2020,2050),Report_Scenarios!$A$29:$A$35,1)),INDEX(Report_Scenarios!$C$29:$C$35,MATCH(MEDIAN($B6-Conversion!$B$16,2020,2050),Report_Scenarios!$A$29:$A$35,1)),INDEX(Report_Scenarios!$C$29:$C$35,MATCH(MEDIAN($B6-Conversion!$B$16,2020,2050),Report_Scenarios!$A$29:$A$35,1))+(INDEX(Report_Scenarios!$C$29:$C$35,MIN(MATCH(MEDIAN($B6-Conversion!$B$16,2020,2050),Report_Scenarios!$A$29:$A$35,1)+1,7))-INDEX(Report_Scenarios!$C$29:$C$35,MATCH(MEDIAN($B6-Conversion!$B$16,2020,2050),Report_Scenarios!$A$29:$A$35,1)))*(MEDIAN($B6-Conversion!$B$16,2020,2050)-INDEX(Report_Scenarios!$A$29:$A$35,MATCH(MEDIAN($B6-Conversion!$B$16,2020,2050),Report_Scenarios!$A$29:$A$35,1)))/(INDEX(Report_Scenarios!$A$29:$A$35,MIN(MATCH(MEDIAN($B6-Conversion!$B$16,2020,2050),Report_Scenarios!$A$29:$A$35,1)+1,7))-INDEX(Report_Scenarios!$A$29:$A$35,MATCH(MEDIAN($B6-Conversion!$B$16,2020,2050),Report_Scenarios!$A$29:$A$35,1))))))</f>
        <v/>
      </c>
      <c r="G6" s="23">
        <f>IF($D6="Conservative",IF(INDEX(Report_Scenarios!$A$7:$A$13,MIN(MATCH(MEDIAN($B6-Conversion!$B$16,2020,2050),Report_Scenarios!$A$7:$A$13,1)+1,7))=INDEX(Report_Scenarios!$A$7:$A$13,MATCH(MEDIAN($B6-Conversion!$B$16,2020,2050),Report_Scenarios!$A$7:$A$13,1)),INDEX(Report_Scenarios!$D$7:$D$13,MATCH(MEDIAN($B6-Conversion!$B$16,2020,2050),Report_Scenarios!$A$7:$A$13,1)),INDEX(Report_Scenarios!$D$7:$D$13,MATCH(MEDIAN($B6-Conversion!$B$16,2020,2050),Report_Scenarios!$A$7:$A$13,1))+(INDEX(Report_Scenarios!$D$7:$D$13,MIN(MATCH(MEDIAN($B6-Conversion!$B$16,2020,2050),Report_Scenarios!$A$7:$A$13,1)+1,7))-INDEX(Report_Scenarios!$D$7:$D$13,MATCH(MEDIAN($B6-Conversion!$B$16,2020,2050),Report_Scenarios!$A$7:$A$13,1)))*(MEDIAN($B6-Conversion!$B$16,2020,2050)-INDEX(Report_Scenarios!$A$7:$A$13,MATCH(MEDIAN($B6-Conversion!$B$16,2020,2050),Report_Scenarios!$A$7:$A$13,1)))/(INDEX(Report_Scenarios!$A$7:$A$13,MIN(MATCH(MEDIAN($B6-Conversion!$B$16,2020,2050),Report_Scenarios!$A$7:$A$13,1)+1,7))-INDEX(Report_Scenarios!$A$7:$A$13,MATCH(MEDIAN($B6-Conversion!$B$16,2020,2050),Report_Scenarios!$A$7:$A$13,1)))),IF($D6="Central",IF(INDEX(Report_Scenarios!$A$18:$A$24,MIN(MATCH(MEDIAN($B6-Conversion!$B$16,2020,2050),Report_Scenarios!$A$18:$A$24,1)+1,7))=INDEX(Report_Scenarios!$A$18:$A$24,MATCH(MEDIAN($B6-Conversion!$B$16,2020,2050),Report_Scenarios!$A$18:$A$24,1)),INDEX(Report_Scenarios!$D$18:$D$24,MATCH(MEDIAN($B6-Conversion!$B$16,2020,2050),Report_Scenarios!$A$18:$A$24,1)),INDEX(Report_Scenarios!$D$18:$D$24,MATCH(MEDIAN($B6-Conversion!$B$16,2020,2050),Report_Scenarios!$A$18:$A$24,1))+(INDEX(Report_Scenarios!$D$18:$D$24,MIN(MATCH(MEDIAN($B6-Conversion!$B$16,2020,2050),Report_Scenarios!$A$18:$A$24,1)+1,7))-INDEX(Report_Scenarios!$D$18:$D$24,MATCH(MEDIAN($B6-Conversion!$B$16,2020,2050),Report_Scenarios!$A$18:$A$24,1)))*(MEDIAN($B6-Conversion!$B$16,2020,2050)-INDEX(Report_Scenarios!$A$18:$A$24,MATCH(MEDIAN($B6-Conversion!$B$16,2020,2050),Report_Scenarios!$A$18:$A$24,1)))/(INDEX(Report_Scenarios!$A$18:$A$24,MIN(MATCH(MEDIAN($B6-Conversion!$B$16,2020,2050),Report_Scenarios!$A$18:$A$24,1)+1,7))-INDEX(Report_Scenarios!$A$18:$A$24,MATCH(MEDIAN($B6-Conversion!$B$16,2020,2050),Report_Scenarios!$A$18:$A$24,1)))),IF(INDEX(Report_Scenarios!$A$29:$A$35,MIN(MATCH(MEDIAN($B6-Conversion!$B$16,2020,2050),Report_Scenarios!$A$29:$A$35,1)+1,7))=INDEX(Report_Scenarios!$A$29:$A$35,MATCH(MEDIAN($B6-Conversion!$B$16,2020,2050),Report_Scenarios!$A$29:$A$35,1)),INDEX(Report_Scenarios!$D$29:$D$35,MATCH(MEDIAN($B6-Conversion!$B$16,2020,2050),Report_Scenarios!$A$29:$A$35,1)),INDEX(Report_Scenarios!$D$29:$D$35,MATCH(MEDIAN($B6-Conversion!$B$16,2020,2050),Report_Scenarios!$A$29:$A$35,1))+(INDEX(Report_Scenarios!$D$29:$D$35,MIN(MATCH(MEDIAN($B6-Conversion!$B$16,2020,2050),Report_Scenarios!$A$29:$A$35,1)+1,7))-INDEX(Report_Scenarios!$D$29:$D$35,MATCH(MEDIAN($B6-Conversion!$B$16,2020,2050),Report_Scenarios!$A$29:$A$35,1)))*(MEDIAN($B6-Conversion!$B$16,2020,2050)-INDEX(Report_Scenarios!$A$29:$A$35,MATCH(MEDIAN($B6-Conversion!$B$16,2020,2050),Report_Scenarios!$A$29:$A$35,1)))/(INDEX(Report_Scenarios!$A$29:$A$35,MIN(MATCH(MEDIAN($B6-Conversion!$B$16,2020,2050),Report_Scenarios!$A$29:$A$35,1)+1,7))-INDEX(Report_Scenarios!$A$29:$A$35,MATCH(MEDIAN($B6-Conversion!$B$16,2020,2050),Report_Scenarios!$A$29:$A$35,1))))))</f>
        <v/>
      </c>
      <c r="H6" s="23">
        <f>IF($D6="Conservative",IF(INDEX(Report_Scenarios!$A$7:$A$13,MIN(MATCH(MEDIAN($B6-Conversion!$B$16,2020,2050),Report_Scenarios!$A$7:$A$13,1)+1,7))=INDEX(Report_Scenarios!$A$7:$A$13,MATCH(MEDIAN($B6-Conversion!$B$16,2020,2050),Report_Scenarios!$A$7:$A$13,1)),INDEX(Report_Scenarios!$E$7:$E$13,MATCH(MEDIAN($B6-Conversion!$B$16,2020,2050),Report_Scenarios!$A$7:$A$13,1)),INDEX(Report_Scenarios!$E$7:$E$13,MATCH(MEDIAN($B6-Conversion!$B$16,2020,2050),Report_Scenarios!$A$7:$A$13,1))+(INDEX(Report_Scenarios!$E$7:$E$13,MIN(MATCH(MEDIAN($B6-Conversion!$B$16,2020,2050),Report_Scenarios!$A$7:$A$13,1)+1,7))-INDEX(Report_Scenarios!$E$7:$E$13,MATCH(MEDIAN($B6-Conversion!$B$16,2020,2050),Report_Scenarios!$A$7:$A$13,1)))*(MEDIAN($B6-Conversion!$B$16,2020,2050)-INDEX(Report_Scenarios!$A$7:$A$13,MATCH(MEDIAN($B6-Conversion!$B$16,2020,2050),Report_Scenarios!$A$7:$A$13,1)))/(INDEX(Report_Scenarios!$A$7:$A$13,MIN(MATCH(MEDIAN($B6-Conversion!$B$16,2020,2050),Report_Scenarios!$A$7:$A$13,1)+1,7))-INDEX(Report_Scenarios!$A$7:$A$13,MATCH(MEDIAN($B6-Conversion!$B$16,2020,2050),Report_Scenarios!$A$7:$A$13,1)))),IF($D6="Central",IF(INDEX(Report_Scenarios!$A$18:$A$24,MIN(MATCH(MEDIAN($B6-Conversion!$B$16,2020,2050),Report_Scenarios!$A$18:$A$24,1)+1,7))=INDEX(Report_Scenarios!$A$18:$A$24,MATCH(MEDIAN($B6-Conversion!$B$16,2020,2050),Report_Scenarios!$A$18:$A$24,1)),INDEX(Report_Scenarios!$E$18:$E$24,MATCH(MEDIAN($B6-Conversion!$B$16,2020,2050),Report_Scenarios!$A$18:$A$24,1)),INDEX(Report_Scenarios!$E$18:$E$24,MATCH(MEDIAN($B6-Conversion!$B$16,2020,2050),Report_Scenarios!$A$18:$A$24,1))+(INDEX(Report_Scenarios!$E$18:$E$24,MIN(MATCH(MEDIAN($B6-Conversion!$B$16,2020,2050),Report_Scenarios!$A$18:$A$24,1)+1,7))-INDEX(Report_Scenarios!$E$18:$E$24,MATCH(MEDIAN($B6-Conversion!$B$16,2020,2050),Report_Scenarios!$A$18:$A$24,1)))*(MEDIAN($B6-Conversion!$B$16,2020,2050)-INDEX(Report_Scenarios!$A$18:$A$24,MATCH(MEDIAN($B6-Conversion!$B$16,2020,2050),Report_Scenarios!$A$18:$A$24,1)))/(INDEX(Report_Scenarios!$A$18:$A$24,MIN(MATCH(MEDIAN($B6-Conversion!$B$16,2020,2050),Report_Scenarios!$A$18:$A$24,1)+1,7))-INDEX(Report_Scenarios!$A$18:$A$24,MATCH(MEDIAN($B6-Conversion!$B$16,2020,2050),Report_Scenarios!$A$18:$A$24,1)))),IF(INDEX(Report_Scenarios!$A$29:$A$35,MIN(MATCH(MEDIAN($B6-Conversion!$B$16,2020,2050),Report_Scenarios!$A$29:$A$35,1)+1,7))=INDEX(Report_Scenarios!$A$29:$A$35,MATCH(MEDIAN($B6-Conversion!$B$16,2020,2050),Report_Scenarios!$A$29:$A$35,1)),INDEX(Report_Scenarios!$E$29:$E$35,MATCH(MEDIAN($B6-Conversion!$B$16,2020,2050),Report_Scenarios!$A$29:$A$35,1)),INDEX(Report_Scenarios!$E$29:$E$35,MATCH(MEDIAN($B6-Conversion!$B$16,2020,2050),Report_Scenarios!$A$29:$A$35,1))+(INDEX(Report_Scenarios!$E$29:$E$35,MIN(MATCH(MEDIAN($B6-Conversion!$B$16,2020,2050),Report_Scenarios!$A$29:$A$35,1)+1,7))-INDEX(Report_Scenarios!$E$29:$E$35,MATCH(MEDIAN($B6-Conversion!$B$16,2020,2050),Report_Scenarios!$A$29:$A$35,1)))*(MEDIAN($B6-Conversion!$B$16,2020,2050)-INDEX(Report_Scenarios!$A$29:$A$35,MATCH(MEDIAN($B6-Conversion!$B$16,2020,2050),Report_Scenarios!$A$29:$A$35,1)))/(INDEX(Report_Scenarios!$A$29:$A$35,MIN(MATCH(MEDIAN($B6-Conversion!$B$16,2020,2050),Report_Scenarios!$A$29:$A$35,1)+1,7))-INDEX(Report_Scenarios!$A$29:$A$35,MATCH(MEDIAN($B6-Conversion!$B$16,2020,2050),Report_Scenarios!$A$29:$A$35,1))))))</f>
        <v/>
      </c>
      <c r="I6" s="23">
        <f>IF($D6="Conservative",IF(INDEX(Report_Scenarios!$A$7:$A$13,MIN(MATCH(MEDIAN($B6-Conversion!$B$16,2020,2050),Report_Scenarios!$A$7:$A$13,1)+1,7))=INDEX(Report_Scenarios!$A$7:$A$13,MATCH(MEDIAN($B6-Conversion!$B$16,2020,2050),Report_Scenarios!$A$7:$A$13,1)),INDEX(Report_Scenarios!$F$7:$F$13,MATCH(MEDIAN($B6-Conversion!$B$16,2020,2050),Report_Scenarios!$A$7:$A$13,1)),INDEX(Report_Scenarios!$F$7:$F$13,MATCH(MEDIAN($B6-Conversion!$B$16,2020,2050),Report_Scenarios!$A$7:$A$13,1))+(INDEX(Report_Scenarios!$F$7:$F$13,MIN(MATCH(MEDIAN($B6-Conversion!$B$16,2020,2050),Report_Scenarios!$A$7:$A$13,1)+1,7))-INDEX(Report_Scenarios!$F$7:$F$13,MATCH(MEDIAN($B6-Conversion!$B$16,2020,2050),Report_Scenarios!$A$7:$A$13,1)))*(MEDIAN($B6-Conversion!$B$16,2020,2050)-INDEX(Report_Scenarios!$A$7:$A$13,MATCH(MEDIAN($B6-Conversion!$B$16,2020,2050),Report_Scenarios!$A$7:$A$13,1)))/(INDEX(Report_Scenarios!$A$7:$A$13,MIN(MATCH(MEDIAN($B6-Conversion!$B$16,2020,2050),Report_Scenarios!$A$7:$A$13,1)+1,7))-INDEX(Report_Scenarios!$A$7:$A$13,MATCH(MEDIAN($B6-Conversion!$B$16,2020,2050),Report_Scenarios!$A$7:$A$13,1)))),IF($D6="Central",IF(INDEX(Report_Scenarios!$A$18:$A$24,MIN(MATCH(MEDIAN($B6-Conversion!$B$16,2020,2050),Report_Scenarios!$A$18:$A$24,1)+1,7))=INDEX(Report_Scenarios!$A$18:$A$24,MATCH(MEDIAN($B6-Conversion!$B$16,2020,2050),Report_Scenarios!$A$18:$A$24,1)),INDEX(Report_Scenarios!$F$18:$F$24,MATCH(MEDIAN($B6-Conversion!$B$16,2020,2050),Report_Scenarios!$A$18:$A$24,1)),INDEX(Report_Scenarios!$F$18:$F$24,MATCH(MEDIAN($B6-Conversion!$B$16,2020,2050),Report_Scenarios!$A$18:$A$24,1))+(INDEX(Report_Scenarios!$F$18:$F$24,MIN(MATCH(MEDIAN($B6-Conversion!$B$16,2020,2050),Report_Scenarios!$A$18:$A$24,1)+1,7))-INDEX(Report_Scenarios!$F$18:$F$24,MATCH(MEDIAN($B6-Conversion!$B$16,2020,2050),Report_Scenarios!$A$18:$A$24,1)))*(MEDIAN($B6-Conversion!$B$16,2020,2050)-INDEX(Report_Scenarios!$A$18:$A$24,MATCH(MEDIAN($B6-Conversion!$B$16,2020,2050),Report_Scenarios!$A$18:$A$24,1)))/(INDEX(Report_Scenarios!$A$18:$A$24,MIN(MATCH(MEDIAN($B6-Conversion!$B$16,2020,2050),Report_Scenarios!$A$18:$A$24,1)+1,7))-INDEX(Report_Scenarios!$A$18:$A$24,MATCH(MEDIAN($B6-Conversion!$B$16,2020,2050),Report_Scenarios!$A$18:$A$24,1)))),IF(INDEX(Report_Scenarios!$A$29:$A$35,MIN(MATCH(MEDIAN($B6-Conversion!$B$16,2020,2050),Report_Scenarios!$A$29:$A$35,1)+1,7))=INDEX(Report_Scenarios!$A$29:$A$35,MATCH(MEDIAN($B6-Conversion!$B$16,2020,2050),Report_Scenarios!$A$29:$A$35,1)),INDEX(Report_Scenarios!$F$29:$F$35,MATCH(MEDIAN($B6-Conversion!$B$16,2020,2050),Report_Scenarios!$A$29:$A$35,1)),INDEX(Report_Scenarios!$F$29:$F$35,MATCH(MEDIAN($B6-Conversion!$B$16,2020,2050),Report_Scenarios!$A$29:$A$35,1))+(INDEX(Report_Scenarios!$F$29:$F$35,MIN(MATCH(MEDIAN($B6-Conversion!$B$16,2020,2050),Report_Scenarios!$A$29:$A$35,1)+1,7))-INDEX(Report_Scenarios!$F$29:$F$35,MATCH(MEDIAN($B6-Conversion!$B$16,2020,2050),Report_Scenarios!$A$29:$A$35,1)))*(MEDIAN($B6-Conversion!$B$16,2020,2050)-INDEX(Report_Scenarios!$A$29:$A$35,MATCH(MEDIAN($B6-Conversion!$B$16,2020,2050),Report_Scenarios!$A$29:$A$35,1)))/(INDEX(Report_Scenarios!$A$29:$A$35,MIN(MATCH(MEDIAN($B6-Conversion!$B$16,2020,2050),Report_Scenarios!$A$29:$A$35,1)+1,7))-INDEX(Report_Scenarios!$A$29:$A$35,MATCH(MEDIAN($B6-Conversion!$B$16,2020,2050),Report_Scenarios!$A$29:$A$35,1))))))</f>
        <v/>
      </c>
      <c r="J6" s="23">
        <f>IF($D6="Conservative",IF(INDEX(Report_Scenarios!$A$7:$A$13,MIN(MATCH(MEDIAN($B6-Conversion!$B$16,2020,2050),Report_Scenarios!$A$7:$A$13,1)+1,7))=INDEX(Report_Scenarios!$A$7:$A$13,MATCH(MEDIAN($B6-Conversion!$B$16,2020,2050),Report_Scenarios!$A$7:$A$13,1)),INDEX(Report_Scenarios!$G$7:$G$13,MATCH(MEDIAN($B6-Conversion!$B$16,2020,2050),Report_Scenarios!$A$7:$A$13,1)),INDEX(Report_Scenarios!$G$7:$G$13,MATCH(MEDIAN($B6-Conversion!$B$16,2020,2050),Report_Scenarios!$A$7:$A$13,1))+(INDEX(Report_Scenarios!$G$7:$G$13,MIN(MATCH(MEDIAN($B6-Conversion!$B$16,2020,2050),Report_Scenarios!$A$7:$A$13,1)+1,7))-INDEX(Report_Scenarios!$G$7:$G$13,MATCH(MEDIAN($B6-Conversion!$B$16,2020,2050),Report_Scenarios!$A$7:$A$13,1)))*(MEDIAN($B6-Conversion!$B$16,2020,2050)-INDEX(Report_Scenarios!$A$7:$A$13,MATCH(MEDIAN($B6-Conversion!$B$16,2020,2050),Report_Scenarios!$A$7:$A$13,1)))/(INDEX(Report_Scenarios!$A$7:$A$13,MIN(MATCH(MEDIAN($B6-Conversion!$B$16,2020,2050),Report_Scenarios!$A$7:$A$13,1)+1,7))-INDEX(Report_Scenarios!$A$7:$A$13,MATCH(MEDIAN($B6-Conversion!$B$16,2020,2050),Report_Scenarios!$A$7:$A$13,1)))),IF($D6="Central",IF(INDEX(Report_Scenarios!$A$18:$A$24,MIN(MATCH(MEDIAN($B6-Conversion!$B$16,2020,2050),Report_Scenarios!$A$18:$A$24,1)+1,7))=INDEX(Report_Scenarios!$A$18:$A$24,MATCH(MEDIAN($B6-Conversion!$B$16,2020,2050),Report_Scenarios!$A$18:$A$24,1)),INDEX(Report_Scenarios!$G$18:$G$24,MATCH(MEDIAN($B6-Conversion!$B$16,2020,2050),Report_Scenarios!$A$18:$A$24,1)),INDEX(Report_Scenarios!$G$18:$G$24,MATCH(MEDIAN($B6-Conversion!$B$16,2020,2050),Report_Scenarios!$A$18:$A$24,1))+(INDEX(Report_Scenarios!$G$18:$G$24,MIN(MATCH(MEDIAN($B6-Conversion!$B$16,2020,2050),Report_Scenarios!$A$18:$A$24,1)+1,7))-INDEX(Report_Scenarios!$G$18:$G$24,MATCH(MEDIAN($B6-Conversion!$B$16,2020,2050),Report_Scenarios!$A$18:$A$24,1)))*(MEDIAN($B6-Conversion!$B$16,2020,2050)-INDEX(Report_Scenarios!$A$18:$A$24,MATCH(MEDIAN($B6-Conversion!$B$16,2020,2050),Report_Scenarios!$A$18:$A$24,1)))/(INDEX(Report_Scenarios!$A$18:$A$24,MIN(MATCH(MEDIAN($B6-Conversion!$B$16,2020,2050),Report_Scenarios!$A$18:$A$24,1)+1,7))-INDEX(Report_Scenarios!$A$18:$A$24,MATCH(MEDIAN($B6-Conversion!$B$16,2020,2050),Report_Scenarios!$A$18:$A$24,1)))),IF(INDEX(Report_Scenarios!$A$29:$A$35,MIN(MATCH(MEDIAN($B6-Conversion!$B$16,2020,2050),Report_Scenarios!$A$29:$A$35,1)+1,7))=INDEX(Report_Scenarios!$A$29:$A$35,MATCH(MEDIAN($B6-Conversion!$B$16,2020,2050),Report_Scenarios!$A$29:$A$35,1)),INDEX(Report_Scenarios!$G$29:$G$35,MATCH(MEDIAN($B6-Conversion!$B$16,2020,2050),Report_Scenarios!$A$29:$A$35,1)),INDEX(Report_Scenarios!$G$29:$G$35,MATCH(MEDIAN($B6-Conversion!$B$16,2020,2050),Report_Scenarios!$A$29:$A$35,1))+(INDEX(Report_Scenarios!$G$29:$G$35,MIN(MATCH(MEDIAN($B6-Conversion!$B$16,2020,2050),Report_Scenarios!$A$29:$A$35,1)+1,7))-INDEX(Report_Scenarios!$G$29:$G$35,MATCH(MEDIAN($B6-Conversion!$B$16,2020,2050),Report_Scenarios!$A$29:$A$35,1)))*(MEDIAN($B6-Conversion!$B$16,2020,2050)-INDEX(Report_Scenarios!$A$29:$A$35,MATCH(MEDIAN($B6-Conversion!$B$16,2020,2050),Report_Scenarios!$A$29:$A$35,1)))/(INDEX(Report_Scenarios!$A$29:$A$35,MIN(MATCH(MEDIAN($B6-Conversion!$B$16,2020,2050),Report_Scenarios!$A$29:$A$35,1)+1,7))-INDEX(Report_Scenarios!$A$29:$A$35,MATCH(MEDIAN($B6-Conversion!$B$16,2020,2050),Report_Scenarios!$A$29:$A$35,1))))))</f>
        <v/>
      </c>
      <c r="K6" s="23">
        <f>SUM(E6:J6)</f>
        <v/>
      </c>
      <c r="L6" s="23">
        <f>IF(R6&lt;&gt;"",R6,IF($K6=0,0,E6/$K6))</f>
        <v/>
      </c>
      <c r="M6" s="23">
        <f>IF(S6&lt;&gt;"",S6,IF($K6=0,0,F6/$K6))</f>
        <v/>
      </c>
      <c r="N6" s="23">
        <f>IF(T6&lt;&gt;"",T6,IF($K6=0,0,G6/$K6))</f>
        <v/>
      </c>
      <c r="O6" s="23">
        <f>IF(U6&lt;&gt;"",U6,IF($K6=0,0,H6/$K6))</f>
        <v/>
      </c>
      <c r="P6" s="23">
        <f>IF(V6&lt;&gt;"",V6,IF($K6=0,0,I6/$K6))</f>
        <v/>
      </c>
      <c r="Q6" s="23">
        <f>IF(W6&lt;&gt;"",W6,IF($K6=0,0,J6/$K6))</f>
        <v/>
      </c>
      <c r="R6" s="24" t="n"/>
      <c r="S6" s="24" t="n"/>
      <c r="T6" s="24" t="n"/>
      <c r="U6" s="24" t="n"/>
      <c r="V6" s="24" t="n"/>
      <c r="W6" s="24" t="n"/>
    </row>
    <row r="7">
      <c r="A7" s="4" t="inlineStr">
        <is>
          <t>AB</t>
        </is>
      </c>
      <c r="B7" s="4" t="n">
        <v>2020</v>
      </c>
      <c r="C7" s="4" t="inlineStr">
        <is>
          <t>Share_Max</t>
        </is>
      </c>
      <c r="D7" s="4">
        <f>Conversion!$B$20</f>
        <v/>
      </c>
      <c r="E7" s="23">
        <f>IF($D7="Conservative",IF(INDEX(Report_Scenarios!$A$7:$A$13,MIN(MATCH(MEDIAN($B7-Conversion!$B$16,2020,2050),Report_Scenarios!$A$7:$A$13,1)+1,7))=INDEX(Report_Scenarios!$A$7:$A$13,MATCH(MEDIAN($B7-Conversion!$B$16,2020,2050),Report_Scenarios!$A$7:$A$13,1)),INDEX(Report_Scenarios!$B$7:$B$13,MATCH(MEDIAN($B7-Conversion!$B$16,2020,2050),Report_Scenarios!$A$7:$A$13,1)),INDEX(Report_Scenarios!$B$7:$B$13,MATCH(MEDIAN($B7-Conversion!$B$16,2020,2050),Report_Scenarios!$A$7:$A$13,1))+(INDEX(Report_Scenarios!$B$7:$B$13,MIN(MATCH(MEDIAN($B7-Conversion!$B$16,2020,2050),Report_Scenarios!$A$7:$A$13,1)+1,7))-INDEX(Report_Scenarios!$B$7:$B$13,MATCH(MEDIAN($B7-Conversion!$B$16,2020,2050),Report_Scenarios!$A$7:$A$13,1)))*(MEDIAN($B7-Conversion!$B$16,2020,2050)-INDEX(Report_Scenarios!$A$7:$A$13,MATCH(MEDIAN($B7-Conversion!$B$16,2020,2050),Report_Scenarios!$A$7:$A$13,1)))/(INDEX(Report_Scenarios!$A$7:$A$13,MIN(MATCH(MEDIAN($B7-Conversion!$B$16,2020,2050),Report_Scenarios!$A$7:$A$13,1)+1,7))-INDEX(Report_Scenarios!$A$7:$A$13,MATCH(MEDIAN($B7-Conversion!$B$16,2020,2050),Report_Scenarios!$A$7:$A$13,1)))),IF($D7="Central",IF(INDEX(Report_Scenarios!$A$18:$A$24,MIN(MATCH(MEDIAN($B7-Conversion!$B$16,2020,2050),Report_Scenarios!$A$18:$A$24,1)+1,7))=INDEX(Report_Scenarios!$A$18:$A$24,MATCH(MEDIAN($B7-Conversion!$B$16,2020,2050),Report_Scenarios!$A$18:$A$24,1)),INDEX(Report_Scenarios!$B$18:$B$24,MATCH(MEDIAN($B7-Conversion!$B$16,2020,2050),Report_Scenarios!$A$18:$A$24,1)),INDEX(Report_Scenarios!$B$18:$B$24,MATCH(MEDIAN($B7-Conversion!$B$16,2020,2050),Report_Scenarios!$A$18:$A$24,1))+(INDEX(Report_Scenarios!$B$18:$B$24,MIN(MATCH(MEDIAN($B7-Conversion!$B$16,2020,2050),Report_Scenarios!$A$18:$A$24,1)+1,7))-INDEX(Report_Scenarios!$B$18:$B$24,MATCH(MEDIAN($B7-Conversion!$B$16,2020,2050),Report_Scenarios!$A$18:$A$24,1)))*(MEDIAN($B7-Conversion!$B$16,2020,2050)-INDEX(Report_Scenarios!$A$18:$A$24,MATCH(MEDIAN($B7-Conversion!$B$16,2020,2050),Report_Scenarios!$A$18:$A$24,1)))/(INDEX(Report_Scenarios!$A$18:$A$24,MIN(MATCH(MEDIAN($B7-Conversion!$B$16,2020,2050),Report_Scenarios!$A$18:$A$24,1)+1,7))-INDEX(Report_Scenarios!$A$18:$A$24,MATCH(MEDIAN($B7-Conversion!$B$16,2020,2050),Report_Scenarios!$A$18:$A$24,1)))),IF(INDEX(Report_Scenarios!$A$29:$A$35,MIN(MATCH(MEDIAN($B7-Conversion!$B$16,2020,2050),Report_Scenarios!$A$29:$A$35,1)+1,7))=INDEX(Report_Scenarios!$A$29:$A$35,MATCH(MEDIAN($B7-Conversion!$B$16,2020,2050),Report_Scenarios!$A$29:$A$35,1)),INDEX(Report_Scenarios!$B$29:$B$35,MATCH(MEDIAN($B7-Conversion!$B$16,2020,2050),Report_Scenarios!$A$29:$A$35,1)),INDEX(Report_Scenarios!$B$29:$B$35,MATCH(MEDIAN($B7-Conversion!$B$16,2020,2050),Report_Scenarios!$A$29:$A$35,1))+(INDEX(Report_Scenarios!$B$29:$B$35,MIN(MATCH(MEDIAN($B7-Conversion!$B$16,2020,2050),Report_Scenarios!$A$29:$A$35,1)+1,7))-INDEX(Report_Scenarios!$B$29:$B$35,MATCH(MEDIAN($B7-Conversion!$B$16,2020,2050),Report_Scenarios!$A$29:$A$35,1)))*(MEDIAN($B7-Conversion!$B$16,2020,2050)-INDEX(Report_Scenarios!$A$29:$A$35,MATCH(MEDIAN($B7-Conversion!$B$16,2020,2050),Report_Scenarios!$A$29:$A$35,1)))/(INDEX(Report_Scenarios!$A$29:$A$35,MIN(MATCH(MEDIAN($B7-Conversion!$B$16,2020,2050),Report_Scenarios!$A$29:$A$35,1)+1,7))-INDEX(Report_Scenarios!$A$29:$A$35,MATCH(MEDIAN($B7-Conversion!$B$16,2020,2050),Report_Scenarios!$A$29:$A$35,1))))))</f>
        <v/>
      </c>
      <c r="F7" s="23">
        <f>IF($D7="Conservative",IF(INDEX(Report_Scenarios!$A$7:$A$13,MIN(MATCH(MEDIAN($B7-Conversion!$B$16,2020,2050),Report_Scenarios!$A$7:$A$13,1)+1,7))=INDEX(Report_Scenarios!$A$7:$A$13,MATCH(MEDIAN($B7-Conversion!$B$16,2020,2050),Report_Scenarios!$A$7:$A$13,1)),INDEX(Report_Scenarios!$C$7:$C$13,MATCH(MEDIAN($B7-Conversion!$B$16,2020,2050),Report_Scenarios!$A$7:$A$13,1)),INDEX(Report_Scenarios!$C$7:$C$13,MATCH(MEDIAN($B7-Conversion!$B$16,2020,2050),Report_Scenarios!$A$7:$A$13,1))+(INDEX(Report_Scenarios!$C$7:$C$13,MIN(MATCH(MEDIAN($B7-Conversion!$B$16,2020,2050),Report_Scenarios!$A$7:$A$13,1)+1,7))-INDEX(Report_Scenarios!$C$7:$C$13,MATCH(MEDIAN($B7-Conversion!$B$16,2020,2050),Report_Scenarios!$A$7:$A$13,1)))*(MEDIAN($B7-Conversion!$B$16,2020,2050)-INDEX(Report_Scenarios!$A$7:$A$13,MATCH(MEDIAN($B7-Conversion!$B$16,2020,2050),Report_Scenarios!$A$7:$A$13,1)))/(INDEX(Report_Scenarios!$A$7:$A$13,MIN(MATCH(MEDIAN($B7-Conversion!$B$16,2020,2050),Report_Scenarios!$A$7:$A$13,1)+1,7))-INDEX(Report_Scenarios!$A$7:$A$13,MATCH(MEDIAN($B7-Conversion!$B$16,2020,2050),Report_Scenarios!$A$7:$A$13,1)))),IF($D7="Central",IF(INDEX(Report_Scenarios!$A$18:$A$24,MIN(MATCH(MEDIAN($B7-Conversion!$B$16,2020,2050),Report_Scenarios!$A$18:$A$24,1)+1,7))=INDEX(Report_Scenarios!$A$18:$A$24,MATCH(MEDIAN($B7-Conversion!$B$16,2020,2050),Report_Scenarios!$A$18:$A$24,1)),INDEX(Report_Scenarios!$C$18:$C$24,MATCH(MEDIAN($B7-Conversion!$B$16,2020,2050),Report_Scenarios!$A$18:$A$24,1)),INDEX(Report_Scenarios!$C$18:$C$24,MATCH(MEDIAN($B7-Conversion!$B$16,2020,2050),Report_Scenarios!$A$18:$A$24,1))+(INDEX(Report_Scenarios!$C$18:$C$24,MIN(MATCH(MEDIAN($B7-Conversion!$B$16,2020,2050),Report_Scenarios!$A$18:$A$24,1)+1,7))-INDEX(Report_Scenarios!$C$18:$C$24,MATCH(MEDIAN($B7-Conversion!$B$16,2020,2050),Report_Scenarios!$A$18:$A$24,1)))*(MEDIAN($B7-Conversion!$B$16,2020,2050)-INDEX(Report_Scenarios!$A$18:$A$24,MATCH(MEDIAN($B7-Conversion!$B$16,2020,2050),Report_Scenarios!$A$18:$A$24,1)))/(INDEX(Report_Scenarios!$A$18:$A$24,MIN(MATCH(MEDIAN($B7-Conversion!$B$16,2020,2050),Report_Scenarios!$A$18:$A$24,1)+1,7))-INDEX(Report_Scenarios!$A$18:$A$24,MATCH(MEDIAN($B7-Conversion!$B$16,2020,2050),Report_Scenarios!$A$18:$A$24,1)))),IF(INDEX(Report_Scenarios!$A$29:$A$35,MIN(MATCH(MEDIAN($B7-Conversion!$B$16,2020,2050),Report_Scenarios!$A$29:$A$35,1)+1,7))=INDEX(Report_Scenarios!$A$29:$A$35,MATCH(MEDIAN($B7-Conversion!$B$16,2020,2050),Report_Scenarios!$A$29:$A$35,1)),INDEX(Report_Scenarios!$C$29:$C$35,MATCH(MEDIAN($B7-Conversion!$B$16,2020,2050),Report_Scenarios!$A$29:$A$35,1)),INDEX(Report_Scenarios!$C$29:$C$35,MATCH(MEDIAN($B7-Conversion!$B$16,2020,2050),Report_Scenarios!$A$29:$A$35,1))+(INDEX(Report_Scenarios!$C$29:$C$35,MIN(MATCH(MEDIAN($B7-Conversion!$B$16,2020,2050),Report_Scenarios!$A$29:$A$35,1)+1,7))-INDEX(Report_Scenarios!$C$29:$C$35,MATCH(MEDIAN($B7-Conversion!$B$16,2020,2050),Report_Scenarios!$A$29:$A$35,1)))*(MEDIAN($B7-Conversion!$B$16,2020,2050)-INDEX(Report_Scenarios!$A$29:$A$35,MATCH(MEDIAN($B7-Conversion!$B$16,2020,2050),Report_Scenarios!$A$29:$A$35,1)))/(INDEX(Report_Scenarios!$A$29:$A$35,MIN(MATCH(MEDIAN($B7-Conversion!$B$16,2020,2050),Report_Scenarios!$A$29:$A$35,1)+1,7))-INDEX(Report_Scenarios!$A$29:$A$35,MATCH(MEDIAN($B7-Conversion!$B$16,2020,2050),Report_Scenarios!$A$29:$A$35,1))))))</f>
        <v/>
      </c>
      <c r="G7" s="23">
        <f>IF($D7="Conservative",IF(INDEX(Report_Scenarios!$A$7:$A$13,MIN(MATCH(MEDIAN($B7-Conversion!$B$16,2020,2050),Report_Scenarios!$A$7:$A$13,1)+1,7))=INDEX(Report_Scenarios!$A$7:$A$13,MATCH(MEDIAN($B7-Conversion!$B$16,2020,2050),Report_Scenarios!$A$7:$A$13,1)),INDEX(Report_Scenarios!$D$7:$D$13,MATCH(MEDIAN($B7-Conversion!$B$16,2020,2050),Report_Scenarios!$A$7:$A$13,1)),INDEX(Report_Scenarios!$D$7:$D$13,MATCH(MEDIAN($B7-Conversion!$B$16,2020,2050),Report_Scenarios!$A$7:$A$13,1))+(INDEX(Report_Scenarios!$D$7:$D$13,MIN(MATCH(MEDIAN($B7-Conversion!$B$16,2020,2050),Report_Scenarios!$A$7:$A$13,1)+1,7))-INDEX(Report_Scenarios!$D$7:$D$13,MATCH(MEDIAN($B7-Conversion!$B$16,2020,2050),Report_Scenarios!$A$7:$A$13,1)))*(MEDIAN($B7-Conversion!$B$16,2020,2050)-INDEX(Report_Scenarios!$A$7:$A$13,MATCH(MEDIAN($B7-Conversion!$B$16,2020,2050),Report_Scenarios!$A$7:$A$13,1)))/(INDEX(Report_Scenarios!$A$7:$A$13,MIN(MATCH(MEDIAN($B7-Conversion!$B$16,2020,2050),Report_Scenarios!$A$7:$A$13,1)+1,7))-INDEX(Report_Scenarios!$A$7:$A$13,MATCH(MEDIAN($B7-Conversion!$B$16,2020,2050),Report_Scenarios!$A$7:$A$13,1)))),IF($D7="Central",IF(INDEX(Report_Scenarios!$A$18:$A$24,MIN(MATCH(MEDIAN($B7-Conversion!$B$16,2020,2050),Report_Scenarios!$A$18:$A$24,1)+1,7))=INDEX(Report_Scenarios!$A$18:$A$24,MATCH(MEDIAN($B7-Conversion!$B$16,2020,2050),Report_Scenarios!$A$18:$A$24,1)),INDEX(Report_Scenarios!$D$18:$D$24,MATCH(MEDIAN($B7-Conversion!$B$16,2020,2050),Report_Scenarios!$A$18:$A$24,1)),INDEX(Report_Scenarios!$D$18:$D$24,MATCH(MEDIAN($B7-Conversion!$B$16,2020,2050),Report_Scenarios!$A$18:$A$24,1))+(INDEX(Report_Scenarios!$D$18:$D$24,MIN(MATCH(MEDIAN($B7-Conversion!$B$16,2020,2050),Report_Scenarios!$A$18:$A$24,1)+1,7))-INDEX(Report_Scenarios!$D$18:$D$24,MATCH(MEDIAN($B7-Conversion!$B$16,2020,2050),Report_Scenarios!$A$18:$A$24,1)))*(MEDIAN($B7-Conversion!$B$16,2020,2050)-INDEX(Report_Scenarios!$A$18:$A$24,MATCH(MEDIAN($B7-Conversion!$B$16,2020,2050),Report_Scenarios!$A$18:$A$24,1)))/(INDEX(Report_Scenarios!$A$18:$A$24,MIN(MATCH(MEDIAN($B7-Conversion!$B$16,2020,2050),Report_Scenarios!$A$18:$A$24,1)+1,7))-INDEX(Report_Scenarios!$A$18:$A$24,MATCH(MEDIAN($B7-Conversion!$B$16,2020,2050),Report_Scenarios!$A$18:$A$24,1)))),IF(INDEX(Report_Scenarios!$A$29:$A$35,MIN(MATCH(MEDIAN($B7-Conversion!$B$16,2020,2050),Report_Scenarios!$A$29:$A$35,1)+1,7))=INDEX(Report_Scenarios!$A$29:$A$35,MATCH(MEDIAN($B7-Conversion!$B$16,2020,2050),Report_Scenarios!$A$29:$A$35,1)),INDEX(Report_Scenarios!$D$29:$D$35,MATCH(MEDIAN($B7-Conversion!$B$16,2020,2050),Report_Scenarios!$A$29:$A$35,1)),INDEX(Report_Scenarios!$D$29:$D$35,MATCH(MEDIAN($B7-Conversion!$B$16,2020,2050),Report_Scenarios!$A$29:$A$35,1))+(INDEX(Report_Scenarios!$D$29:$D$35,MIN(MATCH(MEDIAN($B7-Conversion!$B$16,2020,2050),Report_Scenarios!$A$29:$A$35,1)+1,7))-INDEX(Report_Scenarios!$D$29:$D$35,MATCH(MEDIAN($B7-Conversion!$B$16,2020,2050),Report_Scenarios!$A$29:$A$35,1)))*(MEDIAN($B7-Conversion!$B$16,2020,2050)-INDEX(Report_Scenarios!$A$29:$A$35,MATCH(MEDIAN($B7-Conversion!$B$16,2020,2050),Report_Scenarios!$A$29:$A$35,1)))/(INDEX(Report_Scenarios!$A$29:$A$35,MIN(MATCH(MEDIAN($B7-Conversion!$B$16,2020,2050),Report_Scenarios!$A$29:$A$35,1)+1,7))-INDEX(Report_Scenarios!$A$29:$A$35,MATCH(MEDIAN($B7-Conversion!$B$16,2020,2050),Report_Scenarios!$A$29:$A$35,1))))))</f>
        <v/>
      </c>
      <c r="H7" s="23">
        <f>IF($D7="Conservative",IF(INDEX(Report_Scenarios!$A$7:$A$13,MIN(MATCH(MEDIAN($B7-Conversion!$B$16,2020,2050),Report_Scenarios!$A$7:$A$13,1)+1,7))=INDEX(Report_Scenarios!$A$7:$A$13,MATCH(MEDIAN($B7-Conversion!$B$16,2020,2050),Report_Scenarios!$A$7:$A$13,1)),INDEX(Report_Scenarios!$E$7:$E$13,MATCH(MEDIAN($B7-Conversion!$B$16,2020,2050),Report_Scenarios!$A$7:$A$13,1)),INDEX(Report_Scenarios!$E$7:$E$13,MATCH(MEDIAN($B7-Conversion!$B$16,2020,2050),Report_Scenarios!$A$7:$A$13,1))+(INDEX(Report_Scenarios!$E$7:$E$13,MIN(MATCH(MEDIAN($B7-Conversion!$B$16,2020,2050),Report_Scenarios!$A$7:$A$13,1)+1,7))-INDEX(Report_Scenarios!$E$7:$E$13,MATCH(MEDIAN($B7-Conversion!$B$16,2020,2050),Report_Scenarios!$A$7:$A$13,1)))*(MEDIAN($B7-Conversion!$B$16,2020,2050)-INDEX(Report_Scenarios!$A$7:$A$13,MATCH(MEDIAN($B7-Conversion!$B$16,2020,2050),Report_Scenarios!$A$7:$A$13,1)))/(INDEX(Report_Scenarios!$A$7:$A$13,MIN(MATCH(MEDIAN($B7-Conversion!$B$16,2020,2050),Report_Scenarios!$A$7:$A$13,1)+1,7))-INDEX(Report_Scenarios!$A$7:$A$13,MATCH(MEDIAN($B7-Conversion!$B$16,2020,2050),Report_Scenarios!$A$7:$A$13,1)))),IF($D7="Central",IF(INDEX(Report_Scenarios!$A$18:$A$24,MIN(MATCH(MEDIAN($B7-Conversion!$B$16,2020,2050),Report_Scenarios!$A$18:$A$24,1)+1,7))=INDEX(Report_Scenarios!$A$18:$A$24,MATCH(MEDIAN($B7-Conversion!$B$16,2020,2050),Report_Scenarios!$A$18:$A$24,1)),INDEX(Report_Scenarios!$E$18:$E$24,MATCH(MEDIAN($B7-Conversion!$B$16,2020,2050),Report_Scenarios!$A$18:$A$24,1)),INDEX(Report_Scenarios!$E$18:$E$24,MATCH(MEDIAN($B7-Conversion!$B$16,2020,2050),Report_Scenarios!$A$18:$A$24,1))+(INDEX(Report_Scenarios!$E$18:$E$24,MIN(MATCH(MEDIAN($B7-Conversion!$B$16,2020,2050),Report_Scenarios!$A$18:$A$24,1)+1,7))-INDEX(Report_Scenarios!$E$18:$E$24,MATCH(MEDIAN($B7-Conversion!$B$16,2020,2050),Report_Scenarios!$A$18:$A$24,1)))*(MEDIAN($B7-Conversion!$B$16,2020,2050)-INDEX(Report_Scenarios!$A$18:$A$24,MATCH(MEDIAN($B7-Conversion!$B$16,2020,2050),Report_Scenarios!$A$18:$A$24,1)))/(INDEX(Report_Scenarios!$A$18:$A$24,MIN(MATCH(MEDIAN($B7-Conversion!$B$16,2020,2050),Report_Scenarios!$A$18:$A$24,1)+1,7))-INDEX(Report_Scenarios!$A$18:$A$24,MATCH(MEDIAN($B7-Conversion!$B$16,2020,2050),Report_Scenarios!$A$18:$A$24,1)))),IF(INDEX(Report_Scenarios!$A$29:$A$35,MIN(MATCH(MEDIAN($B7-Conversion!$B$16,2020,2050),Report_Scenarios!$A$29:$A$35,1)+1,7))=INDEX(Report_Scenarios!$A$29:$A$35,MATCH(MEDIAN($B7-Conversion!$B$16,2020,2050),Report_Scenarios!$A$29:$A$35,1)),INDEX(Report_Scenarios!$E$29:$E$35,MATCH(MEDIAN($B7-Conversion!$B$16,2020,2050),Report_Scenarios!$A$29:$A$35,1)),INDEX(Report_Scenarios!$E$29:$E$35,MATCH(MEDIAN($B7-Conversion!$B$16,2020,2050),Report_Scenarios!$A$29:$A$35,1))+(INDEX(Report_Scenarios!$E$29:$E$35,MIN(MATCH(MEDIAN($B7-Conversion!$B$16,2020,2050),Report_Scenarios!$A$29:$A$35,1)+1,7))-INDEX(Report_Scenarios!$E$29:$E$35,MATCH(MEDIAN($B7-Conversion!$B$16,2020,2050),Report_Scenarios!$A$29:$A$35,1)))*(MEDIAN($B7-Conversion!$B$16,2020,2050)-INDEX(Report_Scenarios!$A$29:$A$35,MATCH(MEDIAN($B7-Conversion!$B$16,2020,2050),Report_Scenarios!$A$29:$A$35,1)))/(INDEX(Report_Scenarios!$A$29:$A$35,MIN(MATCH(MEDIAN($B7-Conversion!$B$16,2020,2050),Report_Scenarios!$A$29:$A$35,1)+1,7))-INDEX(Report_Scenarios!$A$29:$A$35,MATCH(MEDIAN($B7-Conversion!$B$16,2020,2050),Report_Scenarios!$A$29:$A$35,1))))))</f>
        <v/>
      </c>
      <c r="I7" s="23">
        <f>IF($D7="Conservative",IF(INDEX(Report_Scenarios!$A$7:$A$13,MIN(MATCH(MEDIAN($B7-Conversion!$B$16,2020,2050),Report_Scenarios!$A$7:$A$13,1)+1,7))=INDEX(Report_Scenarios!$A$7:$A$13,MATCH(MEDIAN($B7-Conversion!$B$16,2020,2050),Report_Scenarios!$A$7:$A$13,1)),INDEX(Report_Scenarios!$F$7:$F$13,MATCH(MEDIAN($B7-Conversion!$B$16,2020,2050),Report_Scenarios!$A$7:$A$13,1)),INDEX(Report_Scenarios!$F$7:$F$13,MATCH(MEDIAN($B7-Conversion!$B$16,2020,2050),Report_Scenarios!$A$7:$A$13,1))+(INDEX(Report_Scenarios!$F$7:$F$13,MIN(MATCH(MEDIAN($B7-Conversion!$B$16,2020,2050),Report_Scenarios!$A$7:$A$13,1)+1,7))-INDEX(Report_Scenarios!$F$7:$F$13,MATCH(MEDIAN($B7-Conversion!$B$16,2020,2050),Report_Scenarios!$A$7:$A$13,1)))*(MEDIAN($B7-Conversion!$B$16,2020,2050)-INDEX(Report_Scenarios!$A$7:$A$13,MATCH(MEDIAN($B7-Conversion!$B$16,2020,2050),Report_Scenarios!$A$7:$A$13,1)))/(INDEX(Report_Scenarios!$A$7:$A$13,MIN(MATCH(MEDIAN($B7-Conversion!$B$16,2020,2050),Report_Scenarios!$A$7:$A$13,1)+1,7))-INDEX(Report_Scenarios!$A$7:$A$13,MATCH(MEDIAN($B7-Conversion!$B$16,2020,2050),Report_Scenarios!$A$7:$A$13,1)))),IF($D7="Central",IF(INDEX(Report_Scenarios!$A$18:$A$24,MIN(MATCH(MEDIAN($B7-Conversion!$B$16,2020,2050),Report_Scenarios!$A$18:$A$24,1)+1,7))=INDEX(Report_Scenarios!$A$18:$A$24,MATCH(MEDIAN($B7-Conversion!$B$16,2020,2050),Report_Scenarios!$A$18:$A$24,1)),INDEX(Report_Scenarios!$F$18:$F$24,MATCH(MEDIAN($B7-Conversion!$B$16,2020,2050),Report_Scenarios!$A$18:$A$24,1)),INDEX(Report_Scenarios!$F$18:$F$24,MATCH(MEDIAN($B7-Conversion!$B$16,2020,2050),Report_Scenarios!$A$18:$A$24,1))+(INDEX(Report_Scenarios!$F$18:$F$24,MIN(MATCH(MEDIAN($B7-Conversion!$B$16,2020,2050),Report_Scenarios!$A$18:$A$24,1)+1,7))-INDEX(Report_Scenarios!$F$18:$F$24,MATCH(MEDIAN($B7-Conversion!$B$16,2020,2050),Report_Scenarios!$A$18:$A$24,1)))*(MEDIAN($B7-Conversion!$B$16,2020,2050)-INDEX(Report_Scenarios!$A$18:$A$24,MATCH(MEDIAN($B7-Conversion!$B$16,2020,2050),Report_Scenarios!$A$18:$A$24,1)))/(INDEX(Report_Scenarios!$A$18:$A$24,MIN(MATCH(MEDIAN($B7-Conversion!$B$16,2020,2050),Report_Scenarios!$A$18:$A$24,1)+1,7))-INDEX(Report_Scenarios!$A$18:$A$24,MATCH(MEDIAN($B7-Conversion!$B$16,2020,2050),Report_Scenarios!$A$18:$A$24,1)))),IF(INDEX(Report_Scenarios!$A$29:$A$35,MIN(MATCH(MEDIAN($B7-Conversion!$B$16,2020,2050),Report_Scenarios!$A$29:$A$35,1)+1,7))=INDEX(Report_Scenarios!$A$29:$A$35,MATCH(MEDIAN($B7-Conversion!$B$16,2020,2050),Report_Scenarios!$A$29:$A$35,1)),INDEX(Report_Scenarios!$F$29:$F$35,MATCH(MEDIAN($B7-Conversion!$B$16,2020,2050),Report_Scenarios!$A$29:$A$35,1)),INDEX(Report_Scenarios!$F$29:$F$35,MATCH(MEDIAN($B7-Conversion!$B$16,2020,2050),Report_Scenarios!$A$29:$A$35,1))+(INDEX(Report_Scenarios!$F$29:$F$35,MIN(MATCH(MEDIAN($B7-Conversion!$B$16,2020,2050),Report_Scenarios!$A$29:$A$35,1)+1,7))-INDEX(Report_Scenarios!$F$29:$F$35,MATCH(MEDIAN($B7-Conversion!$B$16,2020,2050),Report_Scenarios!$A$29:$A$35,1)))*(MEDIAN($B7-Conversion!$B$16,2020,2050)-INDEX(Report_Scenarios!$A$29:$A$35,MATCH(MEDIAN($B7-Conversion!$B$16,2020,2050),Report_Scenarios!$A$29:$A$35,1)))/(INDEX(Report_Scenarios!$A$29:$A$35,MIN(MATCH(MEDIAN($B7-Conversion!$B$16,2020,2050),Report_Scenarios!$A$29:$A$35,1)+1,7))-INDEX(Report_Scenarios!$A$29:$A$35,MATCH(MEDIAN($B7-Conversion!$B$16,2020,2050),Report_Scenarios!$A$29:$A$35,1))))))</f>
        <v/>
      </c>
      <c r="J7" s="23">
        <f>IF($D7="Conservative",IF(INDEX(Report_Scenarios!$A$7:$A$13,MIN(MATCH(MEDIAN($B7-Conversion!$B$16,2020,2050),Report_Scenarios!$A$7:$A$13,1)+1,7))=INDEX(Report_Scenarios!$A$7:$A$13,MATCH(MEDIAN($B7-Conversion!$B$16,2020,2050),Report_Scenarios!$A$7:$A$13,1)),INDEX(Report_Scenarios!$G$7:$G$13,MATCH(MEDIAN($B7-Conversion!$B$16,2020,2050),Report_Scenarios!$A$7:$A$13,1)),INDEX(Report_Scenarios!$G$7:$G$13,MATCH(MEDIAN($B7-Conversion!$B$16,2020,2050),Report_Scenarios!$A$7:$A$13,1))+(INDEX(Report_Scenarios!$G$7:$G$13,MIN(MATCH(MEDIAN($B7-Conversion!$B$16,2020,2050),Report_Scenarios!$A$7:$A$13,1)+1,7))-INDEX(Report_Scenarios!$G$7:$G$13,MATCH(MEDIAN($B7-Conversion!$B$16,2020,2050),Report_Scenarios!$A$7:$A$13,1)))*(MEDIAN($B7-Conversion!$B$16,2020,2050)-INDEX(Report_Scenarios!$A$7:$A$13,MATCH(MEDIAN($B7-Conversion!$B$16,2020,2050),Report_Scenarios!$A$7:$A$13,1)))/(INDEX(Report_Scenarios!$A$7:$A$13,MIN(MATCH(MEDIAN($B7-Conversion!$B$16,2020,2050),Report_Scenarios!$A$7:$A$13,1)+1,7))-INDEX(Report_Scenarios!$A$7:$A$13,MATCH(MEDIAN($B7-Conversion!$B$16,2020,2050),Report_Scenarios!$A$7:$A$13,1)))),IF($D7="Central",IF(INDEX(Report_Scenarios!$A$18:$A$24,MIN(MATCH(MEDIAN($B7-Conversion!$B$16,2020,2050),Report_Scenarios!$A$18:$A$24,1)+1,7))=INDEX(Report_Scenarios!$A$18:$A$24,MATCH(MEDIAN($B7-Conversion!$B$16,2020,2050),Report_Scenarios!$A$18:$A$24,1)),INDEX(Report_Scenarios!$G$18:$G$24,MATCH(MEDIAN($B7-Conversion!$B$16,2020,2050),Report_Scenarios!$A$18:$A$24,1)),INDEX(Report_Scenarios!$G$18:$G$24,MATCH(MEDIAN($B7-Conversion!$B$16,2020,2050),Report_Scenarios!$A$18:$A$24,1))+(INDEX(Report_Scenarios!$G$18:$G$24,MIN(MATCH(MEDIAN($B7-Conversion!$B$16,2020,2050),Report_Scenarios!$A$18:$A$24,1)+1,7))-INDEX(Report_Scenarios!$G$18:$G$24,MATCH(MEDIAN($B7-Conversion!$B$16,2020,2050),Report_Scenarios!$A$18:$A$24,1)))*(MEDIAN($B7-Conversion!$B$16,2020,2050)-INDEX(Report_Scenarios!$A$18:$A$24,MATCH(MEDIAN($B7-Conversion!$B$16,2020,2050),Report_Scenarios!$A$18:$A$24,1)))/(INDEX(Report_Scenarios!$A$18:$A$24,MIN(MATCH(MEDIAN($B7-Conversion!$B$16,2020,2050),Report_Scenarios!$A$18:$A$24,1)+1,7))-INDEX(Report_Scenarios!$A$18:$A$24,MATCH(MEDIAN($B7-Conversion!$B$16,2020,2050),Report_Scenarios!$A$18:$A$24,1)))),IF(INDEX(Report_Scenarios!$A$29:$A$35,MIN(MATCH(MEDIAN($B7-Conversion!$B$16,2020,2050),Report_Scenarios!$A$29:$A$35,1)+1,7))=INDEX(Report_Scenarios!$A$29:$A$35,MATCH(MEDIAN($B7-Conversion!$B$16,2020,2050),Report_Scenarios!$A$29:$A$35,1)),INDEX(Report_Scenarios!$G$29:$G$35,MATCH(MEDIAN($B7-Conversion!$B$16,2020,2050),Report_Scenarios!$A$29:$A$35,1)),INDEX(Report_Scenarios!$G$29:$G$35,MATCH(MEDIAN($B7-Conversion!$B$16,2020,2050),Report_Scenarios!$A$29:$A$35,1))+(INDEX(Report_Scenarios!$G$29:$G$35,MIN(MATCH(MEDIAN($B7-Conversion!$B$16,2020,2050),Report_Scenarios!$A$29:$A$35,1)+1,7))-INDEX(Report_Scenarios!$G$29:$G$35,MATCH(MEDIAN($B7-Conversion!$B$16,2020,2050),Report_Scenarios!$A$29:$A$35,1)))*(MEDIAN($B7-Conversion!$B$16,2020,2050)-INDEX(Report_Scenarios!$A$29:$A$35,MATCH(MEDIAN($B7-Conversion!$B$16,2020,2050),Report_Scenarios!$A$29:$A$35,1)))/(INDEX(Report_Scenarios!$A$29:$A$35,MIN(MATCH(MEDIAN($B7-Conversion!$B$16,2020,2050),Report_Scenarios!$A$29:$A$35,1)+1,7))-INDEX(Report_Scenarios!$A$29:$A$35,MATCH(MEDIAN($B7-Conversion!$B$16,2020,2050),Report_Scenarios!$A$29:$A$35,1))))))</f>
        <v/>
      </c>
      <c r="K7" s="23">
        <f>SUM(E7:J7)</f>
        <v/>
      </c>
      <c r="L7" s="23">
        <f>IF(R7&lt;&gt;"",R7,IF($K7=0,0,E7/$K7))</f>
        <v/>
      </c>
      <c r="M7" s="23">
        <f>IF(S7&lt;&gt;"",S7,IF($K7=0,0,F7/$K7))</f>
        <v/>
      </c>
      <c r="N7" s="23">
        <f>IF(T7&lt;&gt;"",T7,IF($K7=0,0,G7/$K7))</f>
        <v/>
      </c>
      <c r="O7" s="23">
        <f>IF(U7&lt;&gt;"",U7,IF($K7=0,0,H7/$K7))</f>
        <v/>
      </c>
      <c r="P7" s="23">
        <f>IF(V7&lt;&gt;"",V7,IF($K7=0,0,I7/$K7))</f>
        <v/>
      </c>
      <c r="Q7" s="23">
        <f>IF(W7&lt;&gt;"",W7,IF($K7=0,0,J7/$K7))</f>
        <v/>
      </c>
      <c r="R7" s="24" t="n"/>
      <c r="S7" s="24" t="n"/>
      <c r="T7" s="24" t="n"/>
      <c r="U7" s="24" t="n"/>
      <c r="V7" s="24" t="n"/>
      <c r="W7" s="24" t="n"/>
    </row>
    <row r="8">
      <c r="A8" s="4" t="inlineStr">
        <is>
          <t>AB</t>
        </is>
      </c>
      <c r="B8" s="4" t="n">
        <v>2025</v>
      </c>
      <c r="C8" s="4" t="inlineStr">
        <is>
          <t>Share_Min</t>
        </is>
      </c>
      <c r="D8" s="4">
        <f>Conversion!$B$18</f>
        <v/>
      </c>
      <c r="E8" s="23">
        <f>IF($D8="Conservative",IF(INDEX(Report_Scenarios!$A$7:$A$13,MIN(MATCH(MEDIAN($B8-Conversion!$B$16,2020,2050),Report_Scenarios!$A$7:$A$13,1)+1,7))=INDEX(Report_Scenarios!$A$7:$A$13,MATCH(MEDIAN($B8-Conversion!$B$16,2020,2050),Report_Scenarios!$A$7:$A$13,1)),INDEX(Report_Scenarios!$B$7:$B$13,MATCH(MEDIAN($B8-Conversion!$B$16,2020,2050),Report_Scenarios!$A$7:$A$13,1)),INDEX(Report_Scenarios!$B$7:$B$13,MATCH(MEDIAN($B8-Conversion!$B$16,2020,2050),Report_Scenarios!$A$7:$A$13,1))+(INDEX(Report_Scenarios!$B$7:$B$13,MIN(MATCH(MEDIAN($B8-Conversion!$B$16,2020,2050),Report_Scenarios!$A$7:$A$13,1)+1,7))-INDEX(Report_Scenarios!$B$7:$B$13,MATCH(MEDIAN($B8-Conversion!$B$16,2020,2050),Report_Scenarios!$A$7:$A$13,1)))*(MEDIAN($B8-Conversion!$B$16,2020,2050)-INDEX(Report_Scenarios!$A$7:$A$13,MATCH(MEDIAN($B8-Conversion!$B$16,2020,2050),Report_Scenarios!$A$7:$A$13,1)))/(INDEX(Report_Scenarios!$A$7:$A$13,MIN(MATCH(MEDIAN($B8-Conversion!$B$16,2020,2050),Report_Scenarios!$A$7:$A$13,1)+1,7))-INDEX(Report_Scenarios!$A$7:$A$13,MATCH(MEDIAN($B8-Conversion!$B$16,2020,2050),Report_Scenarios!$A$7:$A$13,1)))),IF($D8="Central",IF(INDEX(Report_Scenarios!$A$18:$A$24,MIN(MATCH(MEDIAN($B8-Conversion!$B$16,2020,2050),Report_Scenarios!$A$18:$A$24,1)+1,7))=INDEX(Report_Scenarios!$A$18:$A$24,MATCH(MEDIAN($B8-Conversion!$B$16,2020,2050),Report_Scenarios!$A$18:$A$24,1)),INDEX(Report_Scenarios!$B$18:$B$24,MATCH(MEDIAN($B8-Conversion!$B$16,2020,2050),Report_Scenarios!$A$18:$A$24,1)),INDEX(Report_Scenarios!$B$18:$B$24,MATCH(MEDIAN($B8-Conversion!$B$16,2020,2050),Report_Scenarios!$A$18:$A$24,1))+(INDEX(Report_Scenarios!$B$18:$B$24,MIN(MATCH(MEDIAN($B8-Conversion!$B$16,2020,2050),Report_Scenarios!$A$18:$A$24,1)+1,7))-INDEX(Report_Scenarios!$B$18:$B$24,MATCH(MEDIAN($B8-Conversion!$B$16,2020,2050),Report_Scenarios!$A$18:$A$24,1)))*(MEDIAN($B8-Conversion!$B$16,2020,2050)-INDEX(Report_Scenarios!$A$18:$A$24,MATCH(MEDIAN($B8-Conversion!$B$16,2020,2050),Report_Scenarios!$A$18:$A$24,1)))/(INDEX(Report_Scenarios!$A$18:$A$24,MIN(MATCH(MEDIAN($B8-Conversion!$B$16,2020,2050),Report_Scenarios!$A$18:$A$24,1)+1,7))-INDEX(Report_Scenarios!$A$18:$A$24,MATCH(MEDIAN($B8-Conversion!$B$16,2020,2050),Report_Scenarios!$A$18:$A$24,1)))),IF(INDEX(Report_Scenarios!$A$29:$A$35,MIN(MATCH(MEDIAN($B8-Conversion!$B$16,2020,2050),Report_Scenarios!$A$29:$A$35,1)+1,7))=INDEX(Report_Scenarios!$A$29:$A$35,MATCH(MEDIAN($B8-Conversion!$B$16,2020,2050),Report_Scenarios!$A$29:$A$35,1)),INDEX(Report_Scenarios!$B$29:$B$35,MATCH(MEDIAN($B8-Conversion!$B$16,2020,2050),Report_Scenarios!$A$29:$A$35,1)),INDEX(Report_Scenarios!$B$29:$B$35,MATCH(MEDIAN($B8-Conversion!$B$16,2020,2050),Report_Scenarios!$A$29:$A$35,1))+(INDEX(Report_Scenarios!$B$29:$B$35,MIN(MATCH(MEDIAN($B8-Conversion!$B$16,2020,2050),Report_Scenarios!$A$29:$A$35,1)+1,7))-INDEX(Report_Scenarios!$B$29:$B$35,MATCH(MEDIAN($B8-Conversion!$B$16,2020,2050),Report_Scenarios!$A$29:$A$35,1)))*(MEDIAN($B8-Conversion!$B$16,2020,2050)-INDEX(Report_Scenarios!$A$29:$A$35,MATCH(MEDIAN($B8-Conversion!$B$16,2020,2050),Report_Scenarios!$A$29:$A$35,1)))/(INDEX(Report_Scenarios!$A$29:$A$35,MIN(MATCH(MEDIAN($B8-Conversion!$B$16,2020,2050),Report_Scenarios!$A$29:$A$35,1)+1,7))-INDEX(Report_Scenarios!$A$29:$A$35,MATCH(MEDIAN($B8-Conversion!$B$16,2020,2050),Report_Scenarios!$A$29:$A$35,1))))))</f>
        <v/>
      </c>
      <c r="F8" s="23">
        <f>IF($D8="Conservative",IF(INDEX(Report_Scenarios!$A$7:$A$13,MIN(MATCH(MEDIAN($B8-Conversion!$B$16,2020,2050),Report_Scenarios!$A$7:$A$13,1)+1,7))=INDEX(Report_Scenarios!$A$7:$A$13,MATCH(MEDIAN($B8-Conversion!$B$16,2020,2050),Report_Scenarios!$A$7:$A$13,1)),INDEX(Report_Scenarios!$C$7:$C$13,MATCH(MEDIAN($B8-Conversion!$B$16,2020,2050),Report_Scenarios!$A$7:$A$13,1)),INDEX(Report_Scenarios!$C$7:$C$13,MATCH(MEDIAN($B8-Conversion!$B$16,2020,2050),Report_Scenarios!$A$7:$A$13,1))+(INDEX(Report_Scenarios!$C$7:$C$13,MIN(MATCH(MEDIAN($B8-Conversion!$B$16,2020,2050),Report_Scenarios!$A$7:$A$13,1)+1,7))-INDEX(Report_Scenarios!$C$7:$C$13,MATCH(MEDIAN($B8-Conversion!$B$16,2020,2050),Report_Scenarios!$A$7:$A$13,1)))*(MEDIAN($B8-Conversion!$B$16,2020,2050)-INDEX(Report_Scenarios!$A$7:$A$13,MATCH(MEDIAN($B8-Conversion!$B$16,2020,2050),Report_Scenarios!$A$7:$A$13,1)))/(INDEX(Report_Scenarios!$A$7:$A$13,MIN(MATCH(MEDIAN($B8-Conversion!$B$16,2020,2050),Report_Scenarios!$A$7:$A$13,1)+1,7))-INDEX(Report_Scenarios!$A$7:$A$13,MATCH(MEDIAN($B8-Conversion!$B$16,2020,2050),Report_Scenarios!$A$7:$A$13,1)))),IF($D8="Central",IF(INDEX(Report_Scenarios!$A$18:$A$24,MIN(MATCH(MEDIAN($B8-Conversion!$B$16,2020,2050),Report_Scenarios!$A$18:$A$24,1)+1,7))=INDEX(Report_Scenarios!$A$18:$A$24,MATCH(MEDIAN($B8-Conversion!$B$16,2020,2050),Report_Scenarios!$A$18:$A$24,1)),INDEX(Report_Scenarios!$C$18:$C$24,MATCH(MEDIAN($B8-Conversion!$B$16,2020,2050),Report_Scenarios!$A$18:$A$24,1)),INDEX(Report_Scenarios!$C$18:$C$24,MATCH(MEDIAN($B8-Conversion!$B$16,2020,2050),Report_Scenarios!$A$18:$A$24,1))+(INDEX(Report_Scenarios!$C$18:$C$24,MIN(MATCH(MEDIAN($B8-Conversion!$B$16,2020,2050),Report_Scenarios!$A$18:$A$24,1)+1,7))-INDEX(Report_Scenarios!$C$18:$C$24,MATCH(MEDIAN($B8-Conversion!$B$16,2020,2050),Report_Scenarios!$A$18:$A$24,1)))*(MEDIAN($B8-Conversion!$B$16,2020,2050)-INDEX(Report_Scenarios!$A$18:$A$24,MATCH(MEDIAN($B8-Conversion!$B$16,2020,2050),Report_Scenarios!$A$18:$A$24,1)))/(INDEX(Report_Scenarios!$A$18:$A$24,MIN(MATCH(MEDIAN($B8-Conversion!$B$16,2020,2050),Report_Scenarios!$A$18:$A$24,1)+1,7))-INDEX(Report_Scenarios!$A$18:$A$24,MATCH(MEDIAN($B8-Conversion!$B$16,2020,2050),Report_Scenarios!$A$18:$A$24,1)))),IF(INDEX(Report_Scenarios!$A$29:$A$35,MIN(MATCH(MEDIAN($B8-Conversion!$B$16,2020,2050),Report_Scenarios!$A$29:$A$35,1)+1,7))=INDEX(Report_Scenarios!$A$29:$A$35,MATCH(MEDIAN($B8-Conversion!$B$16,2020,2050),Report_Scenarios!$A$29:$A$35,1)),INDEX(Report_Scenarios!$C$29:$C$35,MATCH(MEDIAN($B8-Conversion!$B$16,2020,2050),Report_Scenarios!$A$29:$A$35,1)),INDEX(Report_Scenarios!$C$29:$C$35,MATCH(MEDIAN($B8-Conversion!$B$16,2020,2050),Report_Scenarios!$A$29:$A$35,1))+(INDEX(Report_Scenarios!$C$29:$C$35,MIN(MATCH(MEDIAN($B8-Conversion!$B$16,2020,2050),Report_Scenarios!$A$29:$A$35,1)+1,7))-INDEX(Report_Scenarios!$C$29:$C$35,MATCH(MEDIAN($B8-Conversion!$B$16,2020,2050),Report_Scenarios!$A$29:$A$35,1)))*(MEDIAN($B8-Conversion!$B$16,2020,2050)-INDEX(Report_Scenarios!$A$29:$A$35,MATCH(MEDIAN($B8-Conversion!$B$16,2020,2050),Report_Scenarios!$A$29:$A$35,1)))/(INDEX(Report_Scenarios!$A$29:$A$35,MIN(MATCH(MEDIAN($B8-Conversion!$B$16,2020,2050),Report_Scenarios!$A$29:$A$35,1)+1,7))-INDEX(Report_Scenarios!$A$29:$A$35,MATCH(MEDIAN($B8-Conversion!$B$16,2020,2050),Report_Scenarios!$A$29:$A$35,1))))))</f>
        <v/>
      </c>
      <c r="G8" s="23">
        <f>IF($D8="Conservative",IF(INDEX(Report_Scenarios!$A$7:$A$13,MIN(MATCH(MEDIAN($B8-Conversion!$B$16,2020,2050),Report_Scenarios!$A$7:$A$13,1)+1,7))=INDEX(Report_Scenarios!$A$7:$A$13,MATCH(MEDIAN($B8-Conversion!$B$16,2020,2050),Report_Scenarios!$A$7:$A$13,1)),INDEX(Report_Scenarios!$D$7:$D$13,MATCH(MEDIAN($B8-Conversion!$B$16,2020,2050),Report_Scenarios!$A$7:$A$13,1)),INDEX(Report_Scenarios!$D$7:$D$13,MATCH(MEDIAN($B8-Conversion!$B$16,2020,2050),Report_Scenarios!$A$7:$A$13,1))+(INDEX(Report_Scenarios!$D$7:$D$13,MIN(MATCH(MEDIAN($B8-Conversion!$B$16,2020,2050),Report_Scenarios!$A$7:$A$13,1)+1,7))-INDEX(Report_Scenarios!$D$7:$D$13,MATCH(MEDIAN($B8-Conversion!$B$16,2020,2050),Report_Scenarios!$A$7:$A$13,1)))*(MEDIAN($B8-Conversion!$B$16,2020,2050)-INDEX(Report_Scenarios!$A$7:$A$13,MATCH(MEDIAN($B8-Conversion!$B$16,2020,2050),Report_Scenarios!$A$7:$A$13,1)))/(INDEX(Report_Scenarios!$A$7:$A$13,MIN(MATCH(MEDIAN($B8-Conversion!$B$16,2020,2050),Report_Scenarios!$A$7:$A$13,1)+1,7))-INDEX(Report_Scenarios!$A$7:$A$13,MATCH(MEDIAN($B8-Conversion!$B$16,2020,2050),Report_Scenarios!$A$7:$A$13,1)))),IF($D8="Central",IF(INDEX(Report_Scenarios!$A$18:$A$24,MIN(MATCH(MEDIAN($B8-Conversion!$B$16,2020,2050),Report_Scenarios!$A$18:$A$24,1)+1,7))=INDEX(Report_Scenarios!$A$18:$A$24,MATCH(MEDIAN($B8-Conversion!$B$16,2020,2050),Report_Scenarios!$A$18:$A$24,1)),INDEX(Report_Scenarios!$D$18:$D$24,MATCH(MEDIAN($B8-Conversion!$B$16,2020,2050),Report_Scenarios!$A$18:$A$24,1)),INDEX(Report_Scenarios!$D$18:$D$24,MATCH(MEDIAN($B8-Conversion!$B$16,2020,2050),Report_Scenarios!$A$18:$A$24,1))+(INDEX(Report_Scenarios!$D$18:$D$24,MIN(MATCH(MEDIAN($B8-Conversion!$B$16,2020,2050),Report_Scenarios!$A$18:$A$24,1)+1,7))-INDEX(Report_Scenarios!$D$18:$D$24,MATCH(MEDIAN($B8-Conversion!$B$16,2020,2050),Report_Scenarios!$A$18:$A$24,1)))*(MEDIAN($B8-Conversion!$B$16,2020,2050)-INDEX(Report_Scenarios!$A$18:$A$24,MATCH(MEDIAN($B8-Conversion!$B$16,2020,2050),Report_Scenarios!$A$18:$A$24,1)))/(INDEX(Report_Scenarios!$A$18:$A$24,MIN(MATCH(MEDIAN($B8-Conversion!$B$16,2020,2050),Report_Scenarios!$A$18:$A$24,1)+1,7))-INDEX(Report_Scenarios!$A$18:$A$24,MATCH(MEDIAN($B8-Conversion!$B$16,2020,2050),Report_Scenarios!$A$18:$A$24,1)))),IF(INDEX(Report_Scenarios!$A$29:$A$35,MIN(MATCH(MEDIAN($B8-Conversion!$B$16,2020,2050),Report_Scenarios!$A$29:$A$35,1)+1,7))=INDEX(Report_Scenarios!$A$29:$A$35,MATCH(MEDIAN($B8-Conversion!$B$16,2020,2050),Report_Scenarios!$A$29:$A$35,1)),INDEX(Report_Scenarios!$D$29:$D$35,MATCH(MEDIAN($B8-Conversion!$B$16,2020,2050),Report_Scenarios!$A$29:$A$35,1)),INDEX(Report_Scenarios!$D$29:$D$35,MATCH(MEDIAN($B8-Conversion!$B$16,2020,2050),Report_Scenarios!$A$29:$A$35,1))+(INDEX(Report_Scenarios!$D$29:$D$35,MIN(MATCH(MEDIAN($B8-Conversion!$B$16,2020,2050),Report_Scenarios!$A$29:$A$35,1)+1,7))-INDEX(Report_Scenarios!$D$29:$D$35,MATCH(MEDIAN($B8-Conversion!$B$16,2020,2050),Report_Scenarios!$A$29:$A$35,1)))*(MEDIAN($B8-Conversion!$B$16,2020,2050)-INDEX(Report_Scenarios!$A$29:$A$35,MATCH(MEDIAN($B8-Conversion!$B$16,2020,2050),Report_Scenarios!$A$29:$A$35,1)))/(INDEX(Report_Scenarios!$A$29:$A$35,MIN(MATCH(MEDIAN($B8-Conversion!$B$16,2020,2050),Report_Scenarios!$A$29:$A$35,1)+1,7))-INDEX(Report_Scenarios!$A$29:$A$35,MATCH(MEDIAN($B8-Conversion!$B$16,2020,2050),Report_Scenarios!$A$29:$A$35,1))))))</f>
        <v/>
      </c>
      <c r="H8" s="23">
        <f>IF($D8="Conservative",IF(INDEX(Report_Scenarios!$A$7:$A$13,MIN(MATCH(MEDIAN($B8-Conversion!$B$16,2020,2050),Report_Scenarios!$A$7:$A$13,1)+1,7))=INDEX(Report_Scenarios!$A$7:$A$13,MATCH(MEDIAN($B8-Conversion!$B$16,2020,2050),Report_Scenarios!$A$7:$A$13,1)),INDEX(Report_Scenarios!$E$7:$E$13,MATCH(MEDIAN($B8-Conversion!$B$16,2020,2050),Report_Scenarios!$A$7:$A$13,1)),INDEX(Report_Scenarios!$E$7:$E$13,MATCH(MEDIAN($B8-Conversion!$B$16,2020,2050),Report_Scenarios!$A$7:$A$13,1))+(INDEX(Report_Scenarios!$E$7:$E$13,MIN(MATCH(MEDIAN($B8-Conversion!$B$16,2020,2050),Report_Scenarios!$A$7:$A$13,1)+1,7))-INDEX(Report_Scenarios!$E$7:$E$13,MATCH(MEDIAN($B8-Conversion!$B$16,2020,2050),Report_Scenarios!$A$7:$A$13,1)))*(MEDIAN($B8-Conversion!$B$16,2020,2050)-INDEX(Report_Scenarios!$A$7:$A$13,MATCH(MEDIAN($B8-Conversion!$B$16,2020,2050),Report_Scenarios!$A$7:$A$13,1)))/(INDEX(Report_Scenarios!$A$7:$A$13,MIN(MATCH(MEDIAN($B8-Conversion!$B$16,2020,2050),Report_Scenarios!$A$7:$A$13,1)+1,7))-INDEX(Report_Scenarios!$A$7:$A$13,MATCH(MEDIAN($B8-Conversion!$B$16,2020,2050),Report_Scenarios!$A$7:$A$13,1)))),IF($D8="Central",IF(INDEX(Report_Scenarios!$A$18:$A$24,MIN(MATCH(MEDIAN($B8-Conversion!$B$16,2020,2050),Report_Scenarios!$A$18:$A$24,1)+1,7))=INDEX(Report_Scenarios!$A$18:$A$24,MATCH(MEDIAN($B8-Conversion!$B$16,2020,2050),Report_Scenarios!$A$18:$A$24,1)),INDEX(Report_Scenarios!$E$18:$E$24,MATCH(MEDIAN($B8-Conversion!$B$16,2020,2050),Report_Scenarios!$A$18:$A$24,1)),INDEX(Report_Scenarios!$E$18:$E$24,MATCH(MEDIAN($B8-Conversion!$B$16,2020,2050),Report_Scenarios!$A$18:$A$24,1))+(INDEX(Report_Scenarios!$E$18:$E$24,MIN(MATCH(MEDIAN($B8-Conversion!$B$16,2020,2050),Report_Scenarios!$A$18:$A$24,1)+1,7))-INDEX(Report_Scenarios!$E$18:$E$24,MATCH(MEDIAN($B8-Conversion!$B$16,2020,2050),Report_Scenarios!$A$18:$A$24,1)))*(MEDIAN($B8-Conversion!$B$16,2020,2050)-INDEX(Report_Scenarios!$A$18:$A$24,MATCH(MEDIAN($B8-Conversion!$B$16,2020,2050),Report_Scenarios!$A$18:$A$24,1)))/(INDEX(Report_Scenarios!$A$18:$A$24,MIN(MATCH(MEDIAN($B8-Conversion!$B$16,2020,2050),Report_Scenarios!$A$18:$A$24,1)+1,7))-INDEX(Report_Scenarios!$A$18:$A$24,MATCH(MEDIAN($B8-Conversion!$B$16,2020,2050),Report_Scenarios!$A$18:$A$24,1)))),IF(INDEX(Report_Scenarios!$A$29:$A$35,MIN(MATCH(MEDIAN($B8-Conversion!$B$16,2020,2050),Report_Scenarios!$A$29:$A$35,1)+1,7))=INDEX(Report_Scenarios!$A$29:$A$35,MATCH(MEDIAN($B8-Conversion!$B$16,2020,2050),Report_Scenarios!$A$29:$A$35,1)),INDEX(Report_Scenarios!$E$29:$E$35,MATCH(MEDIAN($B8-Conversion!$B$16,2020,2050),Report_Scenarios!$A$29:$A$35,1)),INDEX(Report_Scenarios!$E$29:$E$35,MATCH(MEDIAN($B8-Conversion!$B$16,2020,2050),Report_Scenarios!$A$29:$A$35,1))+(INDEX(Report_Scenarios!$E$29:$E$35,MIN(MATCH(MEDIAN($B8-Conversion!$B$16,2020,2050),Report_Scenarios!$A$29:$A$35,1)+1,7))-INDEX(Report_Scenarios!$E$29:$E$35,MATCH(MEDIAN($B8-Conversion!$B$16,2020,2050),Report_Scenarios!$A$29:$A$35,1)))*(MEDIAN($B8-Conversion!$B$16,2020,2050)-INDEX(Report_Scenarios!$A$29:$A$35,MATCH(MEDIAN($B8-Conversion!$B$16,2020,2050),Report_Scenarios!$A$29:$A$35,1)))/(INDEX(Report_Scenarios!$A$29:$A$35,MIN(MATCH(MEDIAN($B8-Conversion!$B$16,2020,2050),Report_Scenarios!$A$29:$A$35,1)+1,7))-INDEX(Report_Scenarios!$A$29:$A$35,MATCH(MEDIAN($B8-Conversion!$B$16,2020,2050),Report_Scenarios!$A$29:$A$35,1))))))</f>
        <v/>
      </c>
      <c r="I8" s="23">
        <f>IF($D8="Conservative",IF(INDEX(Report_Scenarios!$A$7:$A$13,MIN(MATCH(MEDIAN($B8-Conversion!$B$16,2020,2050),Report_Scenarios!$A$7:$A$13,1)+1,7))=INDEX(Report_Scenarios!$A$7:$A$13,MATCH(MEDIAN($B8-Conversion!$B$16,2020,2050),Report_Scenarios!$A$7:$A$13,1)),INDEX(Report_Scenarios!$F$7:$F$13,MATCH(MEDIAN($B8-Conversion!$B$16,2020,2050),Report_Scenarios!$A$7:$A$13,1)),INDEX(Report_Scenarios!$F$7:$F$13,MATCH(MEDIAN($B8-Conversion!$B$16,2020,2050),Report_Scenarios!$A$7:$A$13,1))+(INDEX(Report_Scenarios!$F$7:$F$13,MIN(MATCH(MEDIAN($B8-Conversion!$B$16,2020,2050),Report_Scenarios!$A$7:$A$13,1)+1,7))-INDEX(Report_Scenarios!$F$7:$F$13,MATCH(MEDIAN($B8-Conversion!$B$16,2020,2050),Report_Scenarios!$A$7:$A$13,1)))*(MEDIAN($B8-Conversion!$B$16,2020,2050)-INDEX(Report_Scenarios!$A$7:$A$13,MATCH(MEDIAN($B8-Conversion!$B$16,2020,2050),Report_Scenarios!$A$7:$A$13,1)))/(INDEX(Report_Scenarios!$A$7:$A$13,MIN(MATCH(MEDIAN($B8-Conversion!$B$16,2020,2050),Report_Scenarios!$A$7:$A$13,1)+1,7))-INDEX(Report_Scenarios!$A$7:$A$13,MATCH(MEDIAN($B8-Conversion!$B$16,2020,2050),Report_Scenarios!$A$7:$A$13,1)))),IF($D8="Central",IF(INDEX(Report_Scenarios!$A$18:$A$24,MIN(MATCH(MEDIAN($B8-Conversion!$B$16,2020,2050),Report_Scenarios!$A$18:$A$24,1)+1,7))=INDEX(Report_Scenarios!$A$18:$A$24,MATCH(MEDIAN($B8-Conversion!$B$16,2020,2050),Report_Scenarios!$A$18:$A$24,1)),INDEX(Report_Scenarios!$F$18:$F$24,MATCH(MEDIAN($B8-Conversion!$B$16,2020,2050),Report_Scenarios!$A$18:$A$24,1)),INDEX(Report_Scenarios!$F$18:$F$24,MATCH(MEDIAN($B8-Conversion!$B$16,2020,2050),Report_Scenarios!$A$18:$A$24,1))+(INDEX(Report_Scenarios!$F$18:$F$24,MIN(MATCH(MEDIAN($B8-Conversion!$B$16,2020,2050),Report_Scenarios!$A$18:$A$24,1)+1,7))-INDEX(Report_Scenarios!$F$18:$F$24,MATCH(MEDIAN($B8-Conversion!$B$16,2020,2050),Report_Scenarios!$A$18:$A$24,1)))*(MEDIAN($B8-Conversion!$B$16,2020,2050)-INDEX(Report_Scenarios!$A$18:$A$24,MATCH(MEDIAN($B8-Conversion!$B$16,2020,2050),Report_Scenarios!$A$18:$A$24,1)))/(INDEX(Report_Scenarios!$A$18:$A$24,MIN(MATCH(MEDIAN($B8-Conversion!$B$16,2020,2050),Report_Scenarios!$A$18:$A$24,1)+1,7))-INDEX(Report_Scenarios!$A$18:$A$24,MATCH(MEDIAN($B8-Conversion!$B$16,2020,2050),Report_Scenarios!$A$18:$A$24,1)))),IF(INDEX(Report_Scenarios!$A$29:$A$35,MIN(MATCH(MEDIAN($B8-Conversion!$B$16,2020,2050),Report_Scenarios!$A$29:$A$35,1)+1,7))=INDEX(Report_Scenarios!$A$29:$A$35,MATCH(MEDIAN($B8-Conversion!$B$16,2020,2050),Report_Scenarios!$A$29:$A$35,1)),INDEX(Report_Scenarios!$F$29:$F$35,MATCH(MEDIAN($B8-Conversion!$B$16,2020,2050),Report_Scenarios!$A$29:$A$35,1)),INDEX(Report_Scenarios!$F$29:$F$35,MATCH(MEDIAN($B8-Conversion!$B$16,2020,2050),Report_Scenarios!$A$29:$A$35,1))+(INDEX(Report_Scenarios!$F$29:$F$35,MIN(MATCH(MEDIAN($B8-Conversion!$B$16,2020,2050),Report_Scenarios!$A$29:$A$35,1)+1,7))-INDEX(Report_Scenarios!$F$29:$F$35,MATCH(MEDIAN($B8-Conversion!$B$16,2020,2050),Report_Scenarios!$A$29:$A$35,1)))*(MEDIAN($B8-Conversion!$B$16,2020,2050)-INDEX(Report_Scenarios!$A$29:$A$35,MATCH(MEDIAN($B8-Conversion!$B$16,2020,2050),Report_Scenarios!$A$29:$A$35,1)))/(INDEX(Report_Scenarios!$A$29:$A$35,MIN(MATCH(MEDIAN($B8-Conversion!$B$16,2020,2050),Report_Scenarios!$A$29:$A$35,1)+1,7))-INDEX(Report_Scenarios!$A$29:$A$35,MATCH(MEDIAN($B8-Conversion!$B$16,2020,2050),Report_Scenarios!$A$29:$A$35,1))))))</f>
        <v/>
      </c>
      <c r="J8" s="23">
        <f>IF($D8="Conservative",IF(INDEX(Report_Scenarios!$A$7:$A$13,MIN(MATCH(MEDIAN($B8-Conversion!$B$16,2020,2050),Report_Scenarios!$A$7:$A$13,1)+1,7))=INDEX(Report_Scenarios!$A$7:$A$13,MATCH(MEDIAN($B8-Conversion!$B$16,2020,2050),Report_Scenarios!$A$7:$A$13,1)),INDEX(Report_Scenarios!$G$7:$G$13,MATCH(MEDIAN($B8-Conversion!$B$16,2020,2050),Report_Scenarios!$A$7:$A$13,1)),INDEX(Report_Scenarios!$G$7:$G$13,MATCH(MEDIAN($B8-Conversion!$B$16,2020,2050),Report_Scenarios!$A$7:$A$13,1))+(INDEX(Report_Scenarios!$G$7:$G$13,MIN(MATCH(MEDIAN($B8-Conversion!$B$16,2020,2050),Report_Scenarios!$A$7:$A$13,1)+1,7))-INDEX(Report_Scenarios!$G$7:$G$13,MATCH(MEDIAN($B8-Conversion!$B$16,2020,2050),Report_Scenarios!$A$7:$A$13,1)))*(MEDIAN($B8-Conversion!$B$16,2020,2050)-INDEX(Report_Scenarios!$A$7:$A$13,MATCH(MEDIAN($B8-Conversion!$B$16,2020,2050),Report_Scenarios!$A$7:$A$13,1)))/(INDEX(Report_Scenarios!$A$7:$A$13,MIN(MATCH(MEDIAN($B8-Conversion!$B$16,2020,2050),Report_Scenarios!$A$7:$A$13,1)+1,7))-INDEX(Report_Scenarios!$A$7:$A$13,MATCH(MEDIAN($B8-Conversion!$B$16,2020,2050),Report_Scenarios!$A$7:$A$13,1)))),IF($D8="Central",IF(INDEX(Report_Scenarios!$A$18:$A$24,MIN(MATCH(MEDIAN($B8-Conversion!$B$16,2020,2050),Report_Scenarios!$A$18:$A$24,1)+1,7))=INDEX(Report_Scenarios!$A$18:$A$24,MATCH(MEDIAN($B8-Conversion!$B$16,2020,2050),Report_Scenarios!$A$18:$A$24,1)),INDEX(Report_Scenarios!$G$18:$G$24,MATCH(MEDIAN($B8-Conversion!$B$16,2020,2050),Report_Scenarios!$A$18:$A$24,1)),INDEX(Report_Scenarios!$G$18:$G$24,MATCH(MEDIAN($B8-Conversion!$B$16,2020,2050),Report_Scenarios!$A$18:$A$24,1))+(INDEX(Report_Scenarios!$G$18:$G$24,MIN(MATCH(MEDIAN($B8-Conversion!$B$16,2020,2050),Report_Scenarios!$A$18:$A$24,1)+1,7))-INDEX(Report_Scenarios!$G$18:$G$24,MATCH(MEDIAN($B8-Conversion!$B$16,2020,2050),Report_Scenarios!$A$18:$A$24,1)))*(MEDIAN($B8-Conversion!$B$16,2020,2050)-INDEX(Report_Scenarios!$A$18:$A$24,MATCH(MEDIAN($B8-Conversion!$B$16,2020,2050),Report_Scenarios!$A$18:$A$24,1)))/(INDEX(Report_Scenarios!$A$18:$A$24,MIN(MATCH(MEDIAN($B8-Conversion!$B$16,2020,2050),Report_Scenarios!$A$18:$A$24,1)+1,7))-INDEX(Report_Scenarios!$A$18:$A$24,MATCH(MEDIAN($B8-Conversion!$B$16,2020,2050),Report_Scenarios!$A$18:$A$24,1)))),IF(INDEX(Report_Scenarios!$A$29:$A$35,MIN(MATCH(MEDIAN($B8-Conversion!$B$16,2020,2050),Report_Scenarios!$A$29:$A$35,1)+1,7))=INDEX(Report_Scenarios!$A$29:$A$35,MATCH(MEDIAN($B8-Conversion!$B$16,2020,2050),Report_Scenarios!$A$29:$A$35,1)),INDEX(Report_Scenarios!$G$29:$G$35,MATCH(MEDIAN($B8-Conversion!$B$16,2020,2050),Report_Scenarios!$A$29:$A$35,1)),INDEX(Report_Scenarios!$G$29:$G$35,MATCH(MEDIAN($B8-Conversion!$B$16,2020,2050),Report_Scenarios!$A$29:$A$35,1))+(INDEX(Report_Scenarios!$G$29:$G$35,MIN(MATCH(MEDIAN($B8-Conversion!$B$16,2020,2050),Report_Scenarios!$A$29:$A$35,1)+1,7))-INDEX(Report_Scenarios!$G$29:$G$35,MATCH(MEDIAN($B8-Conversion!$B$16,2020,2050),Report_Scenarios!$A$29:$A$35,1)))*(MEDIAN($B8-Conversion!$B$16,2020,2050)-INDEX(Report_Scenarios!$A$29:$A$35,MATCH(MEDIAN($B8-Conversion!$B$16,2020,2050),Report_Scenarios!$A$29:$A$35,1)))/(INDEX(Report_Scenarios!$A$29:$A$35,MIN(MATCH(MEDIAN($B8-Conversion!$B$16,2020,2050),Report_Scenarios!$A$29:$A$35,1)+1,7))-INDEX(Report_Scenarios!$A$29:$A$35,MATCH(MEDIAN($B8-Conversion!$B$16,2020,2050),Report_Scenarios!$A$29:$A$35,1))))))</f>
        <v/>
      </c>
      <c r="K8" s="23">
        <f>SUM(E8:J8)</f>
        <v/>
      </c>
      <c r="L8" s="23">
        <f>IF(R8&lt;&gt;"",R8,IF($K8=0,0,E8/$K8))</f>
        <v/>
      </c>
      <c r="M8" s="23">
        <f>IF(S8&lt;&gt;"",S8,IF($K8=0,0,F8/$K8))</f>
        <v/>
      </c>
      <c r="N8" s="23">
        <f>IF(T8&lt;&gt;"",T8,IF($K8=0,0,G8/$K8))</f>
        <v/>
      </c>
      <c r="O8" s="23">
        <f>IF(U8&lt;&gt;"",U8,IF($K8=0,0,H8/$K8))</f>
        <v/>
      </c>
      <c r="P8" s="23">
        <f>IF(V8&lt;&gt;"",V8,IF($K8=0,0,I8/$K8))</f>
        <v/>
      </c>
      <c r="Q8" s="23">
        <f>IF(W8&lt;&gt;"",W8,IF($K8=0,0,J8/$K8))</f>
        <v/>
      </c>
      <c r="R8" s="24" t="n"/>
      <c r="S8" s="24" t="n"/>
      <c r="T8" s="24" t="n"/>
      <c r="U8" s="24" t="n"/>
      <c r="V8" s="24" t="n"/>
      <c r="W8" s="24" t="n"/>
    </row>
    <row r="9">
      <c r="A9" s="4" t="inlineStr">
        <is>
          <t>AB</t>
        </is>
      </c>
      <c r="B9" s="4" t="n">
        <v>2025</v>
      </c>
      <c r="C9" s="4" t="inlineStr">
        <is>
          <t>Share_Mode</t>
        </is>
      </c>
      <c r="D9" s="4">
        <f>Conversion!$B$19</f>
        <v/>
      </c>
      <c r="E9" s="23">
        <f>IF($D9="Conservative",IF(INDEX(Report_Scenarios!$A$7:$A$13,MIN(MATCH(MEDIAN($B9-Conversion!$B$16,2020,2050),Report_Scenarios!$A$7:$A$13,1)+1,7))=INDEX(Report_Scenarios!$A$7:$A$13,MATCH(MEDIAN($B9-Conversion!$B$16,2020,2050),Report_Scenarios!$A$7:$A$13,1)),INDEX(Report_Scenarios!$B$7:$B$13,MATCH(MEDIAN($B9-Conversion!$B$16,2020,2050),Report_Scenarios!$A$7:$A$13,1)),INDEX(Report_Scenarios!$B$7:$B$13,MATCH(MEDIAN($B9-Conversion!$B$16,2020,2050),Report_Scenarios!$A$7:$A$13,1))+(INDEX(Report_Scenarios!$B$7:$B$13,MIN(MATCH(MEDIAN($B9-Conversion!$B$16,2020,2050),Report_Scenarios!$A$7:$A$13,1)+1,7))-INDEX(Report_Scenarios!$B$7:$B$13,MATCH(MEDIAN($B9-Conversion!$B$16,2020,2050),Report_Scenarios!$A$7:$A$13,1)))*(MEDIAN($B9-Conversion!$B$16,2020,2050)-INDEX(Report_Scenarios!$A$7:$A$13,MATCH(MEDIAN($B9-Conversion!$B$16,2020,2050),Report_Scenarios!$A$7:$A$13,1)))/(INDEX(Report_Scenarios!$A$7:$A$13,MIN(MATCH(MEDIAN($B9-Conversion!$B$16,2020,2050),Report_Scenarios!$A$7:$A$13,1)+1,7))-INDEX(Report_Scenarios!$A$7:$A$13,MATCH(MEDIAN($B9-Conversion!$B$16,2020,2050),Report_Scenarios!$A$7:$A$13,1)))),IF($D9="Central",IF(INDEX(Report_Scenarios!$A$18:$A$24,MIN(MATCH(MEDIAN($B9-Conversion!$B$16,2020,2050),Report_Scenarios!$A$18:$A$24,1)+1,7))=INDEX(Report_Scenarios!$A$18:$A$24,MATCH(MEDIAN($B9-Conversion!$B$16,2020,2050),Report_Scenarios!$A$18:$A$24,1)),INDEX(Report_Scenarios!$B$18:$B$24,MATCH(MEDIAN($B9-Conversion!$B$16,2020,2050),Report_Scenarios!$A$18:$A$24,1)),INDEX(Report_Scenarios!$B$18:$B$24,MATCH(MEDIAN($B9-Conversion!$B$16,2020,2050),Report_Scenarios!$A$18:$A$24,1))+(INDEX(Report_Scenarios!$B$18:$B$24,MIN(MATCH(MEDIAN($B9-Conversion!$B$16,2020,2050),Report_Scenarios!$A$18:$A$24,1)+1,7))-INDEX(Report_Scenarios!$B$18:$B$24,MATCH(MEDIAN($B9-Conversion!$B$16,2020,2050),Report_Scenarios!$A$18:$A$24,1)))*(MEDIAN($B9-Conversion!$B$16,2020,2050)-INDEX(Report_Scenarios!$A$18:$A$24,MATCH(MEDIAN($B9-Conversion!$B$16,2020,2050),Report_Scenarios!$A$18:$A$24,1)))/(INDEX(Report_Scenarios!$A$18:$A$24,MIN(MATCH(MEDIAN($B9-Conversion!$B$16,2020,2050),Report_Scenarios!$A$18:$A$24,1)+1,7))-INDEX(Report_Scenarios!$A$18:$A$24,MATCH(MEDIAN($B9-Conversion!$B$16,2020,2050),Report_Scenarios!$A$18:$A$24,1)))),IF(INDEX(Report_Scenarios!$A$29:$A$35,MIN(MATCH(MEDIAN($B9-Conversion!$B$16,2020,2050),Report_Scenarios!$A$29:$A$35,1)+1,7))=INDEX(Report_Scenarios!$A$29:$A$35,MATCH(MEDIAN($B9-Conversion!$B$16,2020,2050),Report_Scenarios!$A$29:$A$35,1)),INDEX(Report_Scenarios!$B$29:$B$35,MATCH(MEDIAN($B9-Conversion!$B$16,2020,2050),Report_Scenarios!$A$29:$A$35,1)),INDEX(Report_Scenarios!$B$29:$B$35,MATCH(MEDIAN($B9-Conversion!$B$16,2020,2050),Report_Scenarios!$A$29:$A$35,1))+(INDEX(Report_Scenarios!$B$29:$B$35,MIN(MATCH(MEDIAN($B9-Conversion!$B$16,2020,2050),Report_Scenarios!$A$29:$A$35,1)+1,7))-INDEX(Report_Scenarios!$B$29:$B$35,MATCH(MEDIAN($B9-Conversion!$B$16,2020,2050),Report_Scenarios!$A$29:$A$35,1)))*(MEDIAN($B9-Conversion!$B$16,2020,2050)-INDEX(Report_Scenarios!$A$29:$A$35,MATCH(MEDIAN($B9-Conversion!$B$16,2020,2050),Report_Scenarios!$A$29:$A$35,1)))/(INDEX(Report_Scenarios!$A$29:$A$35,MIN(MATCH(MEDIAN($B9-Conversion!$B$16,2020,2050),Report_Scenarios!$A$29:$A$35,1)+1,7))-INDEX(Report_Scenarios!$A$29:$A$35,MATCH(MEDIAN($B9-Conversion!$B$16,2020,2050),Report_Scenarios!$A$29:$A$35,1))))))</f>
        <v/>
      </c>
      <c r="F9" s="23">
        <f>IF($D9="Conservative",IF(INDEX(Report_Scenarios!$A$7:$A$13,MIN(MATCH(MEDIAN($B9-Conversion!$B$16,2020,2050),Report_Scenarios!$A$7:$A$13,1)+1,7))=INDEX(Report_Scenarios!$A$7:$A$13,MATCH(MEDIAN($B9-Conversion!$B$16,2020,2050),Report_Scenarios!$A$7:$A$13,1)),INDEX(Report_Scenarios!$C$7:$C$13,MATCH(MEDIAN($B9-Conversion!$B$16,2020,2050),Report_Scenarios!$A$7:$A$13,1)),INDEX(Report_Scenarios!$C$7:$C$13,MATCH(MEDIAN($B9-Conversion!$B$16,2020,2050),Report_Scenarios!$A$7:$A$13,1))+(INDEX(Report_Scenarios!$C$7:$C$13,MIN(MATCH(MEDIAN($B9-Conversion!$B$16,2020,2050),Report_Scenarios!$A$7:$A$13,1)+1,7))-INDEX(Report_Scenarios!$C$7:$C$13,MATCH(MEDIAN($B9-Conversion!$B$16,2020,2050),Report_Scenarios!$A$7:$A$13,1)))*(MEDIAN($B9-Conversion!$B$16,2020,2050)-INDEX(Report_Scenarios!$A$7:$A$13,MATCH(MEDIAN($B9-Conversion!$B$16,2020,2050),Report_Scenarios!$A$7:$A$13,1)))/(INDEX(Report_Scenarios!$A$7:$A$13,MIN(MATCH(MEDIAN($B9-Conversion!$B$16,2020,2050),Report_Scenarios!$A$7:$A$13,1)+1,7))-INDEX(Report_Scenarios!$A$7:$A$13,MATCH(MEDIAN($B9-Conversion!$B$16,2020,2050),Report_Scenarios!$A$7:$A$13,1)))),IF($D9="Central",IF(INDEX(Report_Scenarios!$A$18:$A$24,MIN(MATCH(MEDIAN($B9-Conversion!$B$16,2020,2050),Report_Scenarios!$A$18:$A$24,1)+1,7))=INDEX(Report_Scenarios!$A$18:$A$24,MATCH(MEDIAN($B9-Conversion!$B$16,2020,2050),Report_Scenarios!$A$18:$A$24,1)),INDEX(Report_Scenarios!$C$18:$C$24,MATCH(MEDIAN($B9-Conversion!$B$16,2020,2050),Report_Scenarios!$A$18:$A$24,1)),INDEX(Report_Scenarios!$C$18:$C$24,MATCH(MEDIAN($B9-Conversion!$B$16,2020,2050),Report_Scenarios!$A$18:$A$24,1))+(INDEX(Report_Scenarios!$C$18:$C$24,MIN(MATCH(MEDIAN($B9-Conversion!$B$16,2020,2050),Report_Scenarios!$A$18:$A$24,1)+1,7))-INDEX(Report_Scenarios!$C$18:$C$24,MATCH(MEDIAN($B9-Conversion!$B$16,2020,2050),Report_Scenarios!$A$18:$A$24,1)))*(MEDIAN($B9-Conversion!$B$16,2020,2050)-INDEX(Report_Scenarios!$A$18:$A$24,MATCH(MEDIAN($B9-Conversion!$B$16,2020,2050),Report_Scenarios!$A$18:$A$24,1)))/(INDEX(Report_Scenarios!$A$18:$A$24,MIN(MATCH(MEDIAN($B9-Conversion!$B$16,2020,2050),Report_Scenarios!$A$18:$A$24,1)+1,7))-INDEX(Report_Scenarios!$A$18:$A$24,MATCH(MEDIAN($B9-Conversion!$B$16,2020,2050),Report_Scenarios!$A$18:$A$24,1)))),IF(INDEX(Report_Scenarios!$A$29:$A$35,MIN(MATCH(MEDIAN($B9-Conversion!$B$16,2020,2050),Report_Scenarios!$A$29:$A$35,1)+1,7))=INDEX(Report_Scenarios!$A$29:$A$35,MATCH(MEDIAN($B9-Conversion!$B$16,2020,2050),Report_Scenarios!$A$29:$A$35,1)),INDEX(Report_Scenarios!$C$29:$C$35,MATCH(MEDIAN($B9-Conversion!$B$16,2020,2050),Report_Scenarios!$A$29:$A$35,1)),INDEX(Report_Scenarios!$C$29:$C$35,MATCH(MEDIAN($B9-Conversion!$B$16,2020,2050),Report_Scenarios!$A$29:$A$35,1))+(INDEX(Report_Scenarios!$C$29:$C$35,MIN(MATCH(MEDIAN($B9-Conversion!$B$16,2020,2050),Report_Scenarios!$A$29:$A$35,1)+1,7))-INDEX(Report_Scenarios!$C$29:$C$35,MATCH(MEDIAN($B9-Conversion!$B$16,2020,2050),Report_Scenarios!$A$29:$A$35,1)))*(MEDIAN($B9-Conversion!$B$16,2020,2050)-INDEX(Report_Scenarios!$A$29:$A$35,MATCH(MEDIAN($B9-Conversion!$B$16,2020,2050),Report_Scenarios!$A$29:$A$35,1)))/(INDEX(Report_Scenarios!$A$29:$A$35,MIN(MATCH(MEDIAN($B9-Conversion!$B$16,2020,2050),Report_Scenarios!$A$29:$A$35,1)+1,7))-INDEX(Report_Scenarios!$A$29:$A$35,MATCH(MEDIAN($B9-Conversion!$B$16,2020,2050),Report_Scenarios!$A$29:$A$35,1))))))</f>
        <v/>
      </c>
      <c r="G9" s="23">
        <f>IF($D9="Conservative",IF(INDEX(Report_Scenarios!$A$7:$A$13,MIN(MATCH(MEDIAN($B9-Conversion!$B$16,2020,2050),Report_Scenarios!$A$7:$A$13,1)+1,7))=INDEX(Report_Scenarios!$A$7:$A$13,MATCH(MEDIAN($B9-Conversion!$B$16,2020,2050),Report_Scenarios!$A$7:$A$13,1)),INDEX(Report_Scenarios!$D$7:$D$13,MATCH(MEDIAN($B9-Conversion!$B$16,2020,2050),Report_Scenarios!$A$7:$A$13,1)),INDEX(Report_Scenarios!$D$7:$D$13,MATCH(MEDIAN($B9-Conversion!$B$16,2020,2050),Report_Scenarios!$A$7:$A$13,1))+(INDEX(Report_Scenarios!$D$7:$D$13,MIN(MATCH(MEDIAN($B9-Conversion!$B$16,2020,2050),Report_Scenarios!$A$7:$A$13,1)+1,7))-INDEX(Report_Scenarios!$D$7:$D$13,MATCH(MEDIAN($B9-Conversion!$B$16,2020,2050),Report_Scenarios!$A$7:$A$13,1)))*(MEDIAN($B9-Conversion!$B$16,2020,2050)-INDEX(Report_Scenarios!$A$7:$A$13,MATCH(MEDIAN($B9-Conversion!$B$16,2020,2050),Report_Scenarios!$A$7:$A$13,1)))/(INDEX(Report_Scenarios!$A$7:$A$13,MIN(MATCH(MEDIAN($B9-Conversion!$B$16,2020,2050),Report_Scenarios!$A$7:$A$13,1)+1,7))-INDEX(Report_Scenarios!$A$7:$A$13,MATCH(MEDIAN($B9-Conversion!$B$16,2020,2050),Report_Scenarios!$A$7:$A$13,1)))),IF($D9="Central",IF(INDEX(Report_Scenarios!$A$18:$A$24,MIN(MATCH(MEDIAN($B9-Conversion!$B$16,2020,2050),Report_Scenarios!$A$18:$A$24,1)+1,7))=INDEX(Report_Scenarios!$A$18:$A$24,MATCH(MEDIAN($B9-Conversion!$B$16,2020,2050),Report_Scenarios!$A$18:$A$24,1)),INDEX(Report_Scenarios!$D$18:$D$24,MATCH(MEDIAN($B9-Conversion!$B$16,2020,2050),Report_Scenarios!$A$18:$A$24,1)),INDEX(Report_Scenarios!$D$18:$D$24,MATCH(MEDIAN($B9-Conversion!$B$16,2020,2050),Report_Scenarios!$A$18:$A$24,1))+(INDEX(Report_Scenarios!$D$18:$D$24,MIN(MATCH(MEDIAN($B9-Conversion!$B$16,2020,2050),Report_Scenarios!$A$18:$A$24,1)+1,7))-INDEX(Report_Scenarios!$D$18:$D$24,MATCH(MEDIAN($B9-Conversion!$B$16,2020,2050),Report_Scenarios!$A$18:$A$24,1)))*(MEDIAN($B9-Conversion!$B$16,2020,2050)-INDEX(Report_Scenarios!$A$18:$A$24,MATCH(MEDIAN($B9-Conversion!$B$16,2020,2050),Report_Scenarios!$A$18:$A$24,1)))/(INDEX(Report_Scenarios!$A$18:$A$24,MIN(MATCH(MEDIAN($B9-Conversion!$B$16,2020,2050),Report_Scenarios!$A$18:$A$24,1)+1,7))-INDEX(Report_Scenarios!$A$18:$A$24,MATCH(MEDIAN($B9-Conversion!$B$16,2020,2050),Report_Scenarios!$A$18:$A$24,1)))),IF(INDEX(Report_Scenarios!$A$29:$A$35,MIN(MATCH(MEDIAN($B9-Conversion!$B$16,2020,2050),Report_Scenarios!$A$29:$A$35,1)+1,7))=INDEX(Report_Scenarios!$A$29:$A$35,MATCH(MEDIAN($B9-Conversion!$B$16,2020,2050),Report_Scenarios!$A$29:$A$35,1)),INDEX(Report_Scenarios!$D$29:$D$35,MATCH(MEDIAN($B9-Conversion!$B$16,2020,2050),Report_Scenarios!$A$29:$A$35,1)),INDEX(Report_Scenarios!$D$29:$D$35,MATCH(MEDIAN($B9-Conversion!$B$16,2020,2050),Report_Scenarios!$A$29:$A$35,1))+(INDEX(Report_Scenarios!$D$29:$D$35,MIN(MATCH(MEDIAN($B9-Conversion!$B$16,2020,2050),Report_Scenarios!$A$29:$A$35,1)+1,7))-INDEX(Report_Scenarios!$D$29:$D$35,MATCH(MEDIAN($B9-Conversion!$B$16,2020,2050),Report_Scenarios!$A$29:$A$35,1)))*(MEDIAN($B9-Conversion!$B$16,2020,2050)-INDEX(Report_Scenarios!$A$29:$A$35,MATCH(MEDIAN($B9-Conversion!$B$16,2020,2050),Report_Scenarios!$A$29:$A$35,1)))/(INDEX(Report_Scenarios!$A$29:$A$35,MIN(MATCH(MEDIAN($B9-Conversion!$B$16,2020,2050),Report_Scenarios!$A$29:$A$35,1)+1,7))-INDEX(Report_Scenarios!$A$29:$A$35,MATCH(MEDIAN($B9-Conversion!$B$16,2020,2050),Report_Scenarios!$A$29:$A$35,1))))))</f>
        <v/>
      </c>
      <c r="H9" s="23">
        <f>IF($D9="Conservative",IF(INDEX(Report_Scenarios!$A$7:$A$13,MIN(MATCH(MEDIAN($B9-Conversion!$B$16,2020,2050),Report_Scenarios!$A$7:$A$13,1)+1,7))=INDEX(Report_Scenarios!$A$7:$A$13,MATCH(MEDIAN($B9-Conversion!$B$16,2020,2050),Report_Scenarios!$A$7:$A$13,1)),INDEX(Report_Scenarios!$E$7:$E$13,MATCH(MEDIAN($B9-Conversion!$B$16,2020,2050),Report_Scenarios!$A$7:$A$13,1)),INDEX(Report_Scenarios!$E$7:$E$13,MATCH(MEDIAN($B9-Conversion!$B$16,2020,2050),Report_Scenarios!$A$7:$A$13,1))+(INDEX(Report_Scenarios!$E$7:$E$13,MIN(MATCH(MEDIAN($B9-Conversion!$B$16,2020,2050),Report_Scenarios!$A$7:$A$13,1)+1,7))-INDEX(Report_Scenarios!$E$7:$E$13,MATCH(MEDIAN($B9-Conversion!$B$16,2020,2050),Report_Scenarios!$A$7:$A$13,1)))*(MEDIAN($B9-Conversion!$B$16,2020,2050)-INDEX(Report_Scenarios!$A$7:$A$13,MATCH(MEDIAN($B9-Conversion!$B$16,2020,2050),Report_Scenarios!$A$7:$A$13,1)))/(INDEX(Report_Scenarios!$A$7:$A$13,MIN(MATCH(MEDIAN($B9-Conversion!$B$16,2020,2050),Report_Scenarios!$A$7:$A$13,1)+1,7))-INDEX(Report_Scenarios!$A$7:$A$13,MATCH(MEDIAN($B9-Conversion!$B$16,2020,2050),Report_Scenarios!$A$7:$A$13,1)))),IF($D9="Central",IF(INDEX(Report_Scenarios!$A$18:$A$24,MIN(MATCH(MEDIAN($B9-Conversion!$B$16,2020,2050),Report_Scenarios!$A$18:$A$24,1)+1,7))=INDEX(Report_Scenarios!$A$18:$A$24,MATCH(MEDIAN($B9-Conversion!$B$16,2020,2050),Report_Scenarios!$A$18:$A$24,1)),INDEX(Report_Scenarios!$E$18:$E$24,MATCH(MEDIAN($B9-Conversion!$B$16,2020,2050),Report_Scenarios!$A$18:$A$24,1)),INDEX(Report_Scenarios!$E$18:$E$24,MATCH(MEDIAN($B9-Conversion!$B$16,2020,2050),Report_Scenarios!$A$18:$A$24,1))+(INDEX(Report_Scenarios!$E$18:$E$24,MIN(MATCH(MEDIAN($B9-Conversion!$B$16,2020,2050),Report_Scenarios!$A$18:$A$24,1)+1,7))-INDEX(Report_Scenarios!$E$18:$E$24,MATCH(MEDIAN($B9-Conversion!$B$16,2020,2050),Report_Scenarios!$A$18:$A$24,1)))*(MEDIAN($B9-Conversion!$B$16,2020,2050)-INDEX(Report_Scenarios!$A$18:$A$24,MATCH(MEDIAN($B9-Conversion!$B$16,2020,2050),Report_Scenarios!$A$18:$A$24,1)))/(INDEX(Report_Scenarios!$A$18:$A$24,MIN(MATCH(MEDIAN($B9-Conversion!$B$16,2020,2050),Report_Scenarios!$A$18:$A$24,1)+1,7))-INDEX(Report_Scenarios!$A$18:$A$24,MATCH(MEDIAN($B9-Conversion!$B$16,2020,2050),Report_Scenarios!$A$18:$A$24,1)))),IF(INDEX(Report_Scenarios!$A$29:$A$35,MIN(MATCH(MEDIAN($B9-Conversion!$B$16,2020,2050),Report_Scenarios!$A$29:$A$35,1)+1,7))=INDEX(Report_Scenarios!$A$29:$A$35,MATCH(MEDIAN($B9-Conversion!$B$16,2020,2050),Report_Scenarios!$A$29:$A$35,1)),INDEX(Report_Scenarios!$E$29:$E$35,MATCH(MEDIAN($B9-Conversion!$B$16,2020,2050),Report_Scenarios!$A$29:$A$35,1)),INDEX(Report_Scenarios!$E$29:$E$35,MATCH(MEDIAN($B9-Conversion!$B$16,2020,2050),Report_Scenarios!$A$29:$A$35,1))+(INDEX(Report_Scenarios!$E$29:$E$35,MIN(MATCH(MEDIAN($B9-Conversion!$B$16,2020,2050),Report_Scenarios!$A$29:$A$35,1)+1,7))-INDEX(Report_Scenarios!$E$29:$E$35,MATCH(MEDIAN($B9-Conversion!$B$16,2020,2050),Report_Scenarios!$A$29:$A$35,1)))*(MEDIAN($B9-Conversion!$B$16,2020,2050)-INDEX(Report_Scenarios!$A$29:$A$35,MATCH(MEDIAN($B9-Conversion!$B$16,2020,2050),Report_Scenarios!$A$29:$A$35,1)))/(INDEX(Report_Scenarios!$A$29:$A$35,MIN(MATCH(MEDIAN($B9-Conversion!$B$16,2020,2050),Report_Scenarios!$A$29:$A$35,1)+1,7))-INDEX(Report_Scenarios!$A$29:$A$35,MATCH(MEDIAN($B9-Conversion!$B$16,2020,2050),Report_Scenarios!$A$29:$A$35,1))))))</f>
        <v/>
      </c>
      <c r="I9" s="23">
        <f>IF($D9="Conservative",IF(INDEX(Report_Scenarios!$A$7:$A$13,MIN(MATCH(MEDIAN($B9-Conversion!$B$16,2020,2050),Report_Scenarios!$A$7:$A$13,1)+1,7))=INDEX(Report_Scenarios!$A$7:$A$13,MATCH(MEDIAN($B9-Conversion!$B$16,2020,2050),Report_Scenarios!$A$7:$A$13,1)),INDEX(Report_Scenarios!$F$7:$F$13,MATCH(MEDIAN($B9-Conversion!$B$16,2020,2050),Report_Scenarios!$A$7:$A$13,1)),INDEX(Report_Scenarios!$F$7:$F$13,MATCH(MEDIAN($B9-Conversion!$B$16,2020,2050),Report_Scenarios!$A$7:$A$13,1))+(INDEX(Report_Scenarios!$F$7:$F$13,MIN(MATCH(MEDIAN($B9-Conversion!$B$16,2020,2050),Report_Scenarios!$A$7:$A$13,1)+1,7))-INDEX(Report_Scenarios!$F$7:$F$13,MATCH(MEDIAN($B9-Conversion!$B$16,2020,2050),Report_Scenarios!$A$7:$A$13,1)))*(MEDIAN($B9-Conversion!$B$16,2020,2050)-INDEX(Report_Scenarios!$A$7:$A$13,MATCH(MEDIAN($B9-Conversion!$B$16,2020,2050),Report_Scenarios!$A$7:$A$13,1)))/(INDEX(Report_Scenarios!$A$7:$A$13,MIN(MATCH(MEDIAN($B9-Conversion!$B$16,2020,2050),Report_Scenarios!$A$7:$A$13,1)+1,7))-INDEX(Report_Scenarios!$A$7:$A$13,MATCH(MEDIAN($B9-Conversion!$B$16,2020,2050),Report_Scenarios!$A$7:$A$13,1)))),IF($D9="Central",IF(INDEX(Report_Scenarios!$A$18:$A$24,MIN(MATCH(MEDIAN($B9-Conversion!$B$16,2020,2050),Report_Scenarios!$A$18:$A$24,1)+1,7))=INDEX(Report_Scenarios!$A$18:$A$24,MATCH(MEDIAN($B9-Conversion!$B$16,2020,2050),Report_Scenarios!$A$18:$A$24,1)),INDEX(Report_Scenarios!$F$18:$F$24,MATCH(MEDIAN($B9-Conversion!$B$16,2020,2050),Report_Scenarios!$A$18:$A$24,1)),INDEX(Report_Scenarios!$F$18:$F$24,MATCH(MEDIAN($B9-Conversion!$B$16,2020,2050),Report_Scenarios!$A$18:$A$24,1))+(INDEX(Report_Scenarios!$F$18:$F$24,MIN(MATCH(MEDIAN($B9-Conversion!$B$16,2020,2050),Report_Scenarios!$A$18:$A$24,1)+1,7))-INDEX(Report_Scenarios!$F$18:$F$24,MATCH(MEDIAN($B9-Conversion!$B$16,2020,2050),Report_Scenarios!$A$18:$A$24,1)))*(MEDIAN($B9-Conversion!$B$16,2020,2050)-INDEX(Report_Scenarios!$A$18:$A$24,MATCH(MEDIAN($B9-Conversion!$B$16,2020,2050),Report_Scenarios!$A$18:$A$24,1)))/(INDEX(Report_Scenarios!$A$18:$A$24,MIN(MATCH(MEDIAN($B9-Conversion!$B$16,2020,2050),Report_Scenarios!$A$18:$A$24,1)+1,7))-INDEX(Report_Scenarios!$A$18:$A$24,MATCH(MEDIAN($B9-Conversion!$B$16,2020,2050),Report_Scenarios!$A$18:$A$24,1)))),IF(INDEX(Report_Scenarios!$A$29:$A$35,MIN(MATCH(MEDIAN($B9-Conversion!$B$16,2020,2050),Report_Scenarios!$A$29:$A$35,1)+1,7))=INDEX(Report_Scenarios!$A$29:$A$35,MATCH(MEDIAN($B9-Conversion!$B$16,2020,2050),Report_Scenarios!$A$29:$A$35,1)),INDEX(Report_Scenarios!$F$29:$F$35,MATCH(MEDIAN($B9-Conversion!$B$16,2020,2050),Report_Scenarios!$A$29:$A$35,1)),INDEX(Report_Scenarios!$F$29:$F$35,MATCH(MEDIAN($B9-Conversion!$B$16,2020,2050),Report_Scenarios!$A$29:$A$35,1))+(INDEX(Report_Scenarios!$F$29:$F$35,MIN(MATCH(MEDIAN($B9-Conversion!$B$16,2020,2050),Report_Scenarios!$A$29:$A$35,1)+1,7))-INDEX(Report_Scenarios!$F$29:$F$35,MATCH(MEDIAN($B9-Conversion!$B$16,2020,2050),Report_Scenarios!$A$29:$A$35,1)))*(MEDIAN($B9-Conversion!$B$16,2020,2050)-INDEX(Report_Scenarios!$A$29:$A$35,MATCH(MEDIAN($B9-Conversion!$B$16,2020,2050),Report_Scenarios!$A$29:$A$35,1)))/(INDEX(Report_Scenarios!$A$29:$A$35,MIN(MATCH(MEDIAN($B9-Conversion!$B$16,2020,2050),Report_Scenarios!$A$29:$A$35,1)+1,7))-INDEX(Report_Scenarios!$A$29:$A$35,MATCH(MEDIAN($B9-Conversion!$B$16,2020,2050),Report_Scenarios!$A$29:$A$35,1))))))</f>
        <v/>
      </c>
      <c r="J9" s="23">
        <f>IF($D9="Conservative",IF(INDEX(Report_Scenarios!$A$7:$A$13,MIN(MATCH(MEDIAN($B9-Conversion!$B$16,2020,2050),Report_Scenarios!$A$7:$A$13,1)+1,7))=INDEX(Report_Scenarios!$A$7:$A$13,MATCH(MEDIAN($B9-Conversion!$B$16,2020,2050),Report_Scenarios!$A$7:$A$13,1)),INDEX(Report_Scenarios!$G$7:$G$13,MATCH(MEDIAN($B9-Conversion!$B$16,2020,2050),Report_Scenarios!$A$7:$A$13,1)),INDEX(Report_Scenarios!$G$7:$G$13,MATCH(MEDIAN($B9-Conversion!$B$16,2020,2050),Report_Scenarios!$A$7:$A$13,1))+(INDEX(Report_Scenarios!$G$7:$G$13,MIN(MATCH(MEDIAN($B9-Conversion!$B$16,2020,2050),Report_Scenarios!$A$7:$A$13,1)+1,7))-INDEX(Report_Scenarios!$G$7:$G$13,MATCH(MEDIAN($B9-Conversion!$B$16,2020,2050),Report_Scenarios!$A$7:$A$13,1)))*(MEDIAN($B9-Conversion!$B$16,2020,2050)-INDEX(Report_Scenarios!$A$7:$A$13,MATCH(MEDIAN($B9-Conversion!$B$16,2020,2050),Report_Scenarios!$A$7:$A$13,1)))/(INDEX(Report_Scenarios!$A$7:$A$13,MIN(MATCH(MEDIAN($B9-Conversion!$B$16,2020,2050),Report_Scenarios!$A$7:$A$13,1)+1,7))-INDEX(Report_Scenarios!$A$7:$A$13,MATCH(MEDIAN($B9-Conversion!$B$16,2020,2050),Report_Scenarios!$A$7:$A$13,1)))),IF($D9="Central",IF(INDEX(Report_Scenarios!$A$18:$A$24,MIN(MATCH(MEDIAN($B9-Conversion!$B$16,2020,2050),Report_Scenarios!$A$18:$A$24,1)+1,7))=INDEX(Report_Scenarios!$A$18:$A$24,MATCH(MEDIAN($B9-Conversion!$B$16,2020,2050),Report_Scenarios!$A$18:$A$24,1)),INDEX(Report_Scenarios!$G$18:$G$24,MATCH(MEDIAN($B9-Conversion!$B$16,2020,2050),Report_Scenarios!$A$18:$A$24,1)),INDEX(Report_Scenarios!$G$18:$G$24,MATCH(MEDIAN($B9-Conversion!$B$16,2020,2050),Report_Scenarios!$A$18:$A$24,1))+(INDEX(Report_Scenarios!$G$18:$G$24,MIN(MATCH(MEDIAN($B9-Conversion!$B$16,2020,2050),Report_Scenarios!$A$18:$A$24,1)+1,7))-INDEX(Report_Scenarios!$G$18:$G$24,MATCH(MEDIAN($B9-Conversion!$B$16,2020,2050),Report_Scenarios!$A$18:$A$24,1)))*(MEDIAN($B9-Conversion!$B$16,2020,2050)-INDEX(Report_Scenarios!$A$18:$A$24,MATCH(MEDIAN($B9-Conversion!$B$16,2020,2050),Report_Scenarios!$A$18:$A$24,1)))/(INDEX(Report_Scenarios!$A$18:$A$24,MIN(MATCH(MEDIAN($B9-Conversion!$B$16,2020,2050),Report_Scenarios!$A$18:$A$24,1)+1,7))-INDEX(Report_Scenarios!$A$18:$A$24,MATCH(MEDIAN($B9-Conversion!$B$16,2020,2050),Report_Scenarios!$A$18:$A$24,1)))),IF(INDEX(Report_Scenarios!$A$29:$A$35,MIN(MATCH(MEDIAN($B9-Conversion!$B$16,2020,2050),Report_Scenarios!$A$29:$A$35,1)+1,7))=INDEX(Report_Scenarios!$A$29:$A$35,MATCH(MEDIAN($B9-Conversion!$B$16,2020,2050),Report_Scenarios!$A$29:$A$35,1)),INDEX(Report_Scenarios!$G$29:$G$35,MATCH(MEDIAN($B9-Conversion!$B$16,2020,2050),Report_Scenarios!$A$29:$A$35,1)),INDEX(Report_Scenarios!$G$29:$G$35,MATCH(MEDIAN($B9-Conversion!$B$16,2020,2050),Report_Scenarios!$A$29:$A$35,1))+(INDEX(Report_Scenarios!$G$29:$G$35,MIN(MATCH(MEDIAN($B9-Conversion!$B$16,2020,2050),Report_Scenarios!$A$29:$A$35,1)+1,7))-INDEX(Report_Scenarios!$G$29:$G$35,MATCH(MEDIAN($B9-Conversion!$B$16,2020,2050),Report_Scenarios!$A$29:$A$35,1)))*(MEDIAN($B9-Conversion!$B$16,2020,2050)-INDEX(Report_Scenarios!$A$29:$A$35,MATCH(MEDIAN($B9-Conversion!$B$16,2020,2050),Report_Scenarios!$A$29:$A$35,1)))/(INDEX(Report_Scenarios!$A$29:$A$35,MIN(MATCH(MEDIAN($B9-Conversion!$B$16,2020,2050),Report_Scenarios!$A$29:$A$35,1)+1,7))-INDEX(Report_Scenarios!$A$29:$A$35,MATCH(MEDIAN($B9-Conversion!$B$16,2020,2050),Report_Scenarios!$A$29:$A$35,1))))))</f>
        <v/>
      </c>
      <c r="K9" s="23">
        <f>SUM(E9:J9)</f>
        <v/>
      </c>
      <c r="L9" s="23">
        <f>IF(R9&lt;&gt;"",R9,IF($K9=0,0,E9/$K9))</f>
        <v/>
      </c>
      <c r="M9" s="23">
        <f>IF(S9&lt;&gt;"",S9,IF($K9=0,0,F9/$K9))</f>
        <v/>
      </c>
      <c r="N9" s="23">
        <f>IF(T9&lt;&gt;"",T9,IF($K9=0,0,G9/$K9))</f>
        <v/>
      </c>
      <c r="O9" s="23">
        <f>IF(U9&lt;&gt;"",U9,IF($K9=0,0,H9/$K9))</f>
        <v/>
      </c>
      <c r="P9" s="23">
        <f>IF(V9&lt;&gt;"",V9,IF($K9=0,0,I9/$K9))</f>
        <v/>
      </c>
      <c r="Q9" s="23">
        <f>IF(W9&lt;&gt;"",W9,IF($K9=0,0,J9/$K9))</f>
        <v/>
      </c>
      <c r="R9" s="24" t="n"/>
      <c r="S9" s="24" t="n"/>
      <c r="T9" s="24" t="n"/>
      <c r="U9" s="24" t="n"/>
      <c r="V9" s="24" t="n"/>
      <c r="W9" s="24" t="n"/>
    </row>
    <row r="10">
      <c r="A10" s="4" t="inlineStr">
        <is>
          <t>AB</t>
        </is>
      </c>
      <c r="B10" s="4" t="n">
        <v>2025</v>
      </c>
      <c r="C10" s="4" t="inlineStr">
        <is>
          <t>Share_Max</t>
        </is>
      </c>
      <c r="D10" s="4">
        <f>Conversion!$B$20</f>
        <v/>
      </c>
      <c r="E10" s="23">
        <f>IF($D10="Conservative",IF(INDEX(Report_Scenarios!$A$7:$A$13,MIN(MATCH(MEDIAN($B10-Conversion!$B$16,2020,2050),Report_Scenarios!$A$7:$A$13,1)+1,7))=INDEX(Report_Scenarios!$A$7:$A$13,MATCH(MEDIAN($B10-Conversion!$B$16,2020,2050),Report_Scenarios!$A$7:$A$13,1)),INDEX(Report_Scenarios!$B$7:$B$13,MATCH(MEDIAN($B10-Conversion!$B$16,2020,2050),Report_Scenarios!$A$7:$A$13,1)),INDEX(Report_Scenarios!$B$7:$B$13,MATCH(MEDIAN($B10-Conversion!$B$16,2020,2050),Report_Scenarios!$A$7:$A$13,1))+(INDEX(Report_Scenarios!$B$7:$B$13,MIN(MATCH(MEDIAN($B10-Conversion!$B$16,2020,2050),Report_Scenarios!$A$7:$A$13,1)+1,7))-INDEX(Report_Scenarios!$B$7:$B$13,MATCH(MEDIAN($B10-Conversion!$B$16,2020,2050),Report_Scenarios!$A$7:$A$13,1)))*(MEDIAN($B10-Conversion!$B$16,2020,2050)-INDEX(Report_Scenarios!$A$7:$A$13,MATCH(MEDIAN($B10-Conversion!$B$16,2020,2050),Report_Scenarios!$A$7:$A$13,1)))/(INDEX(Report_Scenarios!$A$7:$A$13,MIN(MATCH(MEDIAN($B10-Conversion!$B$16,2020,2050),Report_Scenarios!$A$7:$A$13,1)+1,7))-INDEX(Report_Scenarios!$A$7:$A$13,MATCH(MEDIAN($B10-Conversion!$B$16,2020,2050),Report_Scenarios!$A$7:$A$13,1)))),IF($D10="Central",IF(INDEX(Report_Scenarios!$A$18:$A$24,MIN(MATCH(MEDIAN($B10-Conversion!$B$16,2020,2050),Report_Scenarios!$A$18:$A$24,1)+1,7))=INDEX(Report_Scenarios!$A$18:$A$24,MATCH(MEDIAN($B10-Conversion!$B$16,2020,2050),Report_Scenarios!$A$18:$A$24,1)),INDEX(Report_Scenarios!$B$18:$B$24,MATCH(MEDIAN($B10-Conversion!$B$16,2020,2050),Report_Scenarios!$A$18:$A$24,1)),INDEX(Report_Scenarios!$B$18:$B$24,MATCH(MEDIAN($B10-Conversion!$B$16,2020,2050),Report_Scenarios!$A$18:$A$24,1))+(INDEX(Report_Scenarios!$B$18:$B$24,MIN(MATCH(MEDIAN($B10-Conversion!$B$16,2020,2050),Report_Scenarios!$A$18:$A$24,1)+1,7))-INDEX(Report_Scenarios!$B$18:$B$24,MATCH(MEDIAN($B10-Conversion!$B$16,2020,2050),Report_Scenarios!$A$18:$A$24,1)))*(MEDIAN($B10-Conversion!$B$16,2020,2050)-INDEX(Report_Scenarios!$A$18:$A$24,MATCH(MEDIAN($B10-Conversion!$B$16,2020,2050),Report_Scenarios!$A$18:$A$24,1)))/(INDEX(Report_Scenarios!$A$18:$A$24,MIN(MATCH(MEDIAN($B10-Conversion!$B$16,2020,2050),Report_Scenarios!$A$18:$A$24,1)+1,7))-INDEX(Report_Scenarios!$A$18:$A$24,MATCH(MEDIAN($B10-Conversion!$B$16,2020,2050),Report_Scenarios!$A$18:$A$24,1)))),IF(INDEX(Report_Scenarios!$A$29:$A$35,MIN(MATCH(MEDIAN($B10-Conversion!$B$16,2020,2050),Report_Scenarios!$A$29:$A$35,1)+1,7))=INDEX(Report_Scenarios!$A$29:$A$35,MATCH(MEDIAN($B10-Conversion!$B$16,2020,2050),Report_Scenarios!$A$29:$A$35,1)),INDEX(Report_Scenarios!$B$29:$B$35,MATCH(MEDIAN($B10-Conversion!$B$16,2020,2050),Report_Scenarios!$A$29:$A$35,1)),INDEX(Report_Scenarios!$B$29:$B$35,MATCH(MEDIAN($B10-Conversion!$B$16,2020,2050),Report_Scenarios!$A$29:$A$35,1))+(INDEX(Report_Scenarios!$B$29:$B$35,MIN(MATCH(MEDIAN($B10-Conversion!$B$16,2020,2050),Report_Scenarios!$A$29:$A$35,1)+1,7))-INDEX(Report_Scenarios!$B$29:$B$35,MATCH(MEDIAN($B10-Conversion!$B$16,2020,2050),Report_Scenarios!$A$29:$A$35,1)))*(MEDIAN($B10-Conversion!$B$16,2020,2050)-INDEX(Report_Scenarios!$A$29:$A$35,MATCH(MEDIAN($B10-Conversion!$B$16,2020,2050),Report_Scenarios!$A$29:$A$35,1)))/(INDEX(Report_Scenarios!$A$29:$A$35,MIN(MATCH(MEDIAN($B10-Conversion!$B$16,2020,2050),Report_Scenarios!$A$29:$A$35,1)+1,7))-INDEX(Report_Scenarios!$A$29:$A$35,MATCH(MEDIAN($B10-Conversion!$B$16,2020,2050),Report_Scenarios!$A$29:$A$35,1))))))</f>
        <v/>
      </c>
      <c r="F10" s="23">
        <f>IF($D10="Conservative",IF(INDEX(Report_Scenarios!$A$7:$A$13,MIN(MATCH(MEDIAN($B10-Conversion!$B$16,2020,2050),Report_Scenarios!$A$7:$A$13,1)+1,7))=INDEX(Report_Scenarios!$A$7:$A$13,MATCH(MEDIAN($B10-Conversion!$B$16,2020,2050),Report_Scenarios!$A$7:$A$13,1)),INDEX(Report_Scenarios!$C$7:$C$13,MATCH(MEDIAN($B10-Conversion!$B$16,2020,2050),Report_Scenarios!$A$7:$A$13,1)),INDEX(Report_Scenarios!$C$7:$C$13,MATCH(MEDIAN($B10-Conversion!$B$16,2020,2050),Report_Scenarios!$A$7:$A$13,1))+(INDEX(Report_Scenarios!$C$7:$C$13,MIN(MATCH(MEDIAN($B10-Conversion!$B$16,2020,2050),Report_Scenarios!$A$7:$A$13,1)+1,7))-INDEX(Report_Scenarios!$C$7:$C$13,MATCH(MEDIAN($B10-Conversion!$B$16,2020,2050),Report_Scenarios!$A$7:$A$13,1)))*(MEDIAN($B10-Conversion!$B$16,2020,2050)-INDEX(Report_Scenarios!$A$7:$A$13,MATCH(MEDIAN($B10-Conversion!$B$16,2020,2050),Report_Scenarios!$A$7:$A$13,1)))/(INDEX(Report_Scenarios!$A$7:$A$13,MIN(MATCH(MEDIAN($B10-Conversion!$B$16,2020,2050),Report_Scenarios!$A$7:$A$13,1)+1,7))-INDEX(Report_Scenarios!$A$7:$A$13,MATCH(MEDIAN($B10-Conversion!$B$16,2020,2050),Report_Scenarios!$A$7:$A$13,1)))),IF($D10="Central",IF(INDEX(Report_Scenarios!$A$18:$A$24,MIN(MATCH(MEDIAN($B10-Conversion!$B$16,2020,2050),Report_Scenarios!$A$18:$A$24,1)+1,7))=INDEX(Report_Scenarios!$A$18:$A$24,MATCH(MEDIAN($B10-Conversion!$B$16,2020,2050),Report_Scenarios!$A$18:$A$24,1)),INDEX(Report_Scenarios!$C$18:$C$24,MATCH(MEDIAN($B10-Conversion!$B$16,2020,2050),Report_Scenarios!$A$18:$A$24,1)),INDEX(Report_Scenarios!$C$18:$C$24,MATCH(MEDIAN($B10-Conversion!$B$16,2020,2050),Report_Scenarios!$A$18:$A$24,1))+(INDEX(Report_Scenarios!$C$18:$C$24,MIN(MATCH(MEDIAN($B10-Conversion!$B$16,2020,2050),Report_Scenarios!$A$18:$A$24,1)+1,7))-INDEX(Report_Scenarios!$C$18:$C$24,MATCH(MEDIAN($B10-Conversion!$B$16,2020,2050),Report_Scenarios!$A$18:$A$24,1)))*(MEDIAN($B10-Conversion!$B$16,2020,2050)-INDEX(Report_Scenarios!$A$18:$A$24,MATCH(MEDIAN($B10-Conversion!$B$16,2020,2050),Report_Scenarios!$A$18:$A$24,1)))/(INDEX(Report_Scenarios!$A$18:$A$24,MIN(MATCH(MEDIAN($B10-Conversion!$B$16,2020,2050),Report_Scenarios!$A$18:$A$24,1)+1,7))-INDEX(Report_Scenarios!$A$18:$A$24,MATCH(MEDIAN($B10-Conversion!$B$16,2020,2050),Report_Scenarios!$A$18:$A$24,1)))),IF(INDEX(Report_Scenarios!$A$29:$A$35,MIN(MATCH(MEDIAN($B10-Conversion!$B$16,2020,2050),Report_Scenarios!$A$29:$A$35,1)+1,7))=INDEX(Report_Scenarios!$A$29:$A$35,MATCH(MEDIAN($B10-Conversion!$B$16,2020,2050),Report_Scenarios!$A$29:$A$35,1)),INDEX(Report_Scenarios!$C$29:$C$35,MATCH(MEDIAN($B10-Conversion!$B$16,2020,2050),Report_Scenarios!$A$29:$A$35,1)),INDEX(Report_Scenarios!$C$29:$C$35,MATCH(MEDIAN($B10-Conversion!$B$16,2020,2050),Report_Scenarios!$A$29:$A$35,1))+(INDEX(Report_Scenarios!$C$29:$C$35,MIN(MATCH(MEDIAN($B10-Conversion!$B$16,2020,2050),Report_Scenarios!$A$29:$A$35,1)+1,7))-INDEX(Report_Scenarios!$C$29:$C$35,MATCH(MEDIAN($B10-Conversion!$B$16,2020,2050),Report_Scenarios!$A$29:$A$35,1)))*(MEDIAN($B10-Conversion!$B$16,2020,2050)-INDEX(Report_Scenarios!$A$29:$A$35,MATCH(MEDIAN($B10-Conversion!$B$16,2020,2050),Report_Scenarios!$A$29:$A$35,1)))/(INDEX(Report_Scenarios!$A$29:$A$35,MIN(MATCH(MEDIAN($B10-Conversion!$B$16,2020,2050),Report_Scenarios!$A$29:$A$35,1)+1,7))-INDEX(Report_Scenarios!$A$29:$A$35,MATCH(MEDIAN($B10-Conversion!$B$16,2020,2050),Report_Scenarios!$A$29:$A$35,1))))))</f>
        <v/>
      </c>
      <c r="G10" s="23">
        <f>IF($D10="Conservative",IF(INDEX(Report_Scenarios!$A$7:$A$13,MIN(MATCH(MEDIAN($B10-Conversion!$B$16,2020,2050),Report_Scenarios!$A$7:$A$13,1)+1,7))=INDEX(Report_Scenarios!$A$7:$A$13,MATCH(MEDIAN($B10-Conversion!$B$16,2020,2050),Report_Scenarios!$A$7:$A$13,1)),INDEX(Report_Scenarios!$D$7:$D$13,MATCH(MEDIAN($B10-Conversion!$B$16,2020,2050),Report_Scenarios!$A$7:$A$13,1)),INDEX(Report_Scenarios!$D$7:$D$13,MATCH(MEDIAN($B10-Conversion!$B$16,2020,2050),Report_Scenarios!$A$7:$A$13,1))+(INDEX(Report_Scenarios!$D$7:$D$13,MIN(MATCH(MEDIAN($B10-Conversion!$B$16,2020,2050),Report_Scenarios!$A$7:$A$13,1)+1,7))-INDEX(Report_Scenarios!$D$7:$D$13,MATCH(MEDIAN($B10-Conversion!$B$16,2020,2050),Report_Scenarios!$A$7:$A$13,1)))*(MEDIAN($B10-Conversion!$B$16,2020,2050)-INDEX(Report_Scenarios!$A$7:$A$13,MATCH(MEDIAN($B10-Conversion!$B$16,2020,2050),Report_Scenarios!$A$7:$A$13,1)))/(INDEX(Report_Scenarios!$A$7:$A$13,MIN(MATCH(MEDIAN($B10-Conversion!$B$16,2020,2050),Report_Scenarios!$A$7:$A$13,1)+1,7))-INDEX(Report_Scenarios!$A$7:$A$13,MATCH(MEDIAN($B10-Conversion!$B$16,2020,2050),Report_Scenarios!$A$7:$A$13,1)))),IF($D10="Central",IF(INDEX(Report_Scenarios!$A$18:$A$24,MIN(MATCH(MEDIAN($B10-Conversion!$B$16,2020,2050),Report_Scenarios!$A$18:$A$24,1)+1,7))=INDEX(Report_Scenarios!$A$18:$A$24,MATCH(MEDIAN($B10-Conversion!$B$16,2020,2050),Report_Scenarios!$A$18:$A$24,1)),INDEX(Report_Scenarios!$D$18:$D$24,MATCH(MEDIAN($B10-Conversion!$B$16,2020,2050),Report_Scenarios!$A$18:$A$24,1)),INDEX(Report_Scenarios!$D$18:$D$24,MATCH(MEDIAN($B10-Conversion!$B$16,2020,2050),Report_Scenarios!$A$18:$A$24,1))+(INDEX(Report_Scenarios!$D$18:$D$24,MIN(MATCH(MEDIAN($B10-Conversion!$B$16,2020,2050),Report_Scenarios!$A$18:$A$24,1)+1,7))-INDEX(Report_Scenarios!$D$18:$D$24,MATCH(MEDIAN($B10-Conversion!$B$16,2020,2050),Report_Scenarios!$A$18:$A$24,1)))*(MEDIAN($B10-Conversion!$B$16,2020,2050)-INDEX(Report_Scenarios!$A$18:$A$24,MATCH(MEDIAN($B10-Conversion!$B$16,2020,2050),Report_Scenarios!$A$18:$A$24,1)))/(INDEX(Report_Scenarios!$A$18:$A$24,MIN(MATCH(MEDIAN($B10-Conversion!$B$16,2020,2050),Report_Scenarios!$A$18:$A$24,1)+1,7))-INDEX(Report_Scenarios!$A$18:$A$24,MATCH(MEDIAN($B10-Conversion!$B$16,2020,2050),Report_Scenarios!$A$18:$A$24,1)))),IF(INDEX(Report_Scenarios!$A$29:$A$35,MIN(MATCH(MEDIAN($B10-Conversion!$B$16,2020,2050),Report_Scenarios!$A$29:$A$35,1)+1,7))=INDEX(Report_Scenarios!$A$29:$A$35,MATCH(MEDIAN($B10-Conversion!$B$16,2020,2050),Report_Scenarios!$A$29:$A$35,1)),INDEX(Report_Scenarios!$D$29:$D$35,MATCH(MEDIAN($B10-Conversion!$B$16,2020,2050),Report_Scenarios!$A$29:$A$35,1)),INDEX(Report_Scenarios!$D$29:$D$35,MATCH(MEDIAN($B10-Conversion!$B$16,2020,2050),Report_Scenarios!$A$29:$A$35,1))+(INDEX(Report_Scenarios!$D$29:$D$35,MIN(MATCH(MEDIAN($B10-Conversion!$B$16,2020,2050),Report_Scenarios!$A$29:$A$35,1)+1,7))-INDEX(Report_Scenarios!$D$29:$D$35,MATCH(MEDIAN($B10-Conversion!$B$16,2020,2050),Report_Scenarios!$A$29:$A$35,1)))*(MEDIAN($B10-Conversion!$B$16,2020,2050)-INDEX(Report_Scenarios!$A$29:$A$35,MATCH(MEDIAN($B10-Conversion!$B$16,2020,2050),Report_Scenarios!$A$29:$A$35,1)))/(INDEX(Report_Scenarios!$A$29:$A$35,MIN(MATCH(MEDIAN($B10-Conversion!$B$16,2020,2050),Report_Scenarios!$A$29:$A$35,1)+1,7))-INDEX(Report_Scenarios!$A$29:$A$35,MATCH(MEDIAN($B10-Conversion!$B$16,2020,2050),Report_Scenarios!$A$29:$A$35,1))))))</f>
        <v/>
      </c>
      <c r="H10" s="23">
        <f>IF($D10="Conservative",IF(INDEX(Report_Scenarios!$A$7:$A$13,MIN(MATCH(MEDIAN($B10-Conversion!$B$16,2020,2050),Report_Scenarios!$A$7:$A$13,1)+1,7))=INDEX(Report_Scenarios!$A$7:$A$13,MATCH(MEDIAN($B10-Conversion!$B$16,2020,2050),Report_Scenarios!$A$7:$A$13,1)),INDEX(Report_Scenarios!$E$7:$E$13,MATCH(MEDIAN($B10-Conversion!$B$16,2020,2050),Report_Scenarios!$A$7:$A$13,1)),INDEX(Report_Scenarios!$E$7:$E$13,MATCH(MEDIAN($B10-Conversion!$B$16,2020,2050),Report_Scenarios!$A$7:$A$13,1))+(INDEX(Report_Scenarios!$E$7:$E$13,MIN(MATCH(MEDIAN($B10-Conversion!$B$16,2020,2050),Report_Scenarios!$A$7:$A$13,1)+1,7))-INDEX(Report_Scenarios!$E$7:$E$13,MATCH(MEDIAN($B10-Conversion!$B$16,2020,2050),Report_Scenarios!$A$7:$A$13,1)))*(MEDIAN($B10-Conversion!$B$16,2020,2050)-INDEX(Report_Scenarios!$A$7:$A$13,MATCH(MEDIAN($B10-Conversion!$B$16,2020,2050),Report_Scenarios!$A$7:$A$13,1)))/(INDEX(Report_Scenarios!$A$7:$A$13,MIN(MATCH(MEDIAN($B10-Conversion!$B$16,2020,2050),Report_Scenarios!$A$7:$A$13,1)+1,7))-INDEX(Report_Scenarios!$A$7:$A$13,MATCH(MEDIAN($B10-Conversion!$B$16,2020,2050),Report_Scenarios!$A$7:$A$13,1)))),IF($D10="Central",IF(INDEX(Report_Scenarios!$A$18:$A$24,MIN(MATCH(MEDIAN($B10-Conversion!$B$16,2020,2050),Report_Scenarios!$A$18:$A$24,1)+1,7))=INDEX(Report_Scenarios!$A$18:$A$24,MATCH(MEDIAN($B10-Conversion!$B$16,2020,2050),Report_Scenarios!$A$18:$A$24,1)),INDEX(Report_Scenarios!$E$18:$E$24,MATCH(MEDIAN($B10-Conversion!$B$16,2020,2050),Report_Scenarios!$A$18:$A$24,1)),INDEX(Report_Scenarios!$E$18:$E$24,MATCH(MEDIAN($B10-Conversion!$B$16,2020,2050),Report_Scenarios!$A$18:$A$24,1))+(INDEX(Report_Scenarios!$E$18:$E$24,MIN(MATCH(MEDIAN($B10-Conversion!$B$16,2020,2050),Report_Scenarios!$A$18:$A$24,1)+1,7))-INDEX(Report_Scenarios!$E$18:$E$24,MATCH(MEDIAN($B10-Conversion!$B$16,2020,2050),Report_Scenarios!$A$18:$A$24,1)))*(MEDIAN($B10-Conversion!$B$16,2020,2050)-INDEX(Report_Scenarios!$A$18:$A$24,MATCH(MEDIAN($B10-Conversion!$B$16,2020,2050),Report_Scenarios!$A$18:$A$24,1)))/(INDEX(Report_Scenarios!$A$18:$A$24,MIN(MATCH(MEDIAN($B10-Conversion!$B$16,2020,2050),Report_Scenarios!$A$18:$A$24,1)+1,7))-INDEX(Report_Scenarios!$A$18:$A$24,MATCH(MEDIAN($B10-Conversion!$B$16,2020,2050),Report_Scenarios!$A$18:$A$24,1)))),IF(INDEX(Report_Scenarios!$A$29:$A$35,MIN(MATCH(MEDIAN($B10-Conversion!$B$16,2020,2050),Report_Scenarios!$A$29:$A$35,1)+1,7))=INDEX(Report_Scenarios!$A$29:$A$35,MATCH(MEDIAN($B10-Conversion!$B$16,2020,2050),Report_Scenarios!$A$29:$A$35,1)),INDEX(Report_Scenarios!$E$29:$E$35,MATCH(MEDIAN($B10-Conversion!$B$16,2020,2050),Report_Scenarios!$A$29:$A$35,1)),INDEX(Report_Scenarios!$E$29:$E$35,MATCH(MEDIAN($B10-Conversion!$B$16,2020,2050),Report_Scenarios!$A$29:$A$35,1))+(INDEX(Report_Scenarios!$E$29:$E$35,MIN(MATCH(MEDIAN($B10-Conversion!$B$16,2020,2050),Report_Scenarios!$A$29:$A$35,1)+1,7))-INDEX(Report_Scenarios!$E$29:$E$35,MATCH(MEDIAN($B10-Conversion!$B$16,2020,2050),Report_Scenarios!$A$29:$A$35,1)))*(MEDIAN($B10-Conversion!$B$16,2020,2050)-INDEX(Report_Scenarios!$A$29:$A$35,MATCH(MEDIAN($B10-Conversion!$B$16,2020,2050),Report_Scenarios!$A$29:$A$35,1)))/(INDEX(Report_Scenarios!$A$29:$A$35,MIN(MATCH(MEDIAN($B10-Conversion!$B$16,2020,2050),Report_Scenarios!$A$29:$A$35,1)+1,7))-INDEX(Report_Scenarios!$A$29:$A$35,MATCH(MEDIAN($B10-Conversion!$B$16,2020,2050),Report_Scenarios!$A$29:$A$35,1))))))</f>
        <v/>
      </c>
      <c r="I10" s="23">
        <f>IF($D10="Conservative",IF(INDEX(Report_Scenarios!$A$7:$A$13,MIN(MATCH(MEDIAN($B10-Conversion!$B$16,2020,2050),Report_Scenarios!$A$7:$A$13,1)+1,7))=INDEX(Report_Scenarios!$A$7:$A$13,MATCH(MEDIAN($B10-Conversion!$B$16,2020,2050),Report_Scenarios!$A$7:$A$13,1)),INDEX(Report_Scenarios!$F$7:$F$13,MATCH(MEDIAN($B10-Conversion!$B$16,2020,2050),Report_Scenarios!$A$7:$A$13,1)),INDEX(Report_Scenarios!$F$7:$F$13,MATCH(MEDIAN($B10-Conversion!$B$16,2020,2050),Report_Scenarios!$A$7:$A$13,1))+(INDEX(Report_Scenarios!$F$7:$F$13,MIN(MATCH(MEDIAN($B10-Conversion!$B$16,2020,2050),Report_Scenarios!$A$7:$A$13,1)+1,7))-INDEX(Report_Scenarios!$F$7:$F$13,MATCH(MEDIAN($B10-Conversion!$B$16,2020,2050),Report_Scenarios!$A$7:$A$13,1)))*(MEDIAN($B10-Conversion!$B$16,2020,2050)-INDEX(Report_Scenarios!$A$7:$A$13,MATCH(MEDIAN($B10-Conversion!$B$16,2020,2050),Report_Scenarios!$A$7:$A$13,1)))/(INDEX(Report_Scenarios!$A$7:$A$13,MIN(MATCH(MEDIAN($B10-Conversion!$B$16,2020,2050),Report_Scenarios!$A$7:$A$13,1)+1,7))-INDEX(Report_Scenarios!$A$7:$A$13,MATCH(MEDIAN($B10-Conversion!$B$16,2020,2050),Report_Scenarios!$A$7:$A$13,1)))),IF($D10="Central",IF(INDEX(Report_Scenarios!$A$18:$A$24,MIN(MATCH(MEDIAN($B10-Conversion!$B$16,2020,2050),Report_Scenarios!$A$18:$A$24,1)+1,7))=INDEX(Report_Scenarios!$A$18:$A$24,MATCH(MEDIAN($B10-Conversion!$B$16,2020,2050),Report_Scenarios!$A$18:$A$24,1)),INDEX(Report_Scenarios!$F$18:$F$24,MATCH(MEDIAN($B10-Conversion!$B$16,2020,2050),Report_Scenarios!$A$18:$A$24,1)),INDEX(Report_Scenarios!$F$18:$F$24,MATCH(MEDIAN($B10-Conversion!$B$16,2020,2050),Report_Scenarios!$A$18:$A$24,1))+(INDEX(Report_Scenarios!$F$18:$F$24,MIN(MATCH(MEDIAN($B10-Conversion!$B$16,2020,2050),Report_Scenarios!$A$18:$A$24,1)+1,7))-INDEX(Report_Scenarios!$F$18:$F$24,MATCH(MEDIAN($B10-Conversion!$B$16,2020,2050),Report_Scenarios!$A$18:$A$24,1)))*(MEDIAN($B10-Conversion!$B$16,2020,2050)-INDEX(Report_Scenarios!$A$18:$A$24,MATCH(MEDIAN($B10-Conversion!$B$16,2020,2050),Report_Scenarios!$A$18:$A$24,1)))/(INDEX(Report_Scenarios!$A$18:$A$24,MIN(MATCH(MEDIAN($B10-Conversion!$B$16,2020,2050),Report_Scenarios!$A$18:$A$24,1)+1,7))-INDEX(Report_Scenarios!$A$18:$A$24,MATCH(MEDIAN($B10-Conversion!$B$16,2020,2050),Report_Scenarios!$A$18:$A$24,1)))),IF(INDEX(Report_Scenarios!$A$29:$A$35,MIN(MATCH(MEDIAN($B10-Conversion!$B$16,2020,2050),Report_Scenarios!$A$29:$A$35,1)+1,7))=INDEX(Report_Scenarios!$A$29:$A$35,MATCH(MEDIAN($B10-Conversion!$B$16,2020,2050),Report_Scenarios!$A$29:$A$35,1)),INDEX(Report_Scenarios!$F$29:$F$35,MATCH(MEDIAN($B10-Conversion!$B$16,2020,2050),Report_Scenarios!$A$29:$A$35,1)),INDEX(Report_Scenarios!$F$29:$F$35,MATCH(MEDIAN($B10-Conversion!$B$16,2020,2050),Report_Scenarios!$A$29:$A$35,1))+(INDEX(Report_Scenarios!$F$29:$F$35,MIN(MATCH(MEDIAN($B10-Conversion!$B$16,2020,2050),Report_Scenarios!$A$29:$A$35,1)+1,7))-INDEX(Report_Scenarios!$F$29:$F$35,MATCH(MEDIAN($B10-Conversion!$B$16,2020,2050),Report_Scenarios!$A$29:$A$35,1)))*(MEDIAN($B10-Conversion!$B$16,2020,2050)-INDEX(Report_Scenarios!$A$29:$A$35,MATCH(MEDIAN($B10-Conversion!$B$16,2020,2050),Report_Scenarios!$A$29:$A$35,1)))/(INDEX(Report_Scenarios!$A$29:$A$35,MIN(MATCH(MEDIAN($B10-Conversion!$B$16,2020,2050),Report_Scenarios!$A$29:$A$35,1)+1,7))-INDEX(Report_Scenarios!$A$29:$A$35,MATCH(MEDIAN($B10-Conversion!$B$16,2020,2050),Report_Scenarios!$A$29:$A$35,1))))))</f>
        <v/>
      </c>
      <c r="J10" s="23">
        <f>IF($D10="Conservative",IF(INDEX(Report_Scenarios!$A$7:$A$13,MIN(MATCH(MEDIAN($B10-Conversion!$B$16,2020,2050),Report_Scenarios!$A$7:$A$13,1)+1,7))=INDEX(Report_Scenarios!$A$7:$A$13,MATCH(MEDIAN($B10-Conversion!$B$16,2020,2050),Report_Scenarios!$A$7:$A$13,1)),INDEX(Report_Scenarios!$G$7:$G$13,MATCH(MEDIAN($B10-Conversion!$B$16,2020,2050),Report_Scenarios!$A$7:$A$13,1)),INDEX(Report_Scenarios!$G$7:$G$13,MATCH(MEDIAN($B10-Conversion!$B$16,2020,2050),Report_Scenarios!$A$7:$A$13,1))+(INDEX(Report_Scenarios!$G$7:$G$13,MIN(MATCH(MEDIAN($B10-Conversion!$B$16,2020,2050),Report_Scenarios!$A$7:$A$13,1)+1,7))-INDEX(Report_Scenarios!$G$7:$G$13,MATCH(MEDIAN($B10-Conversion!$B$16,2020,2050),Report_Scenarios!$A$7:$A$13,1)))*(MEDIAN($B10-Conversion!$B$16,2020,2050)-INDEX(Report_Scenarios!$A$7:$A$13,MATCH(MEDIAN($B10-Conversion!$B$16,2020,2050),Report_Scenarios!$A$7:$A$13,1)))/(INDEX(Report_Scenarios!$A$7:$A$13,MIN(MATCH(MEDIAN($B10-Conversion!$B$16,2020,2050),Report_Scenarios!$A$7:$A$13,1)+1,7))-INDEX(Report_Scenarios!$A$7:$A$13,MATCH(MEDIAN($B10-Conversion!$B$16,2020,2050),Report_Scenarios!$A$7:$A$13,1)))),IF($D10="Central",IF(INDEX(Report_Scenarios!$A$18:$A$24,MIN(MATCH(MEDIAN($B10-Conversion!$B$16,2020,2050),Report_Scenarios!$A$18:$A$24,1)+1,7))=INDEX(Report_Scenarios!$A$18:$A$24,MATCH(MEDIAN($B10-Conversion!$B$16,2020,2050),Report_Scenarios!$A$18:$A$24,1)),INDEX(Report_Scenarios!$G$18:$G$24,MATCH(MEDIAN($B10-Conversion!$B$16,2020,2050),Report_Scenarios!$A$18:$A$24,1)),INDEX(Report_Scenarios!$G$18:$G$24,MATCH(MEDIAN($B10-Conversion!$B$16,2020,2050),Report_Scenarios!$A$18:$A$24,1))+(INDEX(Report_Scenarios!$G$18:$G$24,MIN(MATCH(MEDIAN($B10-Conversion!$B$16,2020,2050),Report_Scenarios!$A$18:$A$24,1)+1,7))-INDEX(Report_Scenarios!$G$18:$G$24,MATCH(MEDIAN($B10-Conversion!$B$16,2020,2050),Report_Scenarios!$A$18:$A$24,1)))*(MEDIAN($B10-Conversion!$B$16,2020,2050)-INDEX(Report_Scenarios!$A$18:$A$24,MATCH(MEDIAN($B10-Conversion!$B$16,2020,2050),Report_Scenarios!$A$18:$A$24,1)))/(INDEX(Report_Scenarios!$A$18:$A$24,MIN(MATCH(MEDIAN($B10-Conversion!$B$16,2020,2050),Report_Scenarios!$A$18:$A$24,1)+1,7))-INDEX(Report_Scenarios!$A$18:$A$24,MATCH(MEDIAN($B10-Conversion!$B$16,2020,2050),Report_Scenarios!$A$18:$A$24,1)))),IF(INDEX(Report_Scenarios!$A$29:$A$35,MIN(MATCH(MEDIAN($B10-Conversion!$B$16,2020,2050),Report_Scenarios!$A$29:$A$35,1)+1,7))=INDEX(Report_Scenarios!$A$29:$A$35,MATCH(MEDIAN($B10-Conversion!$B$16,2020,2050),Report_Scenarios!$A$29:$A$35,1)),INDEX(Report_Scenarios!$G$29:$G$35,MATCH(MEDIAN($B10-Conversion!$B$16,2020,2050),Report_Scenarios!$A$29:$A$35,1)),INDEX(Report_Scenarios!$G$29:$G$35,MATCH(MEDIAN($B10-Conversion!$B$16,2020,2050),Report_Scenarios!$A$29:$A$35,1))+(INDEX(Report_Scenarios!$G$29:$G$35,MIN(MATCH(MEDIAN($B10-Conversion!$B$16,2020,2050),Report_Scenarios!$A$29:$A$35,1)+1,7))-INDEX(Report_Scenarios!$G$29:$G$35,MATCH(MEDIAN($B10-Conversion!$B$16,2020,2050),Report_Scenarios!$A$29:$A$35,1)))*(MEDIAN($B10-Conversion!$B$16,2020,2050)-INDEX(Report_Scenarios!$A$29:$A$35,MATCH(MEDIAN($B10-Conversion!$B$16,2020,2050),Report_Scenarios!$A$29:$A$35,1)))/(INDEX(Report_Scenarios!$A$29:$A$35,MIN(MATCH(MEDIAN($B10-Conversion!$B$16,2020,2050),Report_Scenarios!$A$29:$A$35,1)+1,7))-INDEX(Report_Scenarios!$A$29:$A$35,MATCH(MEDIAN($B10-Conversion!$B$16,2020,2050),Report_Scenarios!$A$29:$A$35,1))))))</f>
        <v/>
      </c>
      <c r="K10" s="23">
        <f>SUM(E10:J10)</f>
        <v/>
      </c>
      <c r="L10" s="23">
        <f>IF(R10&lt;&gt;"",R10,IF($K10=0,0,E10/$K10))</f>
        <v/>
      </c>
      <c r="M10" s="23">
        <f>IF(S10&lt;&gt;"",S10,IF($K10=0,0,F10/$K10))</f>
        <v/>
      </c>
      <c r="N10" s="23">
        <f>IF(T10&lt;&gt;"",T10,IF($K10=0,0,G10/$K10))</f>
        <v/>
      </c>
      <c r="O10" s="23">
        <f>IF(U10&lt;&gt;"",U10,IF($K10=0,0,H10/$K10))</f>
        <v/>
      </c>
      <c r="P10" s="23">
        <f>IF(V10&lt;&gt;"",V10,IF($K10=0,0,I10/$K10))</f>
        <v/>
      </c>
      <c r="Q10" s="23">
        <f>IF(W10&lt;&gt;"",W10,IF($K10=0,0,J10/$K10))</f>
        <v/>
      </c>
      <c r="R10" s="24" t="n"/>
      <c r="S10" s="24" t="n"/>
      <c r="T10" s="24" t="n"/>
      <c r="U10" s="24" t="n"/>
      <c r="V10" s="24" t="n"/>
      <c r="W10" s="24" t="n"/>
    </row>
    <row r="11">
      <c r="A11" s="4" t="inlineStr">
        <is>
          <t>AB</t>
        </is>
      </c>
      <c r="B11" s="4" t="n">
        <v>2030</v>
      </c>
      <c r="C11" s="4" t="inlineStr">
        <is>
          <t>Share_Min</t>
        </is>
      </c>
      <c r="D11" s="4">
        <f>Conversion!$B$18</f>
        <v/>
      </c>
      <c r="E11" s="23">
        <f>IF($D11="Conservative",IF(INDEX(Report_Scenarios!$A$7:$A$13,MIN(MATCH(MEDIAN($B11-Conversion!$B$16,2020,2050),Report_Scenarios!$A$7:$A$13,1)+1,7))=INDEX(Report_Scenarios!$A$7:$A$13,MATCH(MEDIAN($B11-Conversion!$B$16,2020,2050),Report_Scenarios!$A$7:$A$13,1)),INDEX(Report_Scenarios!$B$7:$B$13,MATCH(MEDIAN($B11-Conversion!$B$16,2020,2050),Report_Scenarios!$A$7:$A$13,1)),INDEX(Report_Scenarios!$B$7:$B$13,MATCH(MEDIAN($B11-Conversion!$B$16,2020,2050),Report_Scenarios!$A$7:$A$13,1))+(INDEX(Report_Scenarios!$B$7:$B$13,MIN(MATCH(MEDIAN($B11-Conversion!$B$16,2020,2050),Report_Scenarios!$A$7:$A$13,1)+1,7))-INDEX(Report_Scenarios!$B$7:$B$13,MATCH(MEDIAN($B11-Conversion!$B$16,2020,2050),Report_Scenarios!$A$7:$A$13,1)))*(MEDIAN($B11-Conversion!$B$16,2020,2050)-INDEX(Report_Scenarios!$A$7:$A$13,MATCH(MEDIAN($B11-Conversion!$B$16,2020,2050),Report_Scenarios!$A$7:$A$13,1)))/(INDEX(Report_Scenarios!$A$7:$A$13,MIN(MATCH(MEDIAN($B11-Conversion!$B$16,2020,2050),Report_Scenarios!$A$7:$A$13,1)+1,7))-INDEX(Report_Scenarios!$A$7:$A$13,MATCH(MEDIAN($B11-Conversion!$B$16,2020,2050),Report_Scenarios!$A$7:$A$13,1)))),IF($D11="Central",IF(INDEX(Report_Scenarios!$A$18:$A$24,MIN(MATCH(MEDIAN($B11-Conversion!$B$16,2020,2050),Report_Scenarios!$A$18:$A$24,1)+1,7))=INDEX(Report_Scenarios!$A$18:$A$24,MATCH(MEDIAN($B11-Conversion!$B$16,2020,2050),Report_Scenarios!$A$18:$A$24,1)),INDEX(Report_Scenarios!$B$18:$B$24,MATCH(MEDIAN($B11-Conversion!$B$16,2020,2050),Report_Scenarios!$A$18:$A$24,1)),INDEX(Report_Scenarios!$B$18:$B$24,MATCH(MEDIAN($B11-Conversion!$B$16,2020,2050),Report_Scenarios!$A$18:$A$24,1))+(INDEX(Report_Scenarios!$B$18:$B$24,MIN(MATCH(MEDIAN($B11-Conversion!$B$16,2020,2050),Report_Scenarios!$A$18:$A$24,1)+1,7))-INDEX(Report_Scenarios!$B$18:$B$24,MATCH(MEDIAN($B11-Conversion!$B$16,2020,2050),Report_Scenarios!$A$18:$A$24,1)))*(MEDIAN($B11-Conversion!$B$16,2020,2050)-INDEX(Report_Scenarios!$A$18:$A$24,MATCH(MEDIAN($B11-Conversion!$B$16,2020,2050),Report_Scenarios!$A$18:$A$24,1)))/(INDEX(Report_Scenarios!$A$18:$A$24,MIN(MATCH(MEDIAN($B11-Conversion!$B$16,2020,2050),Report_Scenarios!$A$18:$A$24,1)+1,7))-INDEX(Report_Scenarios!$A$18:$A$24,MATCH(MEDIAN($B11-Conversion!$B$16,2020,2050),Report_Scenarios!$A$18:$A$24,1)))),IF(INDEX(Report_Scenarios!$A$29:$A$35,MIN(MATCH(MEDIAN($B11-Conversion!$B$16,2020,2050),Report_Scenarios!$A$29:$A$35,1)+1,7))=INDEX(Report_Scenarios!$A$29:$A$35,MATCH(MEDIAN($B11-Conversion!$B$16,2020,2050),Report_Scenarios!$A$29:$A$35,1)),INDEX(Report_Scenarios!$B$29:$B$35,MATCH(MEDIAN($B11-Conversion!$B$16,2020,2050),Report_Scenarios!$A$29:$A$35,1)),INDEX(Report_Scenarios!$B$29:$B$35,MATCH(MEDIAN($B11-Conversion!$B$16,2020,2050),Report_Scenarios!$A$29:$A$35,1))+(INDEX(Report_Scenarios!$B$29:$B$35,MIN(MATCH(MEDIAN($B11-Conversion!$B$16,2020,2050),Report_Scenarios!$A$29:$A$35,1)+1,7))-INDEX(Report_Scenarios!$B$29:$B$35,MATCH(MEDIAN($B11-Conversion!$B$16,2020,2050),Report_Scenarios!$A$29:$A$35,1)))*(MEDIAN($B11-Conversion!$B$16,2020,2050)-INDEX(Report_Scenarios!$A$29:$A$35,MATCH(MEDIAN($B11-Conversion!$B$16,2020,2050),Report_Scenarios!$A$29:$A$35,1)))/(INDEX(Report_Scenarios!$A$29:$A$35,MIN(MATCH(MEDIAN($B11-Conversion!$B$16,2020,2050),Report_Scenarios!$A$29:$A$35,1)+1,7))-INDEX(Report_Scenarios!$A$29:$A$35,MATCH(MEDIAN($B11-Conversion!$B$16,2020,2050),Report_Scenarios!$A$29:$A$35,1))))))</f>
        <v/>
      </c>
      <c r="F11" s="23">
        <f>IF($D11="Conservative",IF(INDEX(Report_Scenarios!$A$7:$A$13,MIN(MATCH(MEDIAN($B11-Conversion!$B$16,2020,2050),Report_Scenarios!$A$7:$A$13,1)+1,7))=INDEX(Report_Scenarios!$A$7:$A$13,MATCH(MEDIAN($B11-Conversion!$B$16,2020,2050),Report_Scenarios!$A$7:$A$13,1)),INDEX(Report_Scenarios!$C$7:$C$13,MATCH(MEDIAN($B11-Conversion!$B$16,2020,2050),Report_Scenarios!$A$7:$A$13,1)),INDEX(Report_Scenarios!$C$7:$C$13,MATCH(MEDIAN($B11-Conversion!$B$16,2020,2050),Report_Scenarios!$A$7:$A$13,1))+(INDEX(Report_Scenarios!$C$7:$C$13,MIN(MATCH(MEDIAN($B11-Conversion!$B$16,2020,2050),Report_Scenarios!$A$7:$A$13,1)+1,7))-INDEX(Report_Scenarios!$C$7:$C$13,MATCH(MEDIAN($B11-Conversion!$B$16,2020,2050),Report_Scenarios!$A$7:$A$13,1)))*(MEDIAN($B11-Conversion!$B$16,2020,2050)-INDEX(Report_Scenarios!$A$7:$A$13,MATCH(MEDIAN($B11-Conversion!$B$16,2020,2050),Report_Scenarios!$A$7:$A$13,1)))/(INDEX(Report_Scenarios!$A$7:$A$13,MIN(MATCH(MEDIAN($B11-Conversion!$B$16,2020,2050),Report_Scenarios!$A$7:$A$13,1)+1,7))-INDEX(Report_Scenarios!$A$7:$A$13,MATCH(MEDIAN($B11-Conversion!$B$16,2020,2050),Report_Scenarios!$A$7:$A$13,1)))),IF($D11="Central",IF(INDEX(Report_Scenarios!$A$18:$A$24,MIN(MATCH(MEDIAN($B11-Conversion!$B$16,2020,2050),Report_Scenarios!$A$18:$A$24,1)+1,7))=INDEX(Report_Scenarios!$A$18:$A$24,MATCH(MEDIAN($B11-Conversion!$B$16,2020,2050),Report_Scenarios!$A$18:$A$24,1)),INDEX(Report_Scenarios!$C$18:$C$24,MATCH(MEDIAN($B11-Conversion!$B$16,2020,2050),Report_Scenarios!$A$18:$A$24,1)),INDEX(Report_Scenarios!$C$18:$C$24,MATCH(MEDIAN($B11-Conversion!$B$16,2020,2050),Report_Scenarios!$A$18:$A$24,1))+(INDEX(Report_Scenarios!$C$18:$C$24,MIN(MATCH(MEDIAN($B11-Conversion!$B$16,2020,2050),Report_Scenarios!$A$18:$A$24,1)+1,7))-INDEX(Report_Scenarios!$C$18:$C$24,MATCH(MEDIAN($B11-Conversion!$B$16,2020,2050),Report_Scenarios!$A$18:$A$24,1)))*(MEDIAN($B11-Conversion!$B$16,2020,2050)-INDEX(Report_Scenarios!$A$18:$A$24,MATCH(MEDIAN($B11-Conversion!$B$16,2020,2050),Report_Scenarios!$A$18:$A$24,1)))/(INDEX(Report_Scenarios!$A$18:$A$24,MIN(MATCH(MEDIAN($B11-Conversion!$B$16,2020,2050),Report_Scenarios!$A$18:$A$24,1)+1,7))-INDEX(Report_Scenarios!$A$18:$A$24,MATCH(MEDIAN($B11-Conversion!$B$16,2020,2050),Report_Scenarios!$A$18:$A$24,1)))),IF(INDEX(Report_Scenarios!$A$29:$A$35,MIN(MATCH(MEDIAN($B11-Conversion!$B$16,2020,2050),Report_Scenarios!$A$29:$A$35,1)+1,7))=INDEX(Report_Scenarios!$A$29:$A$35,MATCH(MEDIAN($B11-Conversion!$B$16,2020,2050),Report_Scenarios!$A$29:$A$35,1)),INDEX(Report_Scenarios!$C$29:$C$35,MATCH(MEDIAN($B11-Conversion!$B$16,2020,2050),Report_Scenarios!$A$29:$A$35,1)),INDEX(Report_Scenarios!$C$29:$C$35,MATCH(MEDIAN($B11-Conversion!$B$16,2020,2050),Report_Scenarios!$A$29:$A$35,1))+(INDEX(Report_Scenarios!$C$29:$C$35,MIN(MATCH(MEDIAN($B11-Conversion!$B$16,2020,2050),Report_Scenarios!$A$29:$A$35,1)+1,7))-INDEX(Report_Scenarios!$C$29:$C$35,MATCH(MEDIAN($B11-Conversion!$B$16,2020,2050),Report_Scenarios!$A$29:$A$35,1)))*(MEDIAN($B11-Conversion!$B$16,2020,2050)-INDEX(Report_Scenarios!$A$29:$A$35,MATCH(MEDIAN($B11-Conversion!$B$16,2020,2050),Report_Scenarios!$A$29:$A$35,1)))/(INDEX(Report_Scenarios!$A$29:$A$35,MIN(MATCH(MEDIAN($B11-Conversion!$B$16,2020,2050),Report_Scenarios!$A$29:$A$35,1)+1,7))-INDEX(Report_Scenarios!$A$29:$A$35,MATCH(MEDIAN($B11-Conversion!$B$16,2020,2050),Report_Scenarios!$A$29:$A$35,1))))))</f>
        <v/>
      </c>
      <c r="G11" s="23">
        <f>IF($D11="Conservative",IF(INDEX(Report_Scenarios!$A$7:$A$13,MIN(MATCH(MEDIAN($B11-Conversion!$B$16,2020,2050),Report_Scenarios!$A$7:$A$13,1)+1,7))=INDEX(Report_Scenarios!$A$7:$A$13,MATCH(MEDIAN($B11-Conversion!$B$16,2020,2050),Report_Scenarios!$A$7:$A$13,1)),INDEX(Report_Scenarios!$D$7:$D$13,MATCH(MEDIAN($B11-Conversion!$B$16,2020,2050),Report_Scenarios!$A$7:$A$13,1)),INDEX(Report_Scenarios!$D$7:$D$13,MATCH(MEDIAN($B11-Conversion!$B$16,2020,2050),Report_Scenarios!$A$7:$A$13,1))+(INDEX(Report_Scenarios!$D$7:$D$13,MIN(MATCH(MEDIAN($B11-Conversion!$B$16,2020,2050),Report_Scenarios!$A$7:$A$13,1)+1,7))-INDEX(Report_Scenarios!$D$7:$D$13,MATCH(MEDIAN($B11-Conversion!$B$16,2020,2050),Report_Scenarios!$A$7:$A$13,1)))*(MEDIAN($B11-Conversion!$B$16,2020,2050)-INDEX(Report_Scenarios!$A$7:$A$13,MATCH(MEDIAN($B11-Conversion!$B$16,2020,2050),Report_Scenarios!$A$7:$A$13,1)))/(INDEX(Report_Scenarios!$A$7:$A$13,MIN(MATCH(MEDIAN($B11-Conversion!$B$16,2020,2050),Report_Scenarios!$A$7:$A$13,1)+1,7))-INDEX(Report_Scenarios!$A$7:$A$13,MATCH(MEDIAN($B11-Conversion!$B$16,2020,2050),Report_Scenarios!$A$7:$A$13,1)))),IF($D11="Central",IF(INDEX(Report_Scenarios!$A$18:$A$24,MIN(MATCH(MEDIAN($B11-Conversion!$B$16,2020,2050),Report_Scenarios!$A$18:$A$24,1)+1,7))=INDEX(Report_Scenarios!$A$18:$A$24,MATCH(MEDIAN($B11-Conversion!$B$16,2020,2050),Report_Scenarios!$A$18:$A$24,1)),INDEX(Report_Scenarios!$D$18:$D$24,MATCH(MEDIAN($B11-Conversion!$B$16,2020,2050),Report_Scenarios!$A$18:$A$24,1)),INDEX(Report_Scenarios!$D$18:$D$24,MATCH(MEDIAN($B11-Conversion!$B$16,2020,2050),Report_Scenarios!$A$18:$A$24,1))+(INDEX(Report_Scenarios!$D$18:$D$24,MIN(MATCH(MEDIAN($B11-Conversion!$B$16,2020,2050),Report_Scenarios!$A$18:$A$24,1)+1,7))-INDEX(Report_Scenarios!$D$18:$D$24,MATCH(MEDIAN($B11-Conversion!$B$16,2020,2050),Report_Scenarios!$A$18:$A$24,1)))*(MEDIAN($B11-Conversion!$B$16,2020,2050)-INDEX(Report_Scenarios!$A$18:$A$24,MATCH(MEDIAN($B11-Conversion!$B$16,2020,2050),Report_Scenarios!$A$18:$A$24,1)))/(INDEX(Report_Scenarios!$A$18:$A$24,MIN(MATCH(MEDIAN($B11-Conversion!$B$16,2020,2050),Report_Scenarios!$A$18:$A$24,1)+1,7))-INDEX(Report_Scenarios!$A$18:$A$24,MATCH(MEDIAN($B11-Conversion!$B$16,2020,2050),Report_Scenarios!$A$18:$A$24,1)))),IF(INDEX(Report_Scenarios!$A$29:$A$35,MIN(MATCH(MEDIAN($B11-Conversion!$B$16,2020,2050),Report_Scenarios!$A$29:$A$35,1)+1,7))=INDEX(Report_Scenarios!$A$29:$A$35,MATCH(MEDIAN($B11-Conversion!$B$16,2020,2050),Report_Scenarios!$A$29:$A$35,1)),INDEX(Report_Scenarios!$D$29:$D$35,MATCH(MEDIAN($B11-Conversion!$B$16,2020,2050),Report_Scenarios!$A$29:$A$35,1)),INDEX(Report_Scenarios!$D$29:$D$35,MATCH(MEDIAN($B11-Conversion!$B$16,2020,2050),Report_Scenarios!$A$29:$A$35,1))+(INDEX(Report_Scenarios!$D$29:$D$35,MIN(MATCH(MEDIAN($B11-Conversion!$B$16,2020,2050),Report_Scenarios!$A$29:$A$35,1)+1,7))-INDEX(Report_Scenarios!$D$29:$D$35,MATCH(MEDIAN($B11-Conversion!$B$16,2020,2050),Report_Scenarios!$A$29:$A$35,1)))*(MEDIAN($B11-Conversion!$B$16,2020,2050)-INDEX(Report_Scenarios!$A$29:$A$35,MATCH(MEDIAN($B11-Conversion!$B$16,2020,2050),Report_Scenarios!$A$29:$A$35,1)))/(INDEX(Report_Scenarios!$A$29:$A$35,MIN(MATCH(MEDIAN($B11-Conversion!$B$16,2020,2050),Report_Scenarios!$A$29:$A$35,1)+1,7))-INDEX(Report_Scenarios!$A$29:$A$35,MATCH(MEDIAN($B11-Conversion!$B$16,2020,2050),Report_Scenarios!$A$29:$A$35,1))))))</f>
        <v/>
      </c>
      <c r="H11" s="23">
        <f>IF($D11="Conservative",IF(INDEX(Report_Scenarios!$A$7:$A$13,MIN(MATCH(MEDIAN($B11-Conversion!$B$16,2020,2050),Report_Scenarios!$A$7:$A$13,1)+1,7))=INDEX(Report_Scenarios!$A$7:$A$13,MATCH(MEDIAN($B11-Conversion!$B$16,2020,2050),Report_Scenarios!$A$7:$A$13,1)),INDEX(Report_Scenarios!$E$7:$E$13,MATCH(MEDIAN($B11-Conversion!$B$16,2020,2050),Report_Scenarios!$A$7:$A$13,1)),INDEX(Report_Scenarios!$E$7:$E$13,MATCH(MEDIAN($B11-Conversion!$B$16,2020,2050),Report_Scenarios!$A$7:$A$13,1))+(INDEX(Report_Scenarios!$E$7:$E$13,MIN(MATCH(MEDIAN($B11-Conversion!$B$16,2020,2050),Report_Scenarios!$A$7:$A$13,1)+1,7))-INDEX(Report_Scenarios!$E$7:$E$13,MATCH(MEDIAN($B11-Conversion!$B$16,2020,2050),Report_Scenarios!$A$7:$A$13,1)))*(MEDIAN($B11-Conversion!$B$16,2020,2050)-INDEX(Report_Scenarios!$A$7:$A$13,MATCH(MEDIAN($B11-Conversion!$B$16,2020,2050),Report_Scenarios!$A$7:$A$13,1)))/(INDEX(Report_Scenarios!$A$7:$A$13,MIN(MATCH(MEDIAN($B11-Conversion!$B$16,2020,2050),Report_Scenarios!$A$7:$A$13,1)+1,7))-INDEX(Report_Scenarios!$A$7:$A$13,MATCH(MEDIAN($B11-Conversion!$B$16,2020,2050),Report_Scenarios!$A$7:$A$13,1)))),IF($D11="Central",IF(INDEX(Report_Scenarios!$A$18:$A$24,MIN(MATCH(MEDIAN($B11-Conversion!$B$16,2020,2050),Report_Scenarios!$A$18:$A$24,1)+1,7))=INDEX(Report_Scenarios!$A$18:$A$24,MATCH(MEDIAN($B11-Conversion!$B$16,2020,2050),Report_Scenarios!$A$18:$A$24,1)),INDEX(Report_Scenarios!$E$18:$E$24,MATCH(MEDIAN($B11-Conversion!$B$16,2020,2050),Report_Scenarios!$A$18:$A$24,1)),INDEX(Report_Scenarios!$E$18:$E$24,MATCH(MEDIAN($B11-Conversion!$B$16,2020,2050),Report_Scenarios!$A$18:$A$24,1))+(INDEX(Report_Scenarios!$E$18:$E$24,MIN(MATCH(MEDIAN($B11-Conversion!$B$16,2020,2050),Report_Scenarios!$A$18:$A$24,1)+1,7))-INDEX(Report_Scenarios!$E$18:$E$24,MATCH(MEDIAN($B11-Conversion!$B$16,2020,2050),Report_Scenarios!$A$18:$A$24,1)))*(MEDIAN($B11-Conversion!$B$16,2020,2050)-INDEX(Report_Scenarios!$A$18:$A$24,MATCH(MEDIAN($B11-Conversion!$B$16,2020,2050),Report_Scenarios!$A$18:$A$24,1)))/(INDEX(Report_Scenarios!$A$18:$A$24,MIN(MATCH(MEDIAN($B11-Conversion!$B$16,2020,2050),Report_Scenarios!$A$18:$A$24,1)+1,7))-INDEX(Report_Scenarios!$A$18:$A$24,MATCH(MEDIAN($B11-Conversion!$B$16,2020,2050),Report_Scenarios!$A$18:$A$24,1)))),IF(INDEX(Report_Scenarios!$A$29:$A$35,MIN(MATCH(MEDIAN($B11-Conversion!$B$16,2020,2050),Report_Scenarios!$A$29:$A$35,1)+1,7))=INDEX(Report_Scenarios!$A$29:$A$35,MATCH(MEDIAN($B11-Conversion!$B$16,2020,2050),Report_Scenarios!$A$29:$A$35,1)),INDEX(Report_Scenarios!$E$29:$E$35,MATCH(MEDIAN($B11-Conversion!$B$16,2020,2050),Report_Scenarios!$A$29:$A$35,1)),INDEX(Report_Scenarios!$E$29:$E$35,MATCH(MEDIAN($B11-Conversion!$B$16,2020,2050),Report_Scenarios!$A$29:$A$35,1))+(INDEX(Report_Scenarios!$E$29:$E$35,MIN(MATCH(MEDIAN($B11-Conversion!$B$16,2020,2050),Report_Scenarios!$A$29:$A$35,1)+1,7))-INDEX(Report_Scenarios!$E$29:$E$35,MATCH(MEDIAN($B11-Conversion!$B$16,2020,2050),Report_Scenarios!$A$29:$A$35,1)))*(MEDIAN($B11-Conversion!$B$16,2020,2050)-INDEX(Report_Scenarios!$A$29:$A$35,MATCH(MEDIAN($B11-Conversion!$B$16,2020,2050),Report_Scenarios!$A$29:$A$35,1)))/(INDEX(Report_Scenarios!$A$29:$A$35,MIN(MATCH(MEDIAN($B11-Conversion!$B$16,2020,2050),Report_Scenarios!$A$29:$A$35,1)+1,7))-INDEX(Report_Scenarios!$A$29:$A$35,MATCH(MEDIAN($B11-Conversion!$B$16,2020,2050),Report_Scenarios!$A$29:$A$35,1))))))</f>
        <v/>
      </c>
      <c r="I11" s="23">
        <f>IF($D11="Conservative",IF(INDEX(Report_Scenarios!$A$7:$A$13,MIN(MATCH(MEDIAN($B11-Conversion!$B$16,2020,2050),Report_Scenarios!$A$7:$A$13,1)+1,7))=INDEX(Report_Scenarios!$A$7:$A$13,MATCH(MEDIAN($B11-Conversion!$B$16,2020,2050),Report_Scenarios!$A$7:$A$13,1)),INDEX(Report_Scenarios!$F$7:$F$13,MATCH(MEDIAN($B11-Conversion!$B$16,2020,2050),Report_Scenarios!$A$7:$A$13,1)),INDEX(Report_Scenarios!$F$7:$F$13,MATCH(MEDIAN($B11-Conversion!$B$16,2020,2050),Report_Scenarios!$A$7:$A$13,1))+(INDEX(Report_Scenarios!$F$7:$F$13,MIN(MATCH(MEDIAN($B11-Conversion!$B$16,2020,2050),Report_Scenarios!$A$7:$A$13,1)+1,7))-INDEX(Report_Scenarios!$F$7:$F$13,MATCH(MEDIAN($B11-Conversion!$B$16,2020,2050),Report_Scenarios!$A$7:$A$13,1)))*(MEDIAN($B11-Conversion!$B$16,2020,2050)-INDEX(Report_Scenarios!$A$7:$A$13,MATCH(MEDIAN($B11-Conversion!$B$16,2020,2050),Report_Scenarios!$A$7:$A$13,1)))/(INDEX(Report_Scenarios!$A$7:$A$13,MIN(MATCH(MEDIAN($B11-Conversion!$B$16,2020,2050),Report_Scenarios!$A$7:$A$13,1)+1,7))-INDEX(Report_Scenarios!$A$7:$A$13,MATCH(MEDIAN($B11-Conversion!$B$16,2020,2050),Report_Scenarios!$A$7:$A$13,1)))),IF($D11="Central",IF(INDEX(Report_Scenarios!$A$18:$A$24,MIN(MATCH(MEDIAN($B11-Conversion!$B$16,2020,2050),Report_Scenarios!$A$18:$A$24,1)+1,7))=INDEX(Report_Scenarios!$A$18:$A$24,MATCH(MEDIAN($B11-Conversion!$B$16,2020,2050),Report_Scenarios!$A$18:$A$24,1)),INDEX(Report_Scenarios!$F$18:$F$24,MATCH(MEDIAN($B11-Conversion!$B$16,2020,2050),Report_Scenarios!$A$18:$A$24,1)),INDEX(Report_Scenarios!$F$18:$F$24,MATCH(MEDIAN($B11-Conversion!$B$16,2020,2050),Report_Scenarios!$A$18:$A$24,1))+(INDEX(Report_Scenarios!$F$18:$F$24,MIN(MATCH(MEDIAN($B11-Conversion!$B$16,2020,2050),Report_Scenarios!$A$18:$A$24,1)+1,7))-INDEX(Report_Scenarios!$F$18:$F$24,MATCH(MEDIAN($B11-Conversion!$B$16,2020,2050),Report_Scenarios!$A$18:$A$24,1)))*(MEDIAN($B11-Conversion!$B$16,2020,2050)-INDEX(Report_Scenarios!$A$18:$A$24,MATCH(MEDIAN($B11-Conversion!$B$16,2020,2050),Report_Scenarios!$A$18:$A$24,1)))/(INDEX(Report_Scenarios!$A$18:$A$24,MIN(MATCH(MEDIAN($B11-Conversion!$B$16,2020,2050),Report_Scenarios!$A$18:$A$24,1)+1,7))-INDEX(Report_Scenarios!$A$18:$A$24,MATCH(MEDIAN($B11-Conversion!$B$16,2020,2050),Report_Scenarios!$A$18:$A$24,1)))),IF(INDEX(Report_Scenarios!$A$29:$A$35,MIN(MATCH(MEDIAN($B11-Conversion!$B$16,2020,2050),Report_Scenarios!$A$29:$A$35,1)+1,7))=INDEX(Report_Scenarios!$A$29:$A$35,MATCH(MEDIAN($B11-Conversion!$B$16,2020,2050),Report_Scenarios!$A$29:$A$35,1)),INDEX(Report_Scenarios!$F$29:$F$35,MATCH(MEDIAN($B11-Conversion!$B$16,2020,2050),Report_Scenarios!$A$29:$A$35,1)),INDEX(Report_Scenarios!$F$29:$F$35,MATCH(MEDIAN($B11-Conversion!$B$16,2020,2050),Report_Scenarios!$A$29:$A$35,1))+(INDEX(Report_Scenarios!$F$29:$F$35,MIN(MATCH(MEDIAN($B11-Conversion!$B$16,2020,2050),Report_Scenarios!$A$29:$A$35,1)+1,7))-INDEX(Report_Scenarios!$F$29:$F$35,MATCH(MEDIAN($B11-Conversion!$B$16,2020,2050),Report_Scenarios!$A$29:$A$35,1)))*(MEDIAN($B11-Conversion!$B$16,2020,2050)-INDEX(Report_Scenarios!$A$29:$A$35,MATCH(MEDIAN($B11-Conversion!$B$16,2020,2050),Report_Scenarios!$A$29:$A$35,1)))/(INDEX(Report_Scenarios!$A$29:$A$35,MIN(MATCH(MEDIAN($B11-Conversion!$B$16,2020,2050),Report_Scenarios!$A$29:$A$35,1)+1,7))-INDEX(Report_Scenarios!$A$29:$A$35,MATCH(MEDIAN($B11-Conversion!$B$16,2020,2050),Report_Scenarios!$A$29:$A$35,1))))))</f>
        <v/>
      </c>
      <c r="J11" s="23">
        <f>IF($D11="Conservative",IF(INDEX(Report_Scenarios!$A$7:$A$13,MIN(MATCH(MEDIAN($B11-Conversion!$B$16,2020,2050),Report_Scenarios!$A$7:$A$13,1)+1,7))=INDEX(Report_Scenarios!$A$7:$A$13,MATCH(MEDIAN($B11-Conversion!$B$16,2020,2050),Report_Scenarios!$A$7:$A$13,1)),INDEX(Report_Scenarios!$G$7:$G$13,MATCH(MEDIAN($B11-Conversion!$B$16,2020,2050),Report_Scenarios!$A$7:$A$13,1)),INDEX(Report_Scenarios!$G$7:$G$13,MATCH(MEDIAN($B11-Conversion!$B$16,2020,2050),Report_Scenarios!$A$7:$A$13,1))+(INDEX(Report_Scenarios!$G$7:$G$13,MIN(MATCH(MEDIAN($B11-Conversion!$B$16,2020,2050),Report_Scenarios!$A$7:$A$13,1)+1,7))-INDEX(Report_Scenarios!$G$7:$G$13,MATCH(MEDIAN($B11-Conversion!$B$16,2020,2050),Report_Scenarios!$A$7:$A$13,1)))*(MEDIAN($B11-Conversion!$B$16,2020,2050)-INDEX(Report_Scenarios!$A$7:$A$13,MATCH(MEDIAN($B11-Conversion!$B$16,2020,2050),Report_Scenarios!$A$7:$A$13,1)))/(INDEX(Report_Scenarios!$A$7:$A$13,MIN(MATCH(MEDIAN($B11-Conversion!$B$16,2020,2050),Report_Scenarios!$A$7:$A$13,1)+1,7))-INDEX(Report_Scenarios!$A$7:$A$13,MATCH(MEDIAN($B11-Conversion!$B$16,2020,2050),Report_Scenarios!$A$7:$A$13,1)))),IF($D11="Central",IF(INDEX(Report_Scenarios!$A$18:$A$24,MIN(MATCH(MEDIAN($B11-Conversion!$B$16,2020,2050),Report_Scenarios!$A$18:$A$24,1)+1,7))=INDEX(Report_Scenarios!$A$18:$A$24,MATCH(MEDIAN($B11-Conversion!$B$16,2020,2050),Report_Scenarios!$A$18:$A$24,1)),INDEX(Report_Scenarios!$G$18:$G$24,MATCH(MEDIAN($B11-Conversion!$B$16,2020,2050),Report_Scenarios!$A$18:$A$24,1)),INDEX(Report_Scenarios!$G$18:$G$24,MATCH(MEDIAN($B11-Conversion!$B$16,2020,2050),Report_Scenarios!$A$18:$A$24,1))+(INDEX(Report_Scenarios!$G$18:$G$24,MIN(MATCH(MEDIAN($B11-Conversion!$B$16,2020,2050),Report_Scenarios!$A$18:$A$24,1)+1,7))-INDEX(Report_Scenarios!$G$18:$G$24,MATCH(MEDIAN($B11-Conversion!$B$16,2020,2050),Report_Scenarios!$A$18:$A$24,1)))*(MEDIAN($B11-Conversion!$B$16,2020,2050)-INDEX(Report_Scenarios!$A$18:$A$24,MATCH(MEDIAN($B11-Conversion!$B$16,2020,2050),Report_Scenarios!$A$18:$A$24,1)))/(INDEX(Report_Scenarios!$A$18:$A$24,MIN(MATCH(MEDIAN($B11-Conversion!$B$16,2020,2050),Report_Scenarios!$A$18:$A$24,1)+1,7))-INDEX(Report_Scenarios!$A$18:$A$24,MATCH(MEDIAN($B11-Conversion!$B$16,2020,2050),Report_Scenarios!$A$18:$A$24,1)))),IF(INDEX(Report_Scenarios!$A$29:$A$35,MIN(MATCH(MEDIAN($B11-Conversion!$B$16,2020,2050),Report_Scenarios!$A$29:$A$35,1)+1,7))=INDEX(Report_Scenarios!$A$29:$A$35,MATCH(MEDIAN($B11-Conversion!$B$16,2020,2050),Report_Scenarios!$A$29:$A$35,1)),INDEX(Report_Scenarios!$G$29:$G$35,MATCH(MEDIAN($B11-Conversion!$B$16,2020,2050),Report_Scenarios!$A$29:$A$35,1)),INDEX(Report_Scenarios!$G$29:$G$35,MATCH(MEDIAN($B11-Conversion!$B$16,2020,2050),Report_Scenarios!$A$29:$A$35,1))+(INDEX(Report_Scenarios!$G$29:$G$35,MIN(MATCH(MEDIAN($B11-Conversion!$B$16,2020,2050),Report_Scenarios!$A$29:$A$35,1)+1,7))-INDEX(Report_Scenarios!$G$29:$G$35,MATCH(MEDIAN($B11-Conversion!$B$16,2020,2050),Report_Scenarios!$A$29:$A$35,1)))*(MEDIAN($B11-Conversion!$B$16,2020,2050)-INDEX(Report_Scenarios!$A$29:$A$35,MATCH(MEDIAN($B11-Conversion!$B$16,2020,2050),Report_Scenarios!$A$29:$A$35,1)))/(INDEX(Report_Scenarios!$A$29:$A$35,MIN(MATCH(MEDIAN($B11-Conversion!$B$16,2020,2050),Report_Scenarios!$A$29:$A$35,1)+1,7))-INDEX(Report_Scenarios!$A$29:$A$35,MATCH(MEDIAN($B11-Conversion!$B$16,2020,2050),Report_Scenarios!$A$29:$A$35,1))))))</f>
        <v/>
      </c>
      <c r="K11" s="23">
        <f>SUM(E11:J11)</f>
        <v/>
      </c>
      <c r="L11" s="23">
        <f>IF(R11&lt;&gt;"",R11,IF($K11=0,0,E11/$K11))</f>
        <v/>
      </c>
      <c r="M11" s="23">
        <f>IF(S11&lt;&gt;"",S11,IF($K11=0,0,F11/$K11))</f>
        <v/>
      </c>
      <c r="N11" s="23">
        <f>IF(T11&lt;&gt;"",T11,IF($K11=0,0,G11/$K11))</f>
        <v/>
      </c>
      <c r="O11" s="23">
        <f>IF(U11&lt;&gt;"",U11,IF($K11=0,0,H11/$K11))</f>
        <v/>
      </c>
      <c r="P11" s="23">
        <f>IF(V11&lt;&gt;"",V11,IF($K11=0,0,I11/$K11))</f>
        <v/>
      </c>
      <c r="Q11" s="23">
        <f>IF(W11&lt;&gt;"",W11,IF($K11=0,0,J11/$K11))</f>
        <v/>
      </c>
      <c r="R11" s="24" t="n"/>
      <c r="S11" s="24" t="n"/>
      <c r="T11" s="24" t="n"/>
      <c r="U11" s="24" t="n"/>
      <c r="V11" s="24" t="n"/>
      <c r="W11" s="24" t="n"/>
    </row>
    <row r="12">
      <c r="A12" s="4" t="inlineStr">
        <is>
          <t>AB</t>
        </is>
      </c>
      <c r="B12" s="4" t="n">
        <v>2030</v>
      </c>
      <c r="C12" s="4" t="inlineStr">
        <is>
          <t>Share_Mode</t>
        </is>
      </c>
      <c r="D12" s="4">
        <f>Conversion!$B$19</f>
        <v/>
      </c>
      <c r="E12" s="23">
        <f>IF($D12="Conservative",IF(INDEX(Report_Scenarios!$A$7:$A$13,MIN(MATCH(MEDIAN($B12-Conversion!$B$16,2020,2050),Report_Scenarios!$A$7:$A$13,1)+1,7))=INDEX(Report_Scenarios!$A$7:$A$13,MATCH(MEDIAN($B12-Conversion!$B$16,2020,2050),Report_Scenarios!$A$7:$A$13,1)),INDEX(Report_Scenarios!$B$7:$B$13,MATCH(MEDIAN($B12-Conversion!$B$16,2020,2050),Report_Scenarios!$A$7:$A$13,1)),INDEX(Report_Scenarios!$B$7:$B$13,MATCH(MEDIAN($B12-Conversion!$B$16,2020,2050),Report_Scenarios!$A$7:$A$13,1))+(INDEX(Report_Scenarios!$B$7:$B$13,MIN(MATCH(MEDIAN($B12-Conversion!$B$16,2020,2050),Report_Scenarios!$A$7:$A$13,1)+1,7))-INDEX(Report_Scenarios!$B$7:$B$13,MATCH(MEDIAN($B12-Conversion!$B$16,2020,2050),Report_Scenarios!$A$7:$A$13,1)))*(MEDIAN($B12-Conversion!$B$16,2020,2050)-INDEX(Report_Scenarios!$A$7:$A$13,MATCH(MEDIAN($B12-Conversion!$B$16,2020,2050),Report_Scenarios!$A$7:$A$13,1)))/(INDEX(Report_Scenarios!$A$7:$A$13,MIN(MATCH(MEDIAN($B12-Conversion!$B$16,2020,2050),Report_Scenarios!$A$7:$A$13,1)+1,7))-INDEX(Report_Scenarios!$A$7:$A$13,MATCH(MEDIAN($B12-Conversion!$B$16,2020,2050),Report_Scenarios!$A$7:$A$13,1)))),IF($D12="Central",IF(INDEX(Report_Scenarios!$A$18:$A$24,MIN(MATCH(MEDIAN($B12-Conversion!$B$16,2020,2050),Report_Scenarios!$A$18:$A$24,1)+1,7))=INDEX(Report_Scenarios!$A$18:$A$24,MATCH(MEDIAN($B12-Conversion!$B$16,2020,2050),Report_Scenarios!$A$18:$A$24,1)),INDEX(Report_Scenarios!$B$18:$B$24,MATCH(MEDIAN($B12-Conversion!$B$16,2020,2050),Report_Scenarios!$A$18:$A$24,1)),INDEX(Report_Scenarios!$B$18:$B$24,MATCH(MEDIAN($B12-Conversion!$B$16,2020,2050),Report_Scenarios!$A$18:$A$24,1))+(INDEX(Report_Scenarios!$B$18:$B$24,MIN(MATCH(MEDIAN($B12-Conversion!$B$16,2020,2050),Report_Scenarios!$A$18:$A$24,1)+1,7))-INDEX(Report_Scenarios!$B$18:$B$24,MATCH(MEDIAN($B12-Conversion!$B$16,2020,2050),Report_Scenarios!$A$18:$A$24,1)))*(MEDIAN($B12-Conversion!$B$16,2020,2050)-INDEX(Report_Scenarios!$A$18:$A$24,MATCH(MEDIAN($B12-Conversion!$B$16,2020,2050),Report_Scenarios!$A$18:$A$24,1)))/(INDEX(Report_Scenarios!$A$18:$A$24,MIN(MATCH(MEDIAN($B12-Conversion!$B$16,2020,2050),Report_Scenarios!$A$18:$A$24,1)+1,7))-INDEX(Report_Scenarios!$A$18:$A$24,MATCH(MEDIAN($B12-Conversion!$B$16,2020,2050),Report_Scenarios!$A$18:$A$24,1)))),IF(INDEX(Report_Scenarios!$A$29:$A$35,MIN(MATCH(MEDIAN($B12-Conversion!$B$16,2020,2050),Report_Scenarios!$A$29:$A$35,1)+1,7))=INDEX(Report_Scenarios!$A$29:$A$35,MATCH(MEDIAN($B12-Conversion!$B$16,2020,2050),Report_Scenarios!$A$29:$A$35,1)),INDEX(Report_Scenarios!$B$29:$B$35,MATCH(MEDIAN($B12-Conversion!$B$16,2020,2050),Report_Scenarios!$A$29:$A$35,1)),INDEX(Report_Scenarios!$B$29:$B$35,MATCH(MEDIAN($B12-Conversion!$B$16,2020,2050),Report_Scenarios!$A$29:$A$35,1))+(INDEX(Report_Scenarios!$B$29:$B$35,MIN(MATCH(MEDIAN($B12-Conversion!$B$16,2020,2050),Report_Scenarios!$A$29:$A$35,1)+1,7))-INDEX(Report_Scenarios!$B$29:$B$35,MATCH(MEDIAN($B12-Conversion!$B$16,2020,2050),Report_Scenarios!$A$29:$A$35,1)))*(MEDIAN($B12-Conversion!$B$16,2020,2050)-INDEX(Report_Scenarios!$A$29:$A$35,MATCH(MEDIAN($B12-Conversion!$B$16,2020,2050),Report_Scenarios!$A$29:$A$35,1)))/(INDEX(Report_Scenarios!$A$29:$A$35,MIN(MATCH(MEDIAN($B12-Conversion!$B$16,2020,2050),Report_Scenarios!$A$29:$A$35,1)+1,7))-INDEX(Report_Scenarios!$A$29:$A$35,MATCH(MEDIAN($B12-Conversion!$B$16,2020,2050),Report_Scenarios!$A$29:$A$35,1))))))</f>
        <v/>
      </c>
      <c r="F12" s="23">
        <f>IF($D12="Conservative",IF(INDEX(Report_Scenarios!$A$7:$A$13,MIN(MATCH(MEDIAN($B12-Conversion!$B$16,2020,2050),Report_Scenarios!$A$7:$A$13,1)+1,7))=INDEX(Report_Scenarios!$A$7:$A$13,MATCH(MEDIAN($B12-Conversion!$B$16,2020,2050),Report_Scenarios!$A$7:$A$13,1)),INDEX(Report_Scenarios!$C$7:$C$13,MATCH(MEDIAN($B12-Conversion!$B$16,2020,2050),Report_Scenarios!$A$7:$A$13,1)),INDEX(Report_Scenarios!$C$7:$C$13,MATCH(MEDIAN($B12-Conversion!$B$16,2020,2050),Report_Scenarios!$A$7:$A$13,1))+(INDEX(Report_Scenarios!$C$7:$C$13,MIN(MATCH(MEDIAN($B12-Conversion!$B$16,2020,2050),Report_Scenarios!$A$7:$A$13,1)+1,7))-INDEX(Report_Scenarios!$C$7:$C$13,MATCH(MEDIAN($B12-Conversion!$B$16,2020,2050),Report_Scenarios!$A$7:$A$13,1)))*(MEDIAN($B12-Conversion!$B$16,2020,2050)-INDEX(Report_Scenarios!$A$7:$A$13,MATCH(MEDIAN($B12-Conversion!$B$16,2020,2050),Report_Scenarios!$A$7:$A$13,1)))/(INDEX(Report_Scenarios!$A$7:$A$13,MIN(MATCH(MEDIAN($B12-Conversion!$B$16,2020,2050),Report_Scenarios!$A$7:$A$13,1)+1,7))-INDEX(Report_Scenarios!$A$7:$A$13,MATCH(MEDIAN($B12-Conversion!$B$16,2020,2050),Report_Scenarios!$A$7:$A$13,1)))),IF($D12="Central",IF(INDEX(Report_Scenarios!$A$18:$A$24,MIN(MATCH(MEDIAN($B12-Conversion!$B$16,2020,2050),Report_Scenarios!$A$18:$A$24,1)+1,7))=INDEX(Report_Scenarios!$A$18:$A$24,MATCH(MEDIAN($B12-Conversion!$B$16,2020,2050),Report_Scenarios!$A$18:$A$24,1)),INDEX(Report_Scenarios!$C$18:$C$24,MATCH(MEDIAN($B12-Conversion!$B$16,2020,2050),Report_Scenarios!$A$18:$A$24,1)),INDEX(Report_Scenarios!$C$18:$C$24,MATCH(MEDIAN($B12-Conversion!$B$16,2020,2050),Report_Scenarios!$A$18:$A$24,1))+(INDEX(Report_Scenarios!$C$18:$C$24,MIN(MATCH(MEDIAN($B12-Conversion!$B$16,2020,2050),Report_Scenarios!$A$18:$A$24,1)+1,7))-INDEX(Report_Scenarios!$C$18:$C$24,MATCH(MEDIAN($B12-Conversion!$B$16,2020,2050),Report_Scenarios!$A$18:$A$24,1)))*(MEDIAN($B12-Conversion!$B$16,2020,2050)-INDEX(Report_Scenarios!$A$18:$A$24,MATCH(MEDIAN($B12-Conversion!$B$16,2020,2050),Report_Scenarios!$A$18:$A$24,1)))/(INDEX(Report_Scenarios!$A$18:$A$24,MIN(MATCH(MEDIAN($B12-Conversion!$B$16,2020,2050),Report_Scenarios!$A$18:$A$24,1)+1,7))-INDEX(Report_Scenarios!$A$18:$A$24,MATCH(MEDIAN($B12-Conversion!$B$16,2020,2050),Report_Scenarios!$A$18:$A$24,1)))),IF(INDEX(Report_Scenarios!$A$29:$A$35,MIN(MATCH(MEDIAN($B12-Conversion!$B$16,2020,2050),Report_Scenarios!$A$29:$A$35,1)+1,7))=INDEX(Report_Scenarios!$A$29:$A$35,MATCH(MEDIAN($B12-Conversion!$B$16,2020,2050),Report_Scenarios!$A$29:$A$35,1)),INDEX(Report_Scenarios!$C$29:$C$35,MATCH(MEDIAN($B12-Conversion!$B$16,2020,2050),Report_Scenarios!$A$29:$A$35,1)),INDEX(Report_Scenarios!$C$29:$C$35,MATCH(MEDIAN($B12-Conversion!$B$16,2020,2050),Report_Scenarios!$A$29:$A$35,1))+(INDEX(Report_Scenarios!$C$29:$C$35,MIN(MATCH(MEDIAN($B12-Conversion!$B$16,2020,2050),Report_Scenarios!$A$29:$A$35,1)+1,7))-INDEX(Report_Scenarios!$C$29:$C$35,MATCH(MEDIAN($B12-Conversion!$B$16,2020,2050),Report_Scenarios!$A$29:$A$35,1)))*(MEDIAN($B12-Conversion!$B$16,2020,2050)-INDEX(Report_Scenarios!$A$29:$A$35,MATCH(MEDIAN($B12-Conversion!$B$16,2020,2050),Report_Scenarios!$A$29:$A$35,1)))/(INDEX(Report_Scenarios!$A$29:$A$35,MIN(MATCH(MEDIAN($B12-Conversion!$B$16,2020,2050),Report_Scenarios!$A$29:$A$35,1)+1,7))-INDEX(Report_Scenarios!$A$29:$A$35,MATCH(MEDIAN($B12-Conversion!$B$16,2020,2050),Report_Scenarios!$A$29:$A$35,1))))))</f>
        <v/>
      </c>
      <c r="G12" s="23">
        <f>IF($D12="Conservative",IF(INDEX(Report_Scenarios!$A$7:$A$13,MIN(MATCH(MEDIAN($B12-Conversion!$B$16,2020,2050),Report_Scenarios!$A$7:$A$13,1)+1,7))=INDEX(Report_Scenarios!$A$7:$A$13,MATCH(MEDIAN($B12-Conversion!$B$16,2020,2050),Report_Scenarios!$A$7:$A$13,1)),INDEX(Report_Scenarios!$D$7:$D$13,MATCH(MEDIAN($B12-Conversion!$B$16,2020,2050),Report_Scenarios!$A$7:$A$13,1)),INDEX(Report_Scenarios!$D$7:$D$13,MATCH(MEDIAN($B12-Conversion!$B$16,2020,2050),Report_Scenarios!$A$7:$A$13,1))+(INDEX(Report_Scenarios!$D$7:$D$13,MIN(MATCH(MEDIAN($B12-Conversion!$B$16,2020,2050),Report_Scenarios!$A$7:$A$13,1)+1,7))-INDEX(Report_Scenarios!$D$7:$D$13,MATCH(MEDIAN($B12-Conversion!$B$16,2020,2050),Report_Scenarios!$A$7:$A$13,1)))*(MEDIAN($B12-Conversion!$B$16,2020,2050)-INDEX(Report_Scenarios!$A$7:$A$13,MATCH(MEDIAN($B12-Conversion!$B$16,2020,2050),Report_Scenarios!$A$7:$A$13,1)))/(INDEX(Report_Scenarios!$A$7:$A$13,MIN(MATCH(MEDIAN($B12-Conversion!$B$16,2020,2050),Report_Scenarios!$A$7:$A$13,1)+1,7))-INDEX(Report_Scenarios!$A$7:$A$13,MATCH(MEDIAN($B12-Conversion!$B$16,2020,2050),Report_Scenarios!$A$7:$A$13,1)))),IF($D12="Central",IF(INDEX(Report_Scenarios!$A$18:$A$24,MIN(MATCH(MEDIAN($B12-Conversion!$B$16,2020,2050),Report_Scenarios!$A$18:$A$24,1)+1,7))=INDEX(Report_Scenarios!$A$18:$A$24,MATCH(MEDIAN($B12-Conversion!$B$16,2020,2050),Report_Scenarios!$A$18:$A$24,1)),INDEX(Report_Scenarios!$D$18:$D$24,MATCH(MEDIAN($B12-Conversion!$B$16,2020,2050),Report_Scenarios!$A$18:$A$24,1)),INDEX(Report_Scenarios!$D$18:$D$24,MATCH(MEDIAN($B12-Conversion!$B$16,2020,2050),Report_Scenarios!$A$18:$A$24,1))+(INDEX(Report_Scenarios!$D$18:$D$24,MIN(MATCH(MEDIAN($B12-Conversion!$B$16,2020,2050),Report_Scenarios!$A$18:$A$24,1)+1,7))-INDEX(Report_Scenarios!$D$18:$D$24,MATCH(MEDIAN($B12-Conversion!$B$16,2020,2050),Report_Scenarios!$A$18:$A$24,1)))*(MEDIAN($B12-Conversion!$B$16,2020,2050)-INDEX(Report_Scenarios!$A$18:$A$24,MATCH(MEDIAN($B12-Conversion!$B$16,2020,2050),Report_Scenarios!$A$18:$A$24,1)))/(INDEX(Report_Scenarios!$A$18:$A$24,MIN(MATCH(MEDIAN($B12-Conversion!$B$16,2020,2050),Report_Scenarios!$A$18:$A$24,1)+1,7))-INDEX(Report_Scenarios!$A$18:$A$24,MATCH(MEDIAN($B12-Conversion!$B$16,2020,2050),Report_Scenarios!$A$18:$A$24,1)))),IF(INDEX(Report_Scenarios!$A$29:$A$35,MIN(MATCH(MEDIAN($B12-Conversion!$B$16,2020,2050),Report_Scenarios!$A$29:$A$35,1)+1,7))=INDEX(Report_Scenarios!$A$29:$A$35,MATCH(MEDIAN($B12-Conversion!$B$16,2020,2050),Report_Scenarios!$A$29:$A$35,1)),INDEX(Report_Scenarios!$D$29:$D$35,MATCH(MEDIAN($B12-Conversion!$B$16,2020,2050),Report_Scenarios!$A$29:$A$35,1)),INDEX(Report_Scenarios!$D$29:$D$35,MATCH(MEDIAN($B12-Conversion!$B$16,2020,2050),Report_Scenarios!$A$29:$A$35,1))+(INDEX(Report_Scenarios!$D$29:$D$35,MIN(MATCH(MEDIAN($B12-Conversion!$B$16,2020,2050),Report_Scenarios!$A$29:$A$35,1)+1,7))-INDEX(Report_Scenarios!$D$29:$D$35,MATCH(MEDIAN($B12-Conversion!$B$16,2020,2050),Report_Scenarios!$A$29:$A$35,1)))*(MEDIAN($B12-Conversion!$B$16,2020,2050)-INDEX(Report_Scenarios!$A$29:$A$35,MATCH(MEDIAN($B12-Conversion!$B$16,2020,2050),Report_Scenarios!$A$29:$A$35,1)))/(INDEX(Report_Scenarios!$A$29:$A$35,MIN(MATCH(MEDIAN($B12-Conversion!$B$16,2020,2050),Report_Scenarios!$A$29:$A$35,1)+1,7))-INDEX(Report_Scenarios!$A$29:$A$35,MATCH(MEDIAN($B12-Conversion!$B$16,2020,2050),Report_Scenarios!$A$29:$A$35,1))))))</f>
        <v/>
      </c>
      <c r="H12" s="23">
        <f>IF($D12="Conservative",IF(INDEX(Report_Scenarios!$A$7:$A$13,MIN(MATCH(MEDIAN($B12-Conversion!$B$16,2020,2050),Report_Scenarios!$A$7:$A$13,1)+1,7))=INDEX(Report_Scenarios!$A$7:$A$13,MATCH(MEDIAN($B12-Conversion!$B$16,2020,2050),Report_Scenarios!$A$7:$A$13,1)),INDEX(Report_Scenarios!$E$7:$E$13,MATCH(MEDIAN($B12-Conversion!$B$16,2020,2050),Report_Scenarios!$A$7:$A$13,1)),INDEX(Report_Scenarios!$E$7:$E$13,MATCH(MEDIAN($B12-Conversion!$B$16,2020,2050),Report_Scenarios!$A$7:$A$13,1))+(INDEX(Report_Scenarios!$E$7:$E$13,MIN(MATCH(MEDIAN($B12-Conversion!$B$16,2020,2050),Report_Scenarios!$A$7:$A$13,1)+1,7))-INDEX(Report_Scenarios!$E$7:$E$13,MATCH(MEDIAN($B12-Conversion!$B$16,2020,2050),Report_Scenarios!$A$7:$A$13,1)))*(MEDIAN($B12-Conversion!$B$16,2020,2050)-INDEX(Report_Scenarios!$A$7:$A$13,MATCH(MEDIAN($B12-Conversion!$B$16,2020,2050),Report_Scenarios!$A$7:$A$13,1)))/(INDEX(Report_Scenarios!$A$7:$A$13,MIN(MATCH(MEDIAN($B12-Conversion!$B$16,2020,2050),Report_Scenarios!$A$7:$A$13,1)+1,7))-INDEX(Report_Scenarios!$A$7:$A$13,MATCH(MEDIAN($B12-Conversion!$B$16,2020,2050),Report_Scenarios!$A$7:$A$13,1)))),IF($D12="Central",IF(INDEX(Report_Scenarios!$A$18:$A$24,MIN(MATCH(MEDIAN($B12-Conversion!$B$16,2020,2050),Report_Scenarios!$A$18:$A$24,1)+1,7))=INDEX(Report_Scenarios!$A$18:$A$24,MATCH(MEDIAN($B12-Conversion!$B$16,2020,2050),Report_Scenarios!$A$18:$A$24,1)),INDEX(Report_Scenarios!$E$18:$E$24,MATCH(MEDIAN($B12-Conversion!$B$16,2020,2050),Report_Scenarios!$A$18:$A$24,1)),INDEX(Report_Scenarios!$E$18:$E$24,MATCH(MEDIAN($B12-Conversion!$B$16,2020,2050),Report_Scenarios!$A$18:$A$24,1))+(INDEX(Report_Scenarios!$E$18:$E$24,MIN(MATCH(MEDIAN($B12-Conversion!$B$16,2020,2050),Report_Scenarios!$A$18:$A$24,1)+1,7))-INDEX(Report_Scenarios!$E$18:$E$24,MATCH(MEDIAN($B12-Conversion!$B$16,2020,2050),Report_Scenarios!$A$18:$A$24,1)))*(MEDIAN($B12-Conversion!$B$16,2020,2050)-INDEX(Report_Scenarios!$A$18:$A$24,MATCH(MEDIAN($B12-Conversion!$B$16,2020,2050),Report_Scenarios!$A$18:$A$24,1)))/(INDEX(Report_Scenarios!$A$18:$A$24,MIN(MATCH(MEDIAN($B12-Conversion!$B$16,2020,2050),Report_Scenarios!$A$18:$A$24,1)+1,7))-INDEX(Report_Scenarios!$A$18:$A$24,MATCH(MEDIAN($B12-Conversion!$B$16,2020,2050),Report_Scenarios!$A$18:$A$24,1)))),IF(INDEX(Report_Scenarios!$A$29:$A$35,MIN(MATCH(MEDIAN($B12-Conversion!$B$16,2020,2050),Report_Scenarios!$A$29:$A$35,1)+1,7))=INDEX(Report_Scenarios!$A$29:$A$35,MATCH(MEDIAN($B12-Conversion!$B$16,2020,2050),Report_Scenarios!$A$29:$A$35,1)),INDEX(Report_Scenarios!$E$29:$E$35,MATCH(MEDIAN($B12-Conversion!$B$16,2020,2050),Report_Scenarios!$A$29:$A$35,1)),INDEX(Report_Scenarios!$E$29:$E$35,MATCH(MEDIAN($B12-Conversion!$B$16,2020,2050),Report_Scenarios!$A$29:$A$35,1))+(INDEX(Report_Scenarios!$E$29:$E$35,MIN(MATCH(MEDIAN($B12-Conversion!$B$16,2020,2050),Report_Scenarios!$A$29:$A$35,1)+1,7))-INDEX(Report_Scenarios!$E$29:$E$35,MATCH(MEDIAN($B12-Conversion!$B$16,2020,2050),Report_Scenarios!$A$29:$A$35,1)))*(MEDIAN($B12-Conversion!$B$16,2020,2050)-INDEX(Report_Scenarios!$A$29:$A$35,MATCH(MEDIAN($B12-Conversion!$B$16,2020,2050),Report_Scenarios!$A$29:$A$35,1)))/(INDEX(Report_Scenarios!$A$29:$A$35,MIN(MATCH(MEDIAN($B12-Conversion!$B$16,2020,2050),Report_Scenarios!$A$29:$A$35,1)+1,7))-INDEX(Report_Scenarios!$A$29:$A$35,MATCH(MEDIAN($B12-Conversion!$B$16,2020,2050),Report_Scenarios!$A$29:$A$35,1))))))</f>
        <v/>
      </c>
      <c r="I12" s="23">
        <f>IF($D12="Conservative",IF(INDEX(Report_Scenarios!$A$7:$A$13,MIN(MATCH(MEDIAN($B12-Conversion!$B$16,2020,2050),Report_Scenarios!$A$7:$A$13,1)+1,7))=INDEX(Report_Scenarios!$A$7:$A$13,MATCH(MEDIAN($B12-Conversion!$B$16,2020,2050),Report_Scenarios!$A$7:$A$13,1)),INDEX(Report_Scenarios!$F$7:$F$13,MATCH(MEDIAN($B12-Conversion!$B$16,2020,2050),Report_Scenarios!$A$7:$A$13,1)),INDEX(Report_Scenarios!$F$7:$F$13,MATCH(MEDIAN($B12-Conversion!$B$16,2020,2050),Report_Scenarios!$A$7:$A$13,1))+(INDEX(Report_Scenarios!$F$7:$F$13,MIN(MATCH(MEDIAN($B12-Conversion!$B$16,2020,2050),Report_Scenarios!$A$7:$A$13,1)+1,7))-INDEX(Report_Scenarios!$F$7:$F$13,MATCH(MEDIAN($B12-Conversion!$B$16,2020,2050),Report_Scenarios!$A$7:$A$13,1)))*(MEDIAN($B12-Conversion!$B$16,2020,2050)-INDEX(Report_Scenarios!$A$7:$A$13,MATCH(MEDIAN($B12-Conversion!$B$16,2020,2050),Report_Scenarios!$A$7:$A$13,1)))/(INDEX(Report_Scenarios!$A$7:$A$13,MIN(MATCH(MEDIAN($B12-Conversion!$B$16,2020,2050),Report_Scenarios!$A$7:$A$13,1)+1,7))-INDEX(Report_Scenarios!$A$7:$A$13,MATCH(MEDIAN($B12-Conversion!$B$16,2020,2050),Report_Scenarios!$A$7:$A$13,1)))),IF($D12="Central",IF(INDEX(Report_Scenarios!$A$18:$A$24,MIN(MATCH(MEDIAN($B12-Conversion!$B$16,2020,2050),Report_Scenarios!$A$18:$A$24,1)+1,7))=INDEX(Report_Scenarios!$A$18:$A$24,MATCH(MEDIAN($B12-Conversion!$B$16,2020,2050),Report_Scenarios!$A$18:$A$24,1)),INDEX(Report_Scenarios!$F$18:$F$24,MATCH(MEDIAN($B12-Conversion!$B$16,2020,2050),Report_Scenarios!$A$18:$A$24,1)),INDEX(Report_Scenarios!$F$18:$F$24,MATCH(MEDIAN($B12-Conversion!$B$16,2020,2050),Report_Scenarios!$A$18:$A$24,1))+(INDEX(Report_Scenarios!$F$18:$F$24,MIN(MATCH(MEDIAN($B12-Conversion!$B$16,2020,2050),Report_Scenarios!$A$18:$A$24,1)+1,7))-INDEX(Report_Scenarios!$F$18:$F$24,MATCH(MEDIAN($B12-Conversion!$B$16,2020,2050),Report_Scenarios!$A$18:$A$24,1)))*(MEDIAN($B12-Conversion!$B$16,2020,2050)-INDEX(Report_Scenarios!$A$18:$A$24,MATCH(MEDIAN($B12-Conversion!$B$16,2020,2050),Report_Scenarios!$A$18:$A$24,1)))/(INDEX(Report_Scenarios!$A$18:$A$24,MIN(MATCH(MEDIAN($B12-Conversion!$B$16,2020,2050),Report_Scenarios!$A$18:$A$24,1)+1,7))-INDEX(Report_Scenarios!$A$18:$A$24,MATCH(MEDIAN($B12-Conversion!$B$16,2020,2050),Report_Scenarios!$A$18:$A$24,1)))),IF(INDEX(Report_Scenarios!$A$29:$A$35,MIN(MATCH(MEDIAN($B12-Conversion!$B$16,2020,2050),Report_Scenarios!$A$29:$A$35,1)+1,7))=INDEX(Report_Scenarios!$A$29:$A$35,MATCH(MEDIAN($B12-Conversion!$B$16,2020,2050),Report_Scenarios!$A$29:$A$35,1)),INDEX(Report_Scenarios!$F$29:$F$35,MATCH(MEDIAN($B12-Conversion!$B$16,2020,2050),Report_Scenarios!$A$29:$A$35,1)),INDEX(Report_Scenarios!$F$29:$F$35,MATCH(MEDIAN($B12-Conversion!$B$16,2020,2050),Report_Scenarios!$A$29:$A$35,1))+(INDEX(Report_Scenarios!$F$29:$F$35,MIN(MATCH(MEDIAN($B12-Conversion!$B$16,2020,2050),Report_Scenarios!$A$29:$A$35,1)+1,7))-INDEX(Report_Scenarios!$F$29:$F$35,MATCH(MEDIAN($B12-Conversion!$B$16,2020,2050),Report_Scenarios!$A$29:$A$35,1)))*(MEDIAN($B12-Conversion!$B$16,2020,2050)-INDEX(Report_Scenarios!$A$29:$A$35,MATCH(MEDIAN($B12-Conversion!$B$16,2020,2050),Report_Scenarios!$A$29:$A$35,1)))/(INDEX(Report_Scenarios!$A$29:$A$35,MIN(MATCH(MEDIAN($B12-Conversion!$B$16,2020,2050),Report_Scenarios!$A$29:$A$35,1)+1,7))-INDEX(Report_Scenarios!$A$29:$A$35,MATCH(MEDIAN($B12-Conversion!$B$16,2020,2050),Report_Scenarios!$A$29:$A$35,1))))))</f>
        <v/>
      </c>
      <c r="J12" s="23">
        <f>IF($D12="Conservative",IF(INDEX(Report_Scenarios!$A$7:$A$13,MIN(MATCH(MEDIAN($B12-Conversion!$B$16,2020,2050),Report_Scenarios!$A$7:$A$13,1)+1,7))=INDEX(Report_Scenarios!$A$7:$A$13,MATCH(MEDIAN($B12-Conversion!$B$16,2020,2050),Report_Scenarios!$A$7:$A$13,1)),INDEX(Report_Scenarios!$G$7:$G$13,MATCH(MEDIAN($B12-Conversion!$B$16,2020,2050),Report_Scenarios!$A$7:$A$13,1)),INDEX(Report_Scenarios!$G$7:$G$13,MATCH(MEDIAN($B12-Conversion!$B$16,2020,2050),Report_Scenarios!$A$7:$A$13,1))+(INDEX(Report_Scenarios!$G$7:$G$13,MIN(MATCH(MEDIAN($B12-Conversion!$B$16,2020,2050),Report_Scenarios!$A$7:$A$13,1)+1,7))-INDEX(Report_Scenarios!$G$7:$G$13,MATCH(MEDIAN($B12-Conversion!$B$16,2020,2050),Report_Scenarios!$A$7:$A$13,1)))*(MEDIAN($B12-Conversion!$B$16,2020,2050)-INDEX(Report_Scenarios!$A$7:$A$13,MATCH(MEDIAN($B12-Conversion!$B$16,2020,2050),Report_Scenarios!$A$7:$A$13,1)))/(INDEX(Report_Scenarios!$A$7:$A$13,MIN(MATCH(MEDIAN($B12-Conversion!$B$16,2020,2050),Report_Scenarios!$A$7:$A$13,1)+1,7))-INDEX(Report_Scenarios!$A$7:$A$13,MATCH(MEDIAN($B12-Conversion!$B$16,2020,2050),Report_Scenarios!$A$7:$A$13,1)))),IF($D12="Central",IF(INDEX(Report_Scenarios!$A$18:$A$24,MIN(MATCH(MEDIAN($B12-Conversion!$B$16,2020,2050),Report_Scenarios!$A$18:$A$24,1)+1,7))=INDEX(Report_Scenarios!$A$18:$A$24,MATCH(MEDIAN($B12-Conversion!$B$16,2020,2050),Report_Scenarios!$A$18:$A$24,1)),INDEX(Report_Scenarios!$G$18:$G$24,MATCH(MEDIAN($B12-Conversion!$B$16,2020,2050),Report_Scenarios!$A$18:$A$24,1)),INDEX(Report_Scenarios!$G$18:$G$24,MATCH(MEDIAN($B12-Conversion!$B$16,2020,2050),Report_Scenarios!$A$18:$A$24,1))+(INDEX(Report_Scenarios!$G$18:$G$24,MIN(MATCH(MEDIAN($B12-Conversion!$B$16,2020,2050),Report_Scenarios!$A$18:$A$24,1)+1,7))-INDEX(Report_Scenarios!$G$18:$G$24,MATCH(MEDIAN($B12-Conversion!$B$16,2020,2050),Report_Scenarios!$A$18:$A$24,1)))*(MEDIAN($B12-Conversion!$B$16,2020,2050)-INDEX(Report_Scenarios!$A$18:$A$24,MATCH(MEDIAN($B12-Conversion!$B$16,2020,2050),Report_Scenarios!$A$18:$A$24,1)))/(INDEX(Report_Scenarios!$A$18:$A$24,MIN(MATCH(MEDIAN($B12-Conversion!$B$16,2020,2050),Report_Scenarios!$A$18:$A$24,1)+1,7))-INDEX(Report_Scenarios!$A$18:$A$24,MATCH(MEDIAN($B12-Conversion!$B$16,2020,2050),Report_Scenarios!$A$18:$A$24,1)))),IF(INDEX(Report_Scenarios!$A$29:$A$35,MIN(MATCH(MEDIAN($B12-Conversion!$B$16,2020,2050),Report_Scenarios!$A$29:$A$35,1)+1,7))=INDEX(Report_Scenarios!$A$29:$A$35,MATCH(MEDIAN($B12-Conversion!$B$16,2020,2050),Report_Scenarios!$A$29:$A$35,1)),INDEX(Report_Scenarios!$G$29:$G$35,MATCH(MEDIAN($B12-Conversion!$B$16,2020,2050),Report_Scenarios!$A$29:$A$35,1)),INDEX(Report_Scenarios!$G$29:$G$35,MATCH(MEDIAN($B12-Conversion!$B$16,2020,2050),Report_Scenarios!$A$29:$A$35,1))+(INDEX(Report_Scenarios!$G$29:$G$35,MIN(MATCH(MEDIAN($B12-Conversion!$B$16,2020,2050),Report_Scenarios!$A$29:$A$35,1)+1,7))-INDEX(Report_Scenarios!$G$29:$G$35,MATCH(MEDIAN($B12-Conversion!$B$16,2020,2050),Report_Scenarios!$A$29:$A$35,1)))*(MEDIAN($B12-Conversion!$B$16,2020,2050)-INDEX(Report_Scenarios!$A$29:$A$35,MATCH(MEDIAN($B12-Conversion!$B$16,2020,2050),Report_Scenarios!$A$29:$A$35,1)))/(INDEX(Report_Scenarios!$A$29:$A$35,MIN(MATCH(MEDIAN($B12-Conversion!$B$16,2020,2050),Report_Scenarios!$A$29:$A$35,1)+1,7))-INDEX(Report_Scenarios!$A$29:$A$35,MATCH(MEDIAN($B12-Conversion!$B$16,2020,2050),Report_Scenarios!$A$29:$A$35,1))))))</f>
        <v/>
      </c>
      <c r="K12" s="23">
        <f>SUM(E12:J12)</f>
        <v/>
      </c>
      <c r="L12" s="23">
        <f>IF(R12&lt;&gt;"",R12,IF($K12=0,0,E12/$K12))</f>
        <v/>
      </c>
      <c r="M12" s="23">
        <f>IF(S12&lt;&gt;"",S12,IF($K12=0,0,F12/$K12))</f>
        <v/>
      </c>
      <c r="N12" s="23">
        <f>IF(T12&lt;&gt;"",T12,IF($K12=0,0,G12/$K12))</f>
        <v/>
      </c>
      <c r="O12" s="23">
        <f>IF(U12&lt;&gt;"",U12,IF($K12=0,0,H12/$K12))</f>
        <v/>
      </c>
      <c r="P12" s="23">
        <f>IF(V12&lt;&gt;"",V12,IF($K12=0,0,I12/$K12))</f>
        <v/>
      </c>
      <c r="Q12" s="23">
        <f>IF(W12&lt;&gt;"",W12,IF($K12=0,0,J12/$K12))</f>
        <v/>
      </c>
      <c r="R12" s="24" t="n"/>
      <c r="S12" s="24" t="n"/>
      <c r="T12" s="24" t="n"/>
      <c r="U12" s="24" t="n"/>
      <c r="V12" s="24" t="n"/>
      <c r="W12" s="24" t="n"/>
    </row>
    <row r="13">
      <c r="A13" s="4" t="inlineStr">
        <is>
          <t>AB</t>
        </is>
      </c>
      <c r="B13" s="4" t="n">
        <v>2030</v>
      </c>
      <c r="C13" s="4" t="inlineStr">
        <is>
          <t>Share_Max</t>
        </is>
      </c>
      <c r="D13" s="4">
        <f>Conversion!$B$20</f>
        <v/>
      </c>
      <c r="E13" s="23">
        <f>IF($D13="Conservative",IF(INDEX(Report_Scenarios!$A$7:$A$13,MIN(MATCH(MEDIAN($B13-Conversion!$B$16,2020,2050),Report_Scenarios!$A$7:$A$13,1)+1,7))=INDEX(Report_Scenarios!$A$7:$A$13,MATCH(MEDIAN($B13-Conversion!$B$16,2020,2050),Report_Scenarios!$A$7:$A$13,1)),INDEX(Report_Scenarios!$B$7:$B$13,MATCH(MEDIAN($B13-Conversion!$B$16,2020,2050),Report_Scenarios!$A$7:$A$13,1)),INDEX(Report_Scenarios!$B$7:$B$13,MATCH(MEDIAN($B13-Conversion!$B$16,2020,2050),Report_Scenarios!$A$7:$A$13,1))+(INDEX(Report_Scenarios!$B$7:$B$13,MIN(MATCH(MEDIAN($B13-Conversion!$B$16,2020,2050),Report_Scenarios!$A$7:$A$13,1)+1,7))-INDEX(Report_Scenarios!$B$7:$B$13,MATCH(MEDIAN($B13-Conversion!$B$16,2020,2050),Report_Scenarios!$A$7:$A$13,1)))*(MEDIAN($B13-Conversion!$B$16,2020,2050)-INDEX(Report_Scenarios!$A$7:$A$13,MATCH(MEDIAN($B13-Conversion!$B$16,2020,2050),Report_Scenarios!$A$7:$A$13,1)))/(INDEX(Report_Scenarios!$A$7:$A$13,MIN(MATCH(MEDIAN($B13-Conversion!$B$16,2020,2050),Report_Scenarios!$A$7:$A$13,1)+1,7))-INDEX(Report_Scenarios!$A$7:$A$13,MATCH(MEDIAN($B13-Conversion!$B$16,2020,2050),Report_Scenarios!$A$7:$A$13,1)))),IF($D13="Central",IF(INDEX(Report_Scenarios!$A$18:$A$24,MIN(MATCH(MEDIAN($B13-Conversion!$B$16,2020,2050),Report_Scenarios!$A$18:$A$24,1)+1,7))=INDEX(Report_Scenarios!$A$18:$A$24,MATCH(MEDIAN($B13-Conversion!$B$16,2020,2050),Report_Scenarios!$A$18:$A$24,1)),INDEX(Report_Scenarios!$B$18:$B$24,MATCH(MEDIAN($B13-Conversion!$B$16,2020,2050),Report_Scenarios!$A$18:$A$24,1)),INDEX(Report_Scenarios!$B$18:$B$24,MATCH(MEDIAN($B13-Conversion!$B$16,2020,2050),Report_Scenarios!$A$18:$A$24,1))+(INDEX(Report_Scenarios!$B$18:$B$24,MIN(MATCH(MEDIAN($B13-Conversion!$B$16,2020,2050),Report_Scenarios!$A$18:$A$24,1)+1,7))-INDEX(Report_Scenarios!$B$18:$B$24,MATCH(MEDIAN($B13-Conversion!$B$16,2020,2050),Report_Scenarios!$A$18:$A$24,1)))*(MEDIAN($B13-Conversion!$B$16,2020,2050)-INDEX(Report_Scenarios!$A$18:$A$24,MATCH(MEDIAN($B13-Conversion!$B$16,2020,2050),Report_Scenarios!$A$18:$A$24,1)))/(INDEX(Report_Scenarios!$A$18:$A$24,MIN(MATCH(MEDIAN($B13-Conversion!$B$16,2020,2050),Report_Scenarios!$A$18:$A$24,1)+1,7))-INDEX(Report_Scenarios!$A$18:$A$24,MATCH(MEDIAN($B13-Conversion!$B$16,2020,2050),Report_Scenarios!$A$18:$A$24,1)))),IF(INDEX(Report_Scenarios!$A$29:$A$35,MIN(MATCH(MEDIAN($B13-Conversion!$B$16,2020,2050),Report_Scenarios!$A$29:$A$35,1)+1,7))=INDEX(Report_Scenarios!$A$29:$A$35,MATCH(MEDIAN($B13-Conversion!$B$16,2020,2050),Report_Scenarios!$A$29:$A$35,1)),INDEX(Report_Scenarios!$B$29:$B$35,MATCH(MEDIAN($B13-Conversion!$B$16,2020,2050),Report_Scenarios!$A$29:$A$35,1)),INDEX(Report_Scenarios!$B$29:$B$35,MATCH(MEDIAN($B13-Conversion!$B$16,2020,2050),Report_Scenarios!$A$29:$A$35,1))+(INDEX(Report_Scenarios!$B$29:$B$35,MIN(MATCH(MEDIAN($B13-Conversion!$B$16,2020,2050),Report_Scenarios!$A$29:$A$35,1)+1,7))-INDEX(Report_Scenarios!$B$29:$B$35,MATCH(MEDIAN($B13-Conversion!$B$16,2020,2050),Report_Scenarios!$A$29:$A$35,1)))*(MEDIAN($B13-Conversion!$B$16,2020,2050)-INDEX(Report_Scenarios!$A$29:$A$35,MATCH(MEDIAN($B13-Conversion!$B$16,2020,2050),Report_Scenarios!$A$29:$A$35,1)))/(INDEX(Report_Scenarios!$A$29:$A$35,MIN(MATCH(MEDIAN($B13-Conversion!$B$16,2020,2050),Report_Scenarios!$A$29:$A$35,1)+1,7))-INDEX(Report_Scenarios!$A$29:$A$35,MATCH(MEDIAN($B13-Conversion!$B$16,2020,2050),Report_Scenarios!$A$29:$A$35,1))))))</f>
        <v/>
      </c>
      <c r="F13" s="23">
        <f>IF($D13="Conservative",IF(INDEX(Report_Scenarios!$A$7:$A$13,MIN(MATCH(MEDIAN($B13-Conversion!$B$16,2020,2050),Report_Scenarios!$A$7:$A$13,1)+1,7))=INDEX(Report_Scenarios!$A$7:$A$13,MATCH(MEDIAN($B13-Conversion!$B$16,2020,2050),Report_Scenarios!$A$7:$A$13,1)),INDEX(Report_Scenarios!$C$7:$C$13,MATCH(MEDIAN($B13-Conversion!$B$16,2020,2050),Report_Scenarios!$A$7:$A$13,1)),INDEX(Report_Scenarios!$C$7:$C$13,MATCH(MEDIAN($B13-Conversion!$B$16,2020,2050),Report_Scenarios!$A$7:$A$13,1))+(INDEX(Report_Scenarios!$C$7:$C$13,MIN(MATCH(MEDIAN($B13-Conversion!$B$16,2020,2050),Report_Scenarios!$A$7:$A$13,1)+1,7))-INDEX(Report_Scenarios!$C$7:$C$13,MATCH(MEDIAN($B13-Conversion!$B$16,2020,2050),Report_Scenarios!$A$7:$A$13,1)))*(MEDIAN($B13-Conversion!$B$16,2020,2050)-INDEX(Report_Scenarios!$A$7:$A$13,MATCH(MEDIAN($B13-Conversion!$B$16,2020,2050),Report_Scenarios!$A$7:$A$13,1)))/(INDEX(Report_Scenarios!$A$7:$A$13,MIN(MATCH(MEDIAN($B13-Conversion!$B$16,2020,2050),Report_Scenarios!$A$7:$A$13,1)+1,7))-INDEX(Report_Scenarios!$A$7:$A$13,MATCH(MEDIAN($B13-Conversion!$B$16,2020,2050),Report_Scenarios!$A$7:$A$13,1)))),IF($D13="Central",IF(INDEX(Report_Scenarios!$A$18:$A$24,MIN(MATCH(MEDIAN($B13-Conversion!$B$16,2020,2050),Report_Scenarios!$A$18:$A$24,1)+1,7))=INDEX(Report_Scenarios!$A$18:$A$24,MATCH(MEDIAN($B13-Conversion!$B$16,2020,2050),Report_Scenarios!$A$18:$A$24,1)),INDEX(Report_Scenarios!$C$18:$C$24,MATCH(MEDIAN($B13-Conversion!$B$16,2020,2050),Report_Scenarios!$A$18:$A$24,1)),INDEX(Report_Scenarios!$C$18:$C$24,MATCH(MEDIAN($B13-Conversion!$B$16,2020,2050),Report_Scenarios!$A$18:$A$24,1))+(INDEX(Report_Scenarios!$C$18:$C$24,MIN(MATCH(MEDIAN($B13-Conversion!$B$16,2020,2050),Report_Scenarios!$A$18:$A$24,1)+1,7))-INDEX(Report_Scenarios!$C$18:$C$24,MATCH(MEDIAN($B13-Conversion!$B$16,2020,2050),Report_Scenarios!$A$18:$A$24,1)))*(MEDIAN($B13-Conversion!$B$16,2020,2050)-INDEX(Report_Scenarios!$A$18:$A$24,MATCH(MEDIAN($B13-Conversion!$B$16,2020,2050),Report_Scenarios!$A$18:$A$24,1)))/(INDEX(Report_Scenarios!$A$18:$A$24,MIN(MATCH(MEDIAN($B13-Conversion!$B$16,2020,2050),Report_Scenarios!$A$18:$A$24,1)+1,7))-INDEX(Report_Scenarios!$A$18:$A$24,MATCH(MEDIAN($B13-Conversion!$B$16,2020,2050),Report_Scenarios!$A$18:$A$24,1)))),IF(INDEX(Report_Scenarios!$A$29:$A$35,MIN(MATCH(MEDIAN($B13-Conversion!$B$16,2020,2050),Report_Scenarios!$A$29:$A$35,1)+1,7))=INDEX(Report_Scenarios!$A$29:$A$35,MATCH(MEDIAN($B13-Conversion!$B$16,2020,2050),Report_Scenarios!$A$29:$A$35,1)),INDEX(Report_Scenarios!$C$29:$C$35,MATCH(MEDIAN($B13-Conversion!$B$16,2020,2050),Report_Scenarios!$A$29:$A$35,1)),INDEX(Report_Scenarios!$C$29:$C$35,MATCH(MEDIAN($B13-Conversion!$B$16,2020,2050),Report_Scenarios!$A$29:$A$35,1))+(INDEX(Report_Scenarios!$C$29:$C$35,MIN(MATCH(MEDIAN($B13-Conversion!$B$16,2020,2050),Report_Scenarios!$A$29:$A$35,1)+1,7))-INDEX(Report_Scenarios!$C$29:$C$35,MATCH(MEDIAN($B13-Conversion!$B$16,2020,2050),Report_Scenarios!$A$29:$A$35,1)))*(MEDIAN($B13-Conversion!$B$16,2020,2050)-INDEX(Report_Scenarios!$A$29:$A$35,MATCH(MEDIAN($B13-Conversion!$B$16,2020,2050),Report_Scenarios!$A$29:$A$35,1)))/(INDEX(Report_Scenarios!$A$29:$A$35,MIN(MATCH(MEDIAN($B13-Conversion!$B$16,2020,2050),Report_Scenarios!$A$29:$A$35,1)+1,7))-INDEX(Report_Scenarios!$A$29:$A$35,MATCH(MEDIAN($B13-Conversion!$B$16,2020,2050),Report_Scenarios!$A$29:$A$35,1))))))</f>
        <v/>
      </c>
      <c r="G13" s="23">
        <f>IF($D13="Conservative",IF(INDEX(Report_Scenarios!$A$7:$A$13,MIN(MATCH(MEDIAN($B13-Conversion!$B$16,2020,2050),Report_Scenarios!$A$7:$A$13,1)+1,7))=INDEX(Report_Scenarios!$A$7:$A$13,MATCH(MEDIAN($B13-Conversion!$B$16,2020,2050),Report_Scenarios!$A$7:$A$13,1)),INDEX(Report_Scenarios!$D$7:$D$13,MATCH(MEDIAN($B13-Conversion!$B$16,2020,2050),Report_Scenarios!$A$7:$A$13,1)),INDEX(Report_Scenarios!$D$7:$D$13,MATCH(MEDIAN($B13-Conversion!$B$16,2020,2050),Report_Scenarios!$A$7:$A$13,1))+(INDEX(Report_Scenarios!$D$7:$D$13,MIN(MATCH(MEDIAN($B13-Conversion!$B$16,2020,2050),Report_Scenarios!$A$7:$A$13,1)+1,7))-INDEX(Report_Scenarios!$D$7:$D$13,MATCH(MEDIAN($B13-Conversion!$B$16,2020,2050),Report_Scenarios!$A$7:$A$13,1)))*(MEDIAN($B13-Conversion!$B$16,2020,2050)-INDEX(Report_Scenarios!$A$7:$A$13,MATCH(MEDIAN($B13-Conversion!$B$16,2020,2050),Report_Scenarios!$A$7:$A$13,1)))/(INDEX(Report_Scenarios!$A$7:$A$13,MIN(MATCH(MEDIAN($B13-Conversion!$B$16,2020,2050),Report_Scenarios!$A$7:$A$13,1)+1,7))-INDEX(Report_Scenarios!$A$7:$A$13,MATCH(MEDIAN($B13-Conversion!$B$16,2020,2050),Report_Scenarios!$A$7:$A$13,1)))),IF($D13="Central",IF(INDEX(Report_Scenarios!$A$18:$A$24,MIN(MATCH(MEDIAN($B13-Conversion!$B$16,2020,2050),Report_Scenarios!$A$18:$A$24,1)+1,7))=INDEX(Report_Scenarios!$A$18:$A$24,MATCH(MEDIAN($B13-Conversion!$B$16,2020,2050),Report_Scenarios!$A$18:$A$24,1)),INDEX(Report_Scenarios!$D$18:$D$24,MATCH(MEDIAN($B13-Conversion!$B$16,2020,2050),Report_Scenarios!$A$18:$A$24,1)),INDEX(Report_Scenarios!$D$18:$D$24,MATCH(MEDIAN($B13-Conversion!$B$16,2020,2050),Report_Scenarios!$A$18:$A$24,1))+(INDEX(Report_Scenarios!$D$18:$D$24,MIN(MATCH(MEDIAN($B13-Conversion!$B$16,2020,2050),Report_Scenarios!$A$18:$A$24,1)+1,7))-INDEX(Report_Scenarios!$D$18:$D$24,MATCH(MEDIAN($B13-Conversion!$B$16,2020,2050),Report_Scenarios!$A$18:$A$24,1)))*(MEDIAN($B13-Conversion!$B$16,2020,2050)-INDEX(Report_Scenarios!$A$18:$A$24,MATCH(MEDIAN($B13-Conversion!$B$16,2020,2050),Report_Scenarios!$A$18:$A$24,1)))/(INDEX(Report_Scenarios!$A$18:$A$24,MIN(MATCH(MEDIAN($B13-Conversion!$B$16,2020,2050),Report_Scenarios!$A$18:$A$24,1)+1,7))-INDEX(Report_Scenarios!$A$18:$A$24,MATCH(MEDIAN($B13-Conversion!$B$16,2020,2050),Report_Scenarios!$A$18:$A$24,1)))),IF(INDEX(Report_Scenarios!$A$29:$A$35,MIN(MATCH(MEDIAN($B13-Conversion!$B$16,2020,2050),Report_Scenarios!$A$29:$A$35,1)+1,7))=INDEX(Report_Scenarios!$A$29:$A$35,MATCH(MEDIAN($B13-Conversion!$B$16,2020,2050),Report_Scenarios!$A$29:$A$35,1)),INDEX(Report_Scenarios!$D$29:$D$35,MATCH(MEDIAN($B13-Conversion!$B$16,2020,2050),Report_Scenarios!$A$29:$A$35,1)),INDEX(Report_Scenarios!$D$29:$D$35,MATCH(MEDIAN($B13-Conversion!$B$16,2020,2050),Report_Scenarios!$A$29:$A$35,1))+(INDEX(Report_Scenarios!$D$29:$D$35,MIN(MATCH(MEDIAN($B13-Conversion!$B$16,2020,2050),Report_Scenarios!$A$29:$A$35,1)+1,7))-INDEX(Report_Scenarios!$D$29:$D$35,MATCH(MEDIAN($B13-Conversion!$B$16,2020,2050),Report_Scenarios!$A$29:$A$35,1)))*(MEDIAN($B13-Conversion!$B$16,2020,2050)-INDEX(Report_Scenarios!$A$29:$A$35,MATCH(MEDIAN($B13-Conversion!$B$16,2020,2050),Report_Scenarios!$A$29:$A$35,1)))/(INDEX(Report_Scenarios!$A$29:$A$35,MIN(MATCH(MEDIAN($B13-Conversion!$B$16,2020,2050),Report_Scenarios!$A$29:$A$35,1)+1,7))-INDEX(Report_Scenarios!$A$29:$A$35,MATCH(MEDIAN($B13-Conversion!$B$16,2020,2050),Report_Scenarios!$A$29:$A$35,1))))))</f>
        <v/>
      </c>
      <c r="H13" s="23">
        <f>IF($D13="Conservative",IF(INDEX(Report_Scenarios!$A$7:$A$13,MIN(MATCH(MEDIAN($B13-Conversion!$B$16,2020,2050),Report_Scenarios!$A$7:$A$13,1)+1,7))=INDEX(Report_Scenarios!$A$7:$A$13,MATCH(MEDIAN($B13-Conversion!$B$16,2020,2050),Report_Scenarios!$A$7:$A$13,1)),INDEX(Report_Scenarios!$E$7:$E$13,MATCH(MEDIAN($B13-Conversion!$B$16,2020,2050),Report_Scenarios!$A$7:$A$13,1)),INDEX(Report_Scenarios!$E$7:$E$13,MATCH(MEDIAN($B13-Conversion!$B$16,2020,2050),Report_Scenarios!$A$7:$A$13,1))+(INDEX(Report_Scenarios!$E$7:$E$13,MIN(MATCH(MEDIAN($B13-Conversion!$B$16,2020,2050),Report_Scenarios!$A$7:$A$13,1)+1,7))-INDEX(Report_Scenarios!$E$7:$E$13,MATCH(MEDIAN($B13-Conversion!$B$16,2020,2050),Report_Scenarios!$A$7:$A$13,1)))*(MEDIAN($B13-Conversion!$B$16,2020,2050)-INDEX(Report_Scenarios!$A$7:$A$13,MATCH(MEDIAN($B13-Conversion!$B$16,2020,2050),Report_Scenarios!$A$7:$A$13,1)))/(INDEX(Report_Scenarios!$A$7:$A$13,MIN(MATCH(MEDIAN($B13-Conversion!$B$16,2020,2050),Report_Scenarios!$A$7:$A$13,1)+1,7))-INDEX(Report_Scenarios!$A$7:$A$13,MATCH(MEDIAN($B13-Conversion!$B$16,2020,2050),Report_Scenarios!$A$7:$A$13,1)))),IF($D13="Central",IF(INDEX(Report_Scenarios!$A$18:$A$24,MIN(MATCH(MEDIAN($B13-Conversion!$B$16,2020,2050),Report_Scenarios!$A$18:$A$24,1)+1,7))=INDEX(Report_Scenarios!$A$18:$A$24,MATCH(MEDIAN($B13-Conversion!$B$16,2020,2050),Report_Scenarios!$A$18:$A$24,1)),INDEX(Report_Scenarios!$E$18:$E$24,MATCH(MEDIAN($B13-Conversion!$B$16,2020,2050),Report_Scenarios!$A$18:$A$24,1)),INDEX(Report_Scenarios!$E$18:$E$24,MATCH(MEDIAN($B13-Conversion!$B$16,2020,2050),Report_Scenarios!$A$18:$A$24,1))+(INDEX(Report_Scenarios!$E$18:$E$24,MIN(MATCH(MEDIAN($B13-Conversion!$B$16,2020,2050),Report_Scenarios!$A$18:$A$24,1)+1,7))-INDEX(Report_Scenarios!$E$18:$E$24,MATCH(MEDIAN($B13-Conversion!$B$16,2020,2050),Report_Scenarios!$A$18:$A$24,1)))*(MEDIAN($B13-Conversion!$B$16,2020,2050)-INDEX(Report_Scenarios!$A$18:$A$24,MATCH(MEDIAN($B13-Conversion!$B$16,2020,2050),Report_Scenarios!$A$18:$A$24,1)))/(INDEX(Report_Scenarios!$A$18:$A$24,MIN(MATCH(MEDIAN($B13-Conversion!$B$16,2020,2050),Report_Scenarios!$A$18:$A$24,1)+1,7))-INDEX(Report_Scenarios!$A$18:$A$24,MATCH(MEDIAN($B13-Conversion!$B$16,2020,2050),Report_Scenarios!$A$18:$A$24,1)))),IF(INDEX(Report_Scenarios!$A$29:$A$35,MIN(MATCH(MEDIAN($B13-Conversion!$B$16,2020,2050),Report_Scenarios!$A$29:$A$35,1)+1,7))=INDEX(Report_Scenarios!$A$29:$A$35,MATCH(MEDIAN($B13-Conversion!$B$16,2020,2050),Report_Scenarios!$A$29:$A$35,1)),INDEX(Report_Scenarios!$E$29:$E$35,MATCH(MEDIAN($B13-Conversion!$B$16,2020,2050),Report_Scenarios!$A$29:$A$35,1)),INDEX(Report_Scenarios!$E$29:$E$35,MATCH(MEDIAN($B13-Conversion!$B$16,2020,2050),Report_Scenarios!$A$29:$A$35,1))+(INDEX(Report_Scenarios!$E$29:$E$35,MIN(MATCH(MEDIAN($B13-Conversion!$B$16,2020,2050),Report_Scenarios!$A$29:$A$35,1)+1,7))-INDEX(Report_Scenarios!$E$29:$E$35,MATCH(MEDIAN($B13-Conversion!$B$16,2020,2050),Report_Scenarios!$A$29:$A$35,1)))*(MEDIAN($B13-Conversion!$B$16,2020,2050)-INDEX(Report_Scenarios!$A$29:$A$35,MATCH(MEDIAN($B13-Conversion!$B$16,2020,2050),Report_Scenarios!$A$29:$A$35,1)))/(INDEX(Report_Scenarios!$A$29:$A$35,MIN(MATCH(MEDIAN($B13-Conversion!$B$16,2020,2050),Report_Scenarios!$A$29:$A$35,1)+1,7))-INDEX(Report_Scenarios!$A$29:$A$35,MATCH(MEDIAN($B13-Conversion!$B$16,2020,2050),Report_Scenarios!$A$29:$A$35,1))))))</f>
        <v/>
      </c>
      <c r="I13" s="23">
        <f>IF($D13="Conservative",IF(INDEX(Report_Scenarios!$A$7:$A$13,MIN(MATCH(MEDIAN($B13-Conversion!$B$16,2020,2050),Report_Scenarios!$A$7:$A$13,1)+1,7))=INDEX(Report_Scenarios!$A$7:$A$13,MATCH(MEDIAN($B13-Conversion!$B$16,2020,2050),Report_Scenarios!$A$7:$A$13,1)),INDEX(Report_Scenarios!$F$7:$F$13,MATCH(MEDIAN($B13-Conversion!$B$16,2020,2050),Report_Scenarios!$A$7:$A$13,1)),INDEX(Report_Scenarios!$F$7:$F$13,MATCH(MEDIAN($B13-Conversion!$B$16,2020,2050),Report_Scenarios!$A$7:$A$13,1))+(INDEX(Report_Scenarios!$F$7:$F$13,MIN(MATCH(MEDIAN($B13-Conversion!$B$16,2020,2050),Report_Scenarios!$A$7:$A$13,1)+1,7))-INDEX(Report_Scenarios!$F$7:$F$13,MATCH(MEDIAN($B13-Conversion!$B$16,2020,2050),Report_Scenarios!$A$7:$A$13,1)))*(MEDIAN($B13-Conversion!$B$16,2020,2050)-INDEX(Report_Scenarios!$A$7:$A$13,MATCH(MEDIAN($B13-Conversion!$B$16,2020,2050),Report_Scenarios!$A$7:$A$13,1)))/(INDEX(Report_Scenarios!$A$7:$A$13,MIN(MATCH(MEDIAN($B13-Conversion!$B$16,2020,2050),Report_Scenarios!$A$7:$A$13,1)+1,7))-INDEX(Report_Scenarios!$A$7:$A$13,MATCH(MEDIAN($B13-Conversion!$B$16,2020,2050),Report_Scenarios!$A$7:$A$13,1)))),IF($D13="Central",IF(INDEX(Report_Scenarios!$A$18:$A$24,MIN(MATCH(MEDIAN($B13-Conversion!$B$16,2020,2050),Report_Scenarios!$A$18:$A$24,1)+1,7))=INDEX(Report_Scenarios!$A$18:$A$24,MATCH(MEDIAN($B13-Conversion!$B$16,2020,2050),Report_Scenarios!$A$18:$A$24,1)),INDEX(Report_Scenarios!$F$18:$F$24,MATCH(MEDIAN($B13-Conversion!$B$16,2020,2050),Report_Scenarios!$A$18:$A$24,1)),INDEX(Report_Scenarios!$F$18:$F$24,MATCH(MEDIAN($B13-Conversion!$B$16,2020,2050),Report_Scenarios!$A$18:$A$24,1))+(INDEX(Report_Scenarios!$F$18:$F$24,MIN(MATCH(MEDIAN($B13-Conversion!$B$16,2020,2050),Report_Scenarios!$A$18:$A$24,1)+1,7))-INDEX(Report_Scenarios!$F$18:$F$24,MATCH(MEDIAN($B13-Conversion!$B$16,2020,2050),Report_Scenarios!$A$18:$A$24,1)))*(MEDIAN($B13-Conversion!$B$16,2020,2050)-INDEX(Report_Scenarios!$A$18:$A$24,MATCH(MEDIAN($B13-Conversion!$B$16,2020,2050),Report_Scenarios!$A$18:$A$24,1)))/(INDEX(Report_Scenarios!$A$18:$A$24,MIN(MATCH(MEDIAN($B13-Conversion!$B$16,2020,2050),Report_Scenarios!$A$18:$A$24,1)+1,7))-INDEX(Report_Scenarios!$A$18:$A$24,MATCH(MEDIAN($B13-Conversion!$B$16,2020,2050),Report_Scenarios!$A$18:$A$24,1)))),IF(INDEX(Report_Scenarios!$A$29:$A$35,MIN(MATCH(MEDIAN($B13-Conversion!$B$16,2020,2050),Report_Scenarios!$A$29:$A$35,1)+1,7))=INDEX(Report_Scenarios!$A$29:$A$35,MATCH(MEDIAN($B13-Conversion!$B$16,2020,2050),Report_Scenarios!$A$29:$A$35,1)),INDEX(Report_Scenarios!$F$29:$F$35,MATCH(MEDIAN($B13-Conversion!$B$16,2020,2050),Report_Scenarios!$A$29:$A$35,1)),INDEX(Report_Scenarios!$F$29:$F$35,MATCH(MEDIAN($B13-Conversion!$B$16,2020,2050),Report_Scenarios!$A$29:$A$35,1))+(INDEX(Report_Scenarios!$F$29:$F$35,MIN(MATCH(MEDIAN($B13-Conversion!$B$16,2020,2050),Report_Scenarios!$A$29:$A$35,1)+1,7))-INDEX(Report_Scenarios!$F$29:$F$35,MATCH(MEDIAN($B13-Conversion!$B$16,2020,2050),Report_Scenarios!$A$29:$A$35,1)))*(MEDIAN($B13-Conversion!$B$16,2020,2050)-INDEX(Report_Scenarios!$A$29:$A$35,MATCH(MEDIAN($B13-Conversion!$B$16,2020,2050),Report_Scenarios!$A$29:$A$35,1)))/(INDEX(Report_Scenarios!$A$29:$A$35,MIN(MATCH(MEDIAN($B13-Conversion!$B$16,2020,2050),Report_Scenarios!$A$29:$A$35,1)+1,7))-INDEX(Report_Scenarios!$A$29:$A$35,MATCH(MEDIAN($B13-Conversion!$B$16,2020,2050),Report_Scenarios!$A$29:$A$35,1))))))</f>
        <v/>
      </c>
      <c r="J13" s="23">
        <f>IF($D13="Conservative",IF(INDEX(Report_Scenarios!$A$7:$A$13,MIN(MATCH(MEDIAN($B13-Conversion!$B$16,2020,2050),Report_Scenarios!$A$7:$A$13,1)+1,7))=INDEX(Report_Scenarios!$A$7:$A$13,MATCH(MEDIAN($B13-Conversion!$B$16,2020,2050),Report_Scenarios!$A$7:$A$13,1)),INDEX(Report_Scenarios!$G$7:$G$13,MATCH(MEDIAN($B13-Conversion!$B$16,2020,2050),Report_Scenarios!$A$7:$A$13,1)),INDEX(Report_Scenarios!$G$7:$G$13,MATCH(MEDIAN($B13-Conversion!$B$16,2020,2050),Report_Scenarios!$A$7:$A$13,1))+(INDEX(Report_Scenarios!$G$7:$G$13,MIN(MATCH(MEDIAN($B13-Conversion!$B$16,2020,2050),Report_Scenarios!$A$7:$A$13,1)+1,7))-INDEX(Report_Scenarios!$G$7:$G$13,MATCH(MEDIAN($B13-Conversion!$B$16,2020,2050),Report_Scenarios!$A$7:$A$13,1)))*(MEDIAN($B13-Conversion!$B$16,2020,2050)-INDEX(Report_Scenarios!$A$7:$A$13,MATCH(MEDIAN($B13-Conversion!$B$16,2020,2050),Report_Scenarios!$A$7:$A$13,1)))/(INDEX(Report_Scenarios!$A$7:$A$13,MIN(MATCH(MEDIAN($B13-Conversion!$B$16,2020,2050),Report_Scenarios!$A$7:$A$13,1)+1,7))-INDEX(Report_Scenarios!$A$7:$A$13,MATCH(MEDIAN($B13-Conversion!$B$16,2020,2050),Report_Scenarios!$A$7:$A$13,1)))),IF($D13="Central",IF(INDEX(Report_Scenarios!$A$18:$A$24,MIN(MATCH(MEDIAN($B13-Conversion!$B$16,2020,2050),Report_Scenarios!$A$18:$A$24,1)+1,7))=INDEX(Report_Scenarios!$A$18:$A$24,MATCH(MEDIAN($B13-Conversion!$B$16,2020,2050),Report_Scenarios!$A$18:$A$24,1)),INDEX(Report_Scenarios!$G$18:$G$24,MATCH(MEDIAN($B13-Conversion!$B$16,2020,2050),Report_Scenarios!$A$18:$A$24,1)),INDEX(Report_Scenarios!$G$18:$G$24,MATCH(MEDIAN($B13-Conversion!$B$16,2020,2050),Report_Scenarios!$A$18:$A$24,1))+(INDEX(Report_Scenarios!$G$18:$G$24,MIN(MATCH(MEDIAN($B13-Conversion!$B$16,2020,2050),Report_Scenarios!$A$18:$A$24,1)+1,7))-INDEX(Report_Scenarios!$G$18:$G$24,MATCH(MEDIAN($B13-Conversion!$B$16,2020,2050),Report_Scenarios!$A$18:$A$24,1)))*(MEDIAN($B13-Conversion!$B$16,2020,2050)-INDEX(Report_Scenarios!$A$18:$A$24,MATCH(MEDIAN($B13-Conversion!$B$16,2020,2050),Report_Scenarios!$A$18:$A$24,1)))/(INDEX(Report_Scenarios!$A$18:$A$24,MIN(MATCH(MEDIAN($B13-Conversion!$B$16,2020,2050),Report_Scenarios!$A$18:$A$24,1)+1,7))-INDEX(Report_Scenarios!$A$18:$A$24,MATCH(MEDIAN($B13-Conversion!$B$16,2020,2050),Report_Scenarios!$A$18:$A$24,1)))),IF(INDEX(Report_Scenarios!$A$29:$A$35,MIN(MATCH(MEDIAN($B13-Conversion!$B$16,2020,2050),Report_Scenarios!$A$29:$A$35,1)+1,7))=INDEX(Report_Scenarios!$A$29:$A$35,MATCH(MEDIAN($B13-Conversion!$B$16,2020,2050),Report_Scenarios!$A$29:$A$35,1)),INDEX(Report_Scenarios!$G$29:$G$35,MATCH(MEDIAN($B13-Conversion!$B$16,2020,2050),Report_Scenarios!$A$29:$A$35,1)),INDEX(Report_Scenarios!$G$29:$G$35,MATCH(MEDIAN($B13-Conversion!$B$16,2020,2050),Report_Scenarios!$A$29:$A$35,1))+(INDEX(Report_Scenarios!$G$29:$G$35,MIN(MATCH(MEDIAN($B13-Conversion!$B$16,2020,2050),Report_Scenarios!$A$29:$A$35,1)+1,7))-INDEX(Report_Scenarios!$G$29:$G$35,MATCH(MEDIAN($B13-Conversion!$B$16,2020,2050),Report_Scenarios!$A$29:$A$35,1)))*(MEDIAN($B13-Conversion!$B$16,2020,2050)-INDEX(Report_Scenarios!$A$29:$A$35,MATCH(MEDIAN($B13-Conversion!$B$16,2020,2050),Report_Scenarios!$A$29:$A$35,1)))/(INDEX(Report_Scenarios!$A$29:$A$35,MIN(MATCH(MEDIAN($B13-Conversion!$B$16,2020,2050),Report_Scenarios!$A$29:$A$35,1)+1,7))-INDEX(Report_Scenarios!$A$29:$A$35,MATCH(MEDIAN($B13-Conversion!$B$16,2020,2050),Report_Scenarios!$A$29:$A$35,1))))))</f>
        <v/>
      </c>
      <c r="K13" s="23">
        <f>SUM(E13:J13)</f>
        <v/>
      </c>
      <c r="L13" s="23">
        <f>IF(R13&lt;&gt;"",R13,IF($K13=0,0,E13/$K13))</f>
        <v/>
      </c>
      <c r="M13" s="23">
        <f>IF(S13&lt;&gt;"",S13,IF($K13=0,0,F13/$K13))</f>
        <v/>
      </c>
      <c r="N13" s="23">
        <f>IF(T13&lt;&gt;"",T13,IF($K13=0,0,G13/$K13))</f>
        <v/>
      </c>
      <c r="O13" s="23">
        <f>IF(U13&lt;&gt;"",U13,IF($K13=0,0,H13/$K13))</f>
        <v/>
      </c>
      <c r="P13" s="23">
        <f>IF(V13&lt;&gt;"",V13,IF($K13=0,0,I13/$K13))</f>
        <v/>
      </c>
      <c r="Q13" s="23">
        <f>IF(W13&lt;&gt;"",W13,IF($K13=0,0,J13/$K13))</f>
        <v/>
      </c>
      <c r="R13" s="24" t="n"/>
      <c r="S13" s="24" t="n"/>
      <c r="T13" s="24" t="n"/>
      <c r="U13" s="24" t="n"/>
      <c r="V13" s="24" t="n"/>
      <c r="W13" s="24" t="n"/>
    </row>
    <row r="14">
      <c r="A14" s="4" t="inlineStr">
        <is>
          <t>AB</t>
        </is>
      </c>
      <c r="B14" s="4" t="n">
        <v>2035</v>
      </c>
      <c r="C14" s="4" t="inlineStr">
        <is>
          <t>Share_Min</t>
        </is>
      </c>
      <c r="D14" s="4">
        <f>Conversion!$B$18</f>
        <v/>
      </c>
      <c r="E14" s="23">
        <f>IF($D14="Conservative",IF(INDEX(Report_Scenarios!$A$7:$A$13,MIN(MATCH(MEDIAN($B14-Conversion!$B$16,2020,2050),Report_Scenarios!$A$7:$A$13,1)+1,7))=INDEX(Report_Scenarios!$A$7:$A$13,MATCH(MEDIAN($B14-Conversion!$B$16,2020,2050),Report_Scenarios!$A$7:$A$13,1)),INDEX(Report_Scenarios!$B$7:$B$13,MATCH(MEDIAN($B14-Conversion!$B$16,2020,2050),Report_Scenarios!$A$7:$A$13,1)),INDEX(Report_Scenarios!$B$7:$B$13,MATCH(MEDIAN($B14-Conversion!$B$16,2020,2050),Report_Scenarios!$A$7:$A$13,1))+(INDEX(Report_Scenarios!$B$7:$B$13,MIN(MATCH(MEDIAN($B14-Conversion!$B$16,2020,2050),Report_Scenarios!$A$7:$A$13,1)+1,7))-INDEX(Report_Scenarios!$B$7:$B$13,MATCH(MEDIAN($B14-Conversion!$B$16,2020,2050),Report_Scenarios!$A$7:$A$13,1)))*(MEDIAN($B14-Conversion!$B$16,2020,2050)-INDEX(Report_Scenarios!$A$7:$A$13,MATCH(MEDIAN($B14-Conversion!$B$16,2020,2050),Report_Scenarios!$A$7:$A$13,1)))/(INDEX(Report_Scenarios!$A$7:$A$13,MIN(MATCH(MEDIAN($B14-Conversion!$B$16,2020,2050),Report_Scenarios!$A$7:$A$13,1)+1,7))-INDEX(Report_Scenarios!$A$7:$A$13,MATCH(MEDIAN($B14-Conversion!$B$16,2020,2050),Report_Scenarios!$A$7:$A$13,1)))),IF($D14="Central",IF(INDEX(Report_Scenarios!$A$18:$A$24,MIN(MATCH(MEDIAN($B14-Conversion!$B$16,2020,2050),Report_Scenarios!$A$18:$A$24,1)+1,7))=INDEX(Report_Scenarios!$A$18:$A$24,MATCH(MEDIAN($B14-Conversion!$B$16,2020,2050),Report_Scenarios!$A$18:$A$24,1)),INDEX(Report_Scenarios!$B$18:$B$24,MATCH(MEDIAN($B14-Conversion!$B$16,2020,2050),Report_Scenarios!$A$18:$A$24,1)),INDEX(Report_Scenarios!$B$18:$B$24,MATCH(MEDIAN($B14-Conversion!$B$16,2020,2050),Report_Scenarios!$A$18:$A$24,1))+(INDEX(Report_Scenarios!$B$18:$B$24,MIN(MATCH(MEDIAN($B14-Conversion!$B$16,2020,2050),Report_Scenarios!$A$18:$A$24,1)+1,7))-INDEX(Report_Scenarios!$B$18:$B$24,MATCH(MEDIAN($B14-Conversion!$B$16,2020,2050),Report_Scenarios!$A$18:$A$24,1)))*(MEDIAN($B14-Conversion!$B$16,2020,2050)-INDEX(Report_Scenarios!$A$18:$A$24,MATCH(MEDIAN($B14-Conversion!$B$16,2020,2050),Report_Scenarios!$A$18:$A$24,1)))/(INDEX(Report_Scenarios!$A$18:$A$24,MIN(MATCH(MEDIAN($B14-Conversion!$B$16,2020,2050),Report_Scenarios!$A$18:$A$24,1)+1,7))-INDEX(Report_Scenarios!$A$18:$A$24,MATCH(MEDIAN($B14-Conversion!$B$16,2020,2050),Report_Scenarios!$A$18:$A$24,1)))),IF(INDEX(Report_Scenarios!$A$29:$A$35,MIN(MATCH(MEDIAN($B14-Conversion!$B$16,2020,2050),Report_Scenarios!$A$29:$A$35,1)+1,7))=INDEX(Report_Scenarios!$A$29:$A$35,MATCH(MEDIAN($B14-Conversion!$B$16,2020,2050),Report_Scenarios!$A$29:$A$35,1)),INDEX(Report_Scenarios!$B$29:$B$35,MATCH(MEDIAN($B14-Conversion!$B$16,2020,2050),Report_Scenarios!$A$29:$A$35,1)),INDEX(Report_Scenarios!$B$29:$B$35,MATCH(MEDIAN($B14-Conversion!$B$16,2020,2050),Report_Scenarios!$A$29:$A$35,1))+(INDEX(Report_Scenarios!$B$29:$B$35,MIN(MATCH(MEDIAN($B14-Conversion!$B$16,2020,2050),Report_Scenarios!$A$29:$A$35,1)+1,7))-INDEX(Report_Scenarios!$B$29:$B$35,MATCH(MEDIAN($B14-Conversion!$B$16,2020,2050),Report_Scenarios!$A$29:$A$35,1)))*(MEDIAN($B14-Conversion!$B$16,2020,2050)-INDEX(Report_Scenarios!$A$29:$A$35,MATCH(MEDIAN($B14-Conversion!$B$16,2020,2050),Report_Scenarios!$A$29:$A$35,1)))/(INDEX(Report_Scenarios!$A$29:$A$35,MIN(MATCH(MEDIAN($B14-Conversion!$B$16,2020,2050),Report_Scenarios!$A$29:$A$35,1)+1,7))-INDEX(Report_Scenarios!$A$29:$A$35,MATCH(MEDIAN($B14-Conversion!$B$16,2020,2050),Report_Scenarios!$A$29:$A$35,1))))))</f>
        <v/>
      </c>
      <c r="F14" s="23">
        <f>IF($D14="Conservative",IF(INDEX(Report_Scenarios!$A$7:$A$13,MIN(MATCH(MEDIAN($B14-Conversion!$B$16,2020,2050),Report_Scenarios!$A$7:$A$13,1)+1,7))=INDEX(Report_Scenarios!$A$7:$A$13,MATCH(MEDIAN($B14-Conversion!$B$16,2020,2050),Report_Scenarios!$A$7:$A$13,1)),INDEX(Report_Scenarios!$C$7:$C$13,MATCH(MEDIAN($B14-Conversion!$B$16,2020,2050),Report_Scenarios!$A$7:$A$13,1)),INDEX(Report_Scenarios!$C$7:$C$13,MATCH(MEDIAN($B14-Conversion!$B$16,2020,2050),Report_Scenarios!$A$7:$A$13,1))+(INDEX(Report_Scenarios!$C$7:$C$13,MIN(MATCH(MEDIAN($B14-Conversion!$B$16,2020,2050),Report_Scenarios!$A$7:$A$13,1)+1,7))-INDEX(Report_Scenarios!$C$7:$C$13,MATCH(MEDIAN($B14-Conversion!$B$16,2020,2050),Report_Scenarios!$A$7:$A$13,1)))*(MEDIAN($B14-Conversion!$B$16,2020,2050)-INDEX(Report_Scenarios!$A$7:$A$13,MATCH(MEDIAN($B14-Conversion!$B$16,2020,2050),Report_Scenarios!$A$7:$A$13,1)))/(INDEX(Report_Scenarios!$A$7:$A$13,MIN(MATCH(MEDIAN($B14-Conversion!$B$16,2020,2050),Report_Scenarios!$A$7:$A$13,1)+1,7))-INDEX(Report_Scenarios!$A$7:$A$13,MATCH(MEDIAN($B14-Conversion!$B$16,2020,2050),Report_Scenarios!$A$7:$A$13,1)))),IF($D14="Central",IF(INDEX(Report_Scenarios!$A$18:$A$24,MIN(MATCH(MEDIAN($B14-Conversion!$B$16,2020,2050),Report_Scenarios!$A$18:$A$24,1)+1,7))=INDEX(Report_Scenarios!$A$18:$A$24,MATCH(MEDIAN($B14-Conversion!$B$16,2020,2050),Report_Scenarios!$A$18:$A$24,1)),INDEX(Report_Scenarios!$C$18:$C$24,MATCH(MEDIAN($B14-Conversion!$B$16,2020,2050),Report_Scenarios!$A$18:$A$24,1)),INDEX(Report_Scenarios!$C$18:$C$24,MATCH(MEDIAN($B14-Conversion!$B$16,2020,2050),Report_Scenarios!$A$18:$A$24,1))+(INDEX(Report_Scenarios!$C$18:$C$24,MIN(MATCH(MEDIAN($B14-Conversion!$B$16,2020,2050),Report_Scenarios!$A$18:$A$24,1)+1,7))-INDEX(Report_Scenarios!$C$18:$C$24,MATCH(MEDIAN($B14-Conversion!$B$16,2020,2050),Report_Scenarios!$A$18:$A$24,1)))*(MEDIAN($B14-Conversion!$B$16,2020,2050)-INDEX(Report_Scenarios!$A$18:$A$24,MATCH(MEDIAN($B14-Conversion!$B$16,2020,2050),Report_Scenarios!$A$18:$A$24,1)))/(INDEX(Report_Scenarios!$A$18:$A$24,MIN(MATCH(MEDIAN($B14-Conversion!$B$16,2020,2050),Report_Scenarios!$A$18:$A$24,1)+1,7))-INDEX(Report_Scenarios!$A$18:$A$24,MATCH(MEDIAN($B14-Conversion!$B$16,2020,2050),Report_Scenarios!$A$18:$A$24,1)))),IF(INDEX(Report_Scenarios!$A$29:$A$35,MIN(MATCH(MEDIAN($B14-Conversion!$B$16,2020,2050),Report_Scenarios!$A$29:$A$35,1)+1,7))=INDEX(Report_Scenarios!$A$29:$A$35,MATCH(MEDIAN($B14-Conversion!$B$16,2020,2050),Report_Scenarios!$A$29:$A$35,1)),INDEX(Report_Scenarios!$C$29:$C$35,MATCH(MEDIAN($B14-Conversion!$B$16,2020,2050),Report_Scenarios!$A$29:$A$35,1)),INDEX(Report_Scenarios!$C$29:$C$35,MATCH(MEDIAN($B14-Conversion!$B$16,2020,2050),Report_Scenarios!$A$29:$A$35,1))+(INDEX(Report_Scenarios!$C$29:$C$35,MIN(MATCH(MEDIAN($B14-Conversion!$B$16,2020,2050),Report_Scenarios!$A$29:$A$35,1)+1,7))-INDEX(Report_Scenarios!$C$29:$C$35,MATCH(MEDIAN($B14-Conversion!$B$16,2020,2050),Report_Scenarios!$A$29:$A$35,1)))*(MEDIAN($B14-Conversion!$B$16,2020,2050)-INDEX(Report_Scenarios!$A$29:$A$35,MATCH(MEDIAN($B14-Conversion!$B$16,2020,2050),Report_Scenarios!$A$29:$A$35,1)))/(INDEX(Report_Scenarios!$A$29:$A$35,MIN(MATCH(MEDIAN($B14-Conversion!$B$16,2020,2050),Report_Scenarios!$A$29:$A$35,1)+1,7))-INDEX(Report_Scenarios!$A$29:$A$35,MATCH(MEDIAN($B14-Conversion!$B$16,2020,2050),Report_Scenarios!$A$29:$A$35,1))))))</f>
        <v/>
      </c>
      <c r="G14" s="23">
        <f>IF($D14="Conservative",IF(INDEX(Report_Scenarios!$A$7:$A$13,MIN(MATCH(MEDIAN($B14-Conversion!$B$16,2020,2050),Report_Scenarios!$A$7:$A$13,1)+1,7))=INDEX(Report_Scenarios!$A$7:$A$13,MATCH(MEDIAN($B14-Conversion!$B$16,2020,2050),Report_Scenarios!$A$7:$A$13,1)),INDEX(Report_Scenarios!$D$7:$D$13,MATCH(MEDIAN($B14-Conversion!$B$16,2020,2050),Report_Scenarios!$A$7:$A$13,1)),INDEX(Report_Scenarios!$D$7:$D$13,MATCH(MEDIAN($B14-Conversion!$B$16,2020,2050),Report_Scenarios!$A$7:$A$13,1))+(INDEX(Report_Scenarios!$D$7:$D$13,MIN(MATCH(MEDIAN($B14-Conversion!$B$16,2020,2050),Report_Scenarios!$A$7:$A$13,1)+1,7))-INDEX(Report_Scenarios!$D$7:$D$13,MATCH(MEDIAN($B14-Conversion!$B$16,2020,2050),Report_Scenarios!$A$7:$A$13,1)))*(MEDIAN($B14-Conversion!$B$16,2020,2050)-INDEX(Report_Scenarios!$A$7:$A$13,MATCH(MEDIAN($B14-Conversion!$B$16,2020,2050),Report_Scenarios!$A$7:$A$13,1)))/(INDEX(Report_Scenarios!$A$7:$A$13,MIN(MATCH(MEDIAN($B14-Conversion!$B$16,2020,2050),Report_Scenarios!$A$7:$A$13,1)+1,7))-INDEX(Report_Scenarios!$A$7:$A$13,MATCH(MEDIAN($B14-Conversion!$B$16,2020,2050),Report_Scenarios!$A$7:$A$13,1)))),IF($D14="Central",IF(INDEX(Report_Scenarios!$A$18:$A$24,MIN(MATCH(MEDIAN($B14-Conversion!$B$16,2020,2050),Report_Scenarios!$A$18:$A$24,1)+1,7))=INDEX(Report_Scenarios!$A$18:$A$24,MATCH(MEDIAN($B14-Conversion!$B$16,2020,2050),Report_Scenarios!$A$18:$A$24,1)),INDEX(Report_Scenarios!$D$18:$D$24,MATCH(MEDIAN($B14-Conversion!$B$16,2020,2050),Report_Scenarios!$A$18:$A$24,1)),INDEX(Report_Scenarios!$D$18:$D$24,MATCH(MEDIAN($B14-Conversion!$B$16,2020,2050),Report_Scenarios!$A$18:$A$24,1))+(INDEX(Report_Scenarios!$D$18:$D$24,MIN(MATCH(MEDIAN($B14-Conversion!$B$16,2020,2050),Report_Scenarios!$A$18:$A$24,1)+1,7))-INDEX(Report_Scenarios!$D$18:$D$24,MATCH(MEDIAN($B14-Conversion!$B$16,2020,2050),Report_Scenarios!$A$18:$A$24,1)))*(MEDIAN($B14-Conversion!$B$16,2020,2050)-INDEX(Report_Scenarios!$A$18:$A$24,MATCH(MEDIAN($B14-Conversion!$B$16,2020,2050),Report_Scenarios!$A$18:$A$24,1)))/(INDEX(Report_Scenarios!$A$18:$A$24,MIN(MATCH(MEDIAN($B14-Conversion!$B$16,2020,2050),Report_Scenarios!$A$18:$A$24,1)+1,7))-INDEX(Report_Scenarios!$A$18:$A$24,MATCH(MEDIAN($B14-Conversion!$B$16,2020,2050),Report_Scenarios!$A$18:$A$24,1)))),IF(INDEX(Report_Scenarios!$A$29:$A$35,MIN(MATCH(MEDIAN($B14-Conversion!$B$16,2020,2050),Report_Scenarios!$A$29:$A$35,1)+1,7))=INDEX(Report_Scenarios!$A$29:$A$35,MATCH(MEDIAN($B14-Conversion!$B$16,2020,2050),Report_Scenarios!$A$29:$A$35,1)),INDEX(Report_Scenarios!$D$29:$D$35,MATCH(MEDIAN($B14-Conversion!$B$16,2020,2050),Report_Scenarios!$A$29:$A$35,1)),INDEX(Report_Scenarios!$D$29:$D$35,MATCH(MEDIAN($B14-Conversion!$B$16,2020,2050),Report_Scenarios!$A$29:$A$35,1))+(INDEX(Report_Scenarios!$D$29:$D$35,MIN(MATCH(MEDIAN($B14-Conversion!$B$16,2020,2050),Report_Scenarios!$A$29:$A$35,1)+1,7))-INDEX(Report_Scenarios!$D$29:$D$35,MATCH(MEDIAN($B14-Conversion!$B$16,2020,2050),Report_Scenarios!$A$29:$A$35,1)))*(MEDIAN($B14-Conversion!$B$16,2020,2050)-INDEX(Report_Scenarios!$A$29:$A$35,MATCH(MEDIAN($B14-Conversion!$B$16,2020,2050),Report_Scenarios!$A$29:$A$35,1)))/(INDEX(Report_Scenarios!$A$29:$A$35,MIN(MATCH(MEDIAN($B14-Conversion!$B$16,2020,2050),Report_Scenarios!$A$29:$A$35,1)+1,7))-INDEX(Report_Scenarios!$A$29:$A$35,MATCH(MEDIAN($B14-Conversion!$B$16,2020,2050),Report_Scenarios!$A$29:$A$35,1))))))</f>
        <v/>
      </c>
      <c r="H14" s="23">
        <f>IF($D14="Conservative",IF(INDEX(Report_Scenarios!$A$7:$A$13,MIN(MATCH(MEDIAN($B14-Conversion!$B$16,2020,2050),Report_Scenarios!$A$7:$A$13,1)+1,7))=INDEX(Report_Scenarios!$A$7:$A$13,MATCH(MEDIAN($B14-Conversion!$B$16,2020,2050),Report_Scenarios!$A$7:$A$13,1)),INDEX(Report_Scenarios!$E$7:$E$13,MATCH(MEDIAN($B14-Conversion!$B$16,2020,2050),Report_Scenarios!$A$7:$A$13,1)),INDEX(Report_Scenarios!$E$7:$E$13,MATCH(MEDIAN($B14-Conversion!$B$16,2020,2050),Report_Scenarios!$A$7:$A$13,1))+(INDEX(Report_Scenarios!$E$7:$E$13,MIN(MATCH(MEDIAN($B14-Conversion!$B$16,2020,2050),Report_Scenarios!$A$7:$A$13,1)+1,7))-INDEX(Report_Scenarios!$E$7:$E$13,MATCH(MEDIAN($B14-Conversion!$B$16,2020,2050),Report_Scenarios!$A$7:$A$13,1)))*(MEDIAN($B14-Conversion!$B$16,2020,2050)-INDEX(Report_Scenarios!$A$7:$A$13,MATCH(MEDIAN($B14-Conversion!$B$16,2020,2050),Report_Scenarios!$A$7:$A$13,1)))/(INDEX(Report_Scenarios!$A$7:$A$13,MIN(MATCH(MEDIAN($B14-Conversion!$B$16,2020,2050),Report_Scenarios!$A$7:$A$13,1)+1,7))-INDEX(Report_Scenarios!$A$7:$A$13,MATCH(MEDIAN($B14-Conversion!$B$16,2020,2050),Report_Scenarios!$A$7:$A$13,1)))),IF($D14="Central",IF(INDEX(Report_Scenarios!$A$18:$A$24,MIN(MATCH(MEDIAN($B14-Conversion!$B$16,2020,2050),Report_Scenarios!$A$18:$A$24,1)+1,7))=INDEX(Report_Scenarios!$A$18:$A$24,MATCH(MEDIAN($B14-Conversion!$B$16,2020,2050),Report_Scenarios!$A$18:$A$24,1)),INDEX(Report_Scenarios!$E$18:$E$24,MATCH(MEDIAN($B14-Conversion!$B$16,2020,2050),Report_Scenarios!$A$18:$A$24,1)),INDEX(Report_Scenarios!$E$18:$E$24,MATCH(MEDIAN($B14-Conversion!$B$16,2020,2050),Report_Scenarios!$A$18:$A$24,1))+(INDEX(Report_Scenarios!$E$18:$E$24,MIN(MATCH(MEDIAN($B14-Conversion!$B$16,2020,2050),Report_Scenarios!$A$18:$A$24,1)+1,7))-INDEX(Report_Scenarios!$E$18:$E$24,MATCH(MEDIAN($B14-Conversion!$B$16,2020,2050),Report_Scenarios!$A$18:$A$24,1)))*(MEDIAN($B14-Conversion!$B$16,2020,2050)-INDEX(Report_Scenarios!$A$18:$A$24,MATCH(MEDIAN($B14-Conversion!$B$16,2020,2050),Report_Scenarios!$A$18:$A$24,1)))/(INDEX(Report_Scenarios!$A$18:$A$24,MIN(MATCH(MEDIAN($B14-Conversion!$B$16,2020,2050),Report_Scenarios!$A$18:$A$24,1)+1,7))-INDEX(Report_Scenarios!$A$18:$A$24,MATCH(MEDIAN($B14-Conversion!$B$16,2020,2050),Report_Scenarios!$A$18:$A$24,1)))),IF(INDEX(Report_Scenarios!$A$29:$A$35,MIN(MATCH(MEDIAN($B14-Conversion!$B$16,2020,2050),Report_Scenarios!$A$29:$A$35,1)+1,7))=INDEX(Report_Scenarios!$A$29:$A$35,MATCH(MEDIAN($B14-Conversion!$B$16,2020,2050),Report_Scenarios!$A$29:$A$35,1)),INDEX(Report_Scenarios!$E$29:$E$35,MATCH(MEDIAN($B14-Conversion!$B$16,2020,2050),Report_Scenarios!$A$29:$A$35,1)),INDEX(Report_Scenarios!$E$29:$E$35,MATCH(MEDIAN($B14-Conversion!$B$16,2020,2050),Report_Scenarios!$A$29:$A$35,1))+(INDEX(Report_Scenarios!$E$29:$E$35,MIN(MATCH(MEDIAN($B14-Conversion!$B$16,2020,2050),Report_Scenarios!$A$29:$A$35,1)+1,7))-INDEX(Report_Scenarios!$E$29:$E$35,MATCH(MEDIAN($B14-Conversion!$B$16,2020,2050),Report_Scenarios!$A$29:$A$35,1)))*(MEDIAN($B14-Conversion!$B$16,2020,2050)-INDEX(Report_Scenarios!$A$29:$A$35,MATCH(MEDIAN($B14-Conversion!$B$16,2020,2050),Report_Scenarios!$A$29:$A$35,1)))/(INDEX(Report_Scenarios!$A$29:$A$35,MIN(MATCH(MEDIAN($B14-Conversion!$B$16,2020,2050),Report_Scenarios!$A$29:$A$35,1)+1,7))-INDEX(Report_Scenarios!$A$29:$A$35,MATCH(MEDIAN($B14-Conversion!$B$16,2020,2050),Report_Scenarios!$A$29:$A$35,1))))))</f>
        <v/>
      </c>
      <c r="I14" s="23">
        <f>IF($D14="Conservative",IF(INDEX(Report_Scenarios!$A$7:$A$13,MIN(MATCH(MEDIAN($B14-Conversion!$B$16,2020,2050),Report_Scenarios!$A$7:$A$13,1)+1,7))=INDEX(Report_Scenarios!$A$7:$A$13,MATCH(MEDIAN($B14-Conversion!$B$16,2020,2050),Report_Scenarios!$A$7:$A$13,1)),INDEX(Report_Scenarios!$F$7:$F$13,MATCH(MEDIAN($B14-Conversion!$B$16,2020,2050),Report_Scenarios!$A$7:$A$13,1)),INDEX(Report_Scenarios!$F$7:$F$13,MATCH(MEDIAN($B14-Conversion!$B$16,2020,2050),Report_Scenarios!$A$7:$A$13,1))+(INDEX(Report_Scenarios!$F$7:$F$13,MIN(MATCH(MEDIAN($B14-Conversion!$B$16,2020,2050),Report_Scenarios!$A$7:$A$13,1)+1,7))-INDEX(Report_Scenarios!$F$7:$F$13,MATCH(MEDIAN($B14-Conversion!$B$16,2020,2050),Report_Scenarios!$A$7:$A$13,1)))*(MEDIAN($B14-Conversion!$B$16,2020,2050)-INDEX(Report_Scenarios!$A$7:$A$13,MATCH(MEDIAN($B14-Conversion!$B$16,2020,2050),Report_Scenarios!$A$7:$A$13,1)))/(INDEX(Report_Scenarios!$A$7:$A$13,MIN(MATCH(MEDIAN($B14-Conversion!$B$16,2020,2050),Report_Scenarios!$A$7:$A$13,1)+1,7))-INDEX(Report_Scenarios!$A$7:$A$13,MATCH(MEDIAN($B14-Conversion!$B$16,2020,2050),Report_Scenarios!$A$7:$A$13,1)))),IF($D14="Central",IF(INDEX(Report_Scenarios!$A$18:$A$24,MIN(MATCH(MEDIAN($B14-Conversion!$B$16,2020,2050),Report_Scenarios!$A$18:$A$24,1)+1,7))=INDEX(Report_Scenarios!$A$18:$A$24,MATCH(MEDIAN($B14-Conversion!$B$16,2020,2050),Report_Scenarios!$A$18:$A$24,1)),INDEX(Report_Scenarios!$F$18:$F$24,MATCH(MEDIAN($B14-Conversion!$B$16,2020,2050),Report_Scenarios!$A$18:$A$24,1)),INDEX(Report_Scenarios!$F$18:$F$24,MATCH(MEDIAN($B14-Conversion!$B$16,2020,2050),Report_Scenarios!$A$18:$A$24,1))+(INDEX(Report_Scenarios!$F$18:$F$24,MIN(MATCH(MEDIAN($B14-Conversion!$B$16,2020,2050),Report_Scenarios!$A$18:$A$24,1)+1,7))-INDEX(Report_Scenarios!$F$18:$F$24,MATCH(MEDIAN($B14-Conversion!$B$16,2020,2050),Report_Scenarios!$A$18:$A$24,1)))*(MEDIAN($B14-Conversion!$B$16,2020,2050)-INDEX(Report_Scenarios!$A$18:$A$24,MATCH(MEDIAN($B14-Conversion!$B$16,2020,2050),Report_Scenarios!$A$18:$A$24,1)))/(INDEX(Report_Scenarios!$A$18:$A$24,MIN(MATCH(MEDIAN($B14-Conversion!$B$16,2020,2050),Report_Scenarios!$A$18:$A$24,1)+1,7))-INDEX(Report_Scenarios!$A$18:$A$24,MATCH(MEDIAN($B14-Conversion!$B$16,2020,2050),Report_Scenarios!$A$18:$A$24,1)))),IF(INDEX(Report_Scenarios!$A$29:$A$35,MIN(MATCH(MEDIAN($B14-Conversion!$B$16,2020,2050),Report_Scenarios!$A$29:$A$35,1)+1,7))=INDEX(Report_Scenarios!$A$29:$A$35,MATCH(MEDIAN($B14-Conversion!$B$16,2020,2050),Report_Scenarios!$A$29:$A$35,1)),INDEX(Report_Scenarios!$F$29:$F$35,MATCH(MEDIAN($B14-Conversion!$B$16,2020,2050),Report_Scenarios!$A$29:$A$35,1)),INDEX(Report_Scenarios!$F$29:$F$35,MATCH(MEDIAN($B14-Conversion!$B$16,2020,2050),Report_Scenarios!$A$29:$A$35,1))+(INDEX(Report_Scenarios!$F$29:$F$35,MIN(MATCH(MEDIAN($B14-Conversion!$B$16,2020,2050),Report_Scenarios!$A$29:$A$35,1)+1,7))-INDEX(Report_Scenarios!$F$29:$F$35,MATCH(MEDIAN($B14-Conversion!$B$16,2020,2050),Report_Scenarios!$A$29:$A$35,1)))*(MEDIAN($B14-Conversion!$B$16,2020,2050)-INDEX(Report_Scenarios!$A$29:$A$35,MATCH(MEDIAN($B14-Conversion!$B$16,2020,2050),Report_Scenarios!$A$29:$A$35,1)))/(INDEX(Report_Scenarios!$A$29:$A$35,MIN(MATCH(MEDIAN($B14-Conversion!$B$16,2020,2050),Report_Scenarios!$A$29:$A$35,1)+1,7))-INDEX(Report_Scenarios!$A$29:$A$35,MATCH(MEDIAN($B14-Conversion!$B$16,2020,2050),Report_Scenarios!$A$29:$A$35,1))))))</f>
        <v/>
      </c>
      <c r="J14" s="23">
        <f>IF($D14="Conservative",IF(INDEX(Report_Scenarios!$A$7:$A$13,MIN(MATCH(MEDIAN($B14-Conversion!$B$16,2020,2050),Report_Scenarios!$A$7:$A$13,1)+1,7))=INDEX(Report_Scenarios!$A$7:$A$13,MATCH(MEDIAN($B14-Conversion!$B$16,2020,2050),Report_Scenarios!$A$7:$A$13,1)),INDEX(Report_Scenarios!$G$7:$G$13,MATCH(MEDIAN($B14-Conversion!$B$16,2020,2050),Report_Scenarios!$A$7:$A$13,1)),INDEX(Report_Scenarios!$G$7:$G$13,MATCH(MEDIAN($B14-Conversion!$B$16,2020,2050),Report_Scenarios!$A$7:$A$13,1))+(INDEX(Report_Scenarios!$G$7:$G$13,MIN(MATCH(MEDIAN($B14-Conversion!$B$16,2020,2050),Report_Scenarios!$A$7:$A$13,1)+1,7))-INDEX(Report_Scenarios!$G$7:$G$13,MATCH(MEDIAN($B14-Conversion!$B$16,2020,2050),Report_Scenarios!$A$7:$A$13,1)))*(MEDIAN($B14-Conversion!$B$16,2020,2050)-INDEX(Report_Scenarios!$A$7:$A$13,MATCH(MEDIAN($B14-Conversion!$B$16,2020,2050),Report_Scenarios!$A$7:$A$13,1)))/(INDEX(Report_Scenarios!$A$7:$A$13,MIN(MATCH(MEDIAN($B14-Conversion!$B$16,2020,2050),Report_Scenarios!$A$7:$A$13,1)+1,7))-INDEX(Report_Scenarios!$A$7:$A$13,MATCH(MEDIAN($B14-Conversion!$B$16,2020,2050),Report_Scenarios!$A$7:$A$13,1)))),IF($D14="Central",IF(INDEX(Report_Scenarios!$A$18:$A$24,MIN(MATCH(MEDIAN($B14-Conversion!$B$16,2020,2050),Report_Scenarios!$A$18:$A$24,1)+1,7))=INDEX(Report_Scenarios!$A$18:$A$24,MATCH(MEDIAN($B14-Conversion!$B$16,2020,2050),Report_Scenarios!$A$18:$A$24,1)),INDEX(Report_Scenarios!$G$18:$G$24,MATCH(MEDIAN($B14-Conversion!$B$16,2020,2050),Report_Scenarios!$A$18:$A$24,1)),INDEX(Report_Scenarios!$G$18:$G$24,MATCH(MEDIAN($B14-Conversion!$B$16,2020,2050),Report_Scenarios!$A$18:$A$24,1))+(INDEX(Report_Scenarios!$G$18:$G$24,MIN(MATCH(MEDIAN($B14-Conversion!$B$16,2020,2050),Report_Scenarios!$A$18:$A$24,1)+1,7))-INDEX(Report_Scenarios!$G$18:$G$24,MATCH(MEDIAN($B14-Conversion!$B$16,2020,2050),Report_Scenarios!$A$18:$A$24,1)))*(MEDIAN($B14-Conversion!$B$16,2020,2050)-INDEX(Report_Scenarios!$A$18:$A$24,MATCH(MEDIAN($B14-Conversion!$B$16,2020,2050),Report_Scenarios!$A$18:$A$24,1)))/(INDEX(Report_Scenarios!$A$18:$A$24,MIN(MATCH(MEDIAN($B14-Conversion!$B$16,2020,2050),Report_Scenarios!$A$18:$A$24,1)+1,7))-INDEX(Report_Scenarios!$A$18:$A$24,MATCH(MEDIAN($B14-Conversion!$B$16,2020,2050),Report_Scenarios!$A$18:$A$24,1)))),IF(INDEX(Report_Scenarios!$A$29:$A$35,MIN(MATCH(MEDIAN($B14-Conversion!$B$16,2020,2050),Report_Scenarios!$A$29:$A$35,1)+1,7))=INDEX(Report_Scenarios!$A$29:$A$35,MATCH(MEDIAN($B14-Conversion!$B$16,2020,2050),Report_Scenarios!$A$29:$A$35,1)),INDEX(Report_Scenarios!$G$29:$G$35,MATCH(MEDIAN($B14-Conversion!$B$16,2020,2050),Report_Scenarios!$A$29:$A$35,1)),INDEX(Report_Scenarios!$G$29:$G$35,MATCH(MEDIAN($B14-Conversion!$B$16,2020,2050),Report_Scenarios!$A$29:$A$35,1))+(INDEX(Report_Scenarios!$G$29:$G$35,MIN(MATCH(MEDIAN($B14-Conversion!$B$16,2020,2050),Report_Scenarios!$A$29:$A$35,1)+1,7))-INDEX(Report_Scenarios!$G$29:$G$35,MATCH(MEDIAN($B14-Conversion!$B$16,2020,2050),Report_Scenarios!$A$29:$A$35,1)))*(MEDIAN($B14-Conversion!$B$16,2020,2050)-INDEX(Report_Scenarios!$A$29:$A$35,MATCH(MEDIAN($B14-Conversion!$B$16,2020,2050),Report_Scenarios!$A$29:$A$35,1)))/(INDEX(Report_Scenarios!$A$29:$A$35,MIN(MATCH(MEDIAN($B14-Conversion!$B$16,2020,2050),Report_Scenarios!$A$29:$A$35,1)+1,7))-INDEX(Report_Scenarios!$A$29:$A$35,MATCH(MEDIAN($B14-Conversion!$B$16,2020,2050),Report_Scenarios!$A$29:$A$35,1))))))</f>
        <v/>
      </c>
      <c r="K14" s="23">
        <f>SUM(E14:J14)</f>
        <v/>
      </c>
      <c r="L14" s="23">
        <f>IF(R14&lt;&gt;"",R14,IF($K14=0,0,E14/$K14))</f>
        <v/>
      </c>
      <c r="M14" s="23">
        <f>IF(S14&lt;&gt;"",S14,IF($K14=0,0,F14/$K14))</f>
        <v/>
      </c>
      <c r="N14" s="23">
        <f>IF(T14&lt;&gt;"",T14,IF($K14=0,0,G14/$K14))</f>
        <v/>
      </c>
      <c r="O14" s="23">
        <f>IF(U14&lt;&gt;"",U14,IF($K14=0,0,H14/$K14))</f>
        <v/>
      </c>
      <c r="P14" s="23">
        <f>IF(V14&lt;&gt;"",V14,IF($K14=0,0,I14/$K14))</f>
        <v/>
      </c>
      <c r="Q14" s="23">
        <f>IF(W14&lt;&gt;"",W14,IF($K14=0,0,J14/$K14))</f>
        <v/>
      </c>
      <c r="R14" s="24" t="n"/>
      <c r="S14" s="24" t="n"/>
      <c r="T14" s="24" t="n"/>
      <c r="U14" s="24" t="n"/>
      <c r="V14" s="24" t="n"/>
      <c r="W14" s="24" t="n"/>
    </row>
    <row r="15">
      <c r="A15" s="4" t="inlineStr">
        <is>
          <t>AB</t>
        </is>
      </c>
      <c r="B15" s="4" t="n">
        <v>2035</v>
      </c>
      <c r="C15" s="4" t="inlineStr">
        <is>
          <t>Share_Mode</t>
        </is>
      </c>
      <c r="D15" s="4">
        <f>Conversion!$B$19</f>
        <v/>
      </c>
      <c r="E15" s="23">
        <f>IF($D15="Conservative",IF(INDEX(Report_Scenarios!$A$7:$A$13,MIN(MATCH(MEDIAN($B15-Conversion!$B$16,2020,2050),Report_Scenarios!$A$7:$A$13,1)+1,7))=INDEX(Report_Scenarios!$A$7:$A$13,MATCH(MEDIAN($B15-Conversion!$B$16,2020,2050),Report_Scenarios!$A$7:$A$13,1)),INDEX(Report_Scenarios!$B$7:$B$13,MATCH(MEDIAN($B15-Conversion!$B$16,2020,2050),Report_Scenarios!$A$7:$A$13,1)),INDEX(Report_Scenarios!$B$7:$B$13,MATCH(MEDIAN($B15-Conversion!$B$16,2020,2050),Report_Scenarios!$A$7:$A$13,1))+(INDEX(Report_Scenarios!$B$7:$B$13,MIN(MATCH(MEDIAN($B15-Conversion!$B$16,2020,2050),Report_Scenarios!$A$7:$A$13,1)+1,7))-INDEX(Report_Scenarios!$B$7:$B$13,MATCH(MEDIAN($B15-Conversion!$B$16,2020,2050),Report_Scenarios!$A$7:$A$13,1)))*(MEDIAN($B15-Conversion!$B$16,2020,2050)-INDEX(Report_Scenarios!$A$7:$A$13,MATCH(MEDIAN($B15-Conversion!$B$16,2020,2050),Report_Scenarios!$A$7:$A$13,1)))/(INDEX(Report_Scenarios!$A$7:$A$13,MIN(MATCH(MEDIAN($B15-Conversion!$B$16,2020,2050),Report_Scenarios!$A$7:$A$13,1)+1,7))-INDEX(Report_Scenarios!$A$7:$A$13,MATCH(MEDIAN($B15-Conversion!$B$16,2020,2050),Report_Scenarios!$A$7:$A$13,1)))),IF($D15="Central",IF(INDEX(Report_Scenarios!$A$18:$A$24,MIN(MATCH(MEDIAN($B15-Conversion!$B$16,2020,2050),Report_Scenarios!$A$18:$A$24,1)+1,7))=INDEX(Report_Scenarios!$A$18:$A$24,MATCH(MEDIAN($B15-Conversion!$B$16,2020,2050),Report_Scenarios!$A$18:$A$24,1)),INDEX(Report_Scenarios!$B$18:$B$24,MATCH(MEDIAN($B15-Conversion!$B$16,2020,2050),Report_Scenarios!$A$18:$A$24,1)),INDEX(Report_Scenarios!$B$18:$B$24,MATCH(MEDIAN($B15-Conversion!$B$16,2020,2050),Report_Scenarios!$A$18:$A$24,1))+(INDEX(Report_Scenarios!$B$18:$B$24,MIN(MATCH(MEDIAN($B15-Conversion!$B$16,2020,2050),Report_Scenarios!$A$18:$A$24,1)+1,7))-INDEX(Report_Scenarios!$B$18:$B$24,MATCH(MEDIAN($B15-Conversion!$B$16,2020,2050),Report_Scenarios!$A$18:$A$24,1)))*(MEDIAN($B15-Conversion!$B$16,2020,2050)-INDEX(Report_Scenarios!$A$18:$A$24,MATCH(MEDIAN($B15-Conversion!$B$16,2020,2050),Report_Scenarios!$A$18:$A$24,1)))/(INDEX(Report_Scenarios!$A$18:$A$24,MIN(MATCH(MEDIAN($B15-Conversion!$B$16,2020,2050),Report_Scenarios!$A$18:$A$24,1)+1,7))-INDEX(Report_Scenarios!$A$18:$A$24,MATCH(MEDIAN($B15-Conversion!$B$16,2020,2050),Report_Scenarios!$A$18:$A$24,1)))),IF(INDEX(Report_Scenarios!$A$29:$A$35,MIN(MATCH(MEDIAN($B15-Conversion!$B$16,2020,2050),Report_Scenarios!$A$29:$A$35,1)+1,7))=INDEX(Report_Scenarios!$A$29:$A$35,MATCH(MEDIAN($B15-Conversion!$B$16,2020,2050),Report_Scenarios!$A$29:$A$35,1)),INDEX(Report_Scenarios!$B$29:$B$35,MATCH(MEDIAN($B15-Conversion!$B$16,2020,2050),Report_Scenarios!$A$29:$A$35,1)),INDEX(Report_Scenarios!$B$29:$B$35,MATCH(MEDIAN($B15-Conversion!$B$16,2020,2050),Report_Scenarios!$A$29:$A$35,1))+(INDEX(Report_Scenarios!$B$29:$B$35,MIN(MATCH(MEDIAN($B15-Conversion!$B$16,2020,2050),Report_Scenarios!$A$29:$A$35,1)+1,7))-INDEX(Report_Scenarios!$B$29:$B$35,MATCH(MEDIAN($B15-Conversion!$B$16,2020,2050),Report_Scenarios!$A$29:$A$35,1)))*(MEDIAN($B15-Conversion!$B$16,2020,2050)-INDEX(Report_Scenarios!$A$29:$A$35,MATCH(MEDIAN($B15-Conversion!$B$16,2020,2050),Report_Scenarios!$A$29:$A$35,1)))/(INDEX(Report_Scenarios!$A$29:$A$35,MIN(MATCH(MEDIAN($B15-Conversion!$B$16,2020,2050),Report_Scenarios!$A$29:$A$35,1)+1,7))-INDEX(Report_Scenarios!$A$29:$A$35,MATCH(MEDIAN($B15-Conversion!$B$16,2020,2050),Report_Scenarios!$A$29:$A$35,1))))))</f>
        <v/>
      </c>
      <c r="F15" s="23">
        <f>IF($D15="Conservative",IF(INDEX(Report_Scenarios!$A$7:$A$13,MIN(MATCH(MEDIAN($B15-Conversion!$B$16,2020,2050),Report_Scenarios!$A$7:$A$13,1)+1,7))=INDEX(Report_Scenarios!$A$7:$A$13,MATCH(MEDIAN($B15-Conversion!$B$16,2020,2050),Report_Scenarios!$A$7:$A$13,1)),INDEX(Report_Scenarios!$C$7:$C$13,MATCH(MEDIAN($B15-Conversion!$B$16,2020,2050),Report_Scenarios!$A$7:$A$13,1)),INDEX(Report_Scenarios!$C$7:$C$13,MATCH(MEDIAN($B15-Conversion!$B$16,2020,2050),Report_Scenarios!$A$7:$A$13,1))+(INDEX(Report_Scenarios!$C$7:$C$13,MIN(MATCH(MEDIAN($B15-Conversion!$B$16,2020,2050),Report_Scenarios!$A$7:$A$13,1)+1,7))-INDEX(Report_Scenarios!$C$7:$C$13,MATCH(MEDIAN($B15-Conversion!$B$16,2020,2050),Report_Scenarios!$A$7:$A$13,1)))*(MEDIAN($B15-Conversion!$B$16,2020,2050)-INDEX(Report_Scenarios!$A$7:$A$13,MATCH(MEDIAN($B15-Conversion!$B$16,2020,2050),Report_Scenarios!$A$7:$A$13,1)))/(INDEX(Report_Scenarios!$A$7:$A$13,MIN(MATCH(MEDIAN($B15-Conversion!$B$16,2020,2050),Report_Scenarios!$A$7:$A$13,1)+1,7))-INDEX(Report_Scenarios!$A$7:$A$13,MATCH(MEDIAN($B15-Conversion!$B$16,2020,2050),Report_Scenarios!$A$7:$A$13,1)))),IF($D15="Central",IF(INDEX(Report_Scenarios!$A$18:$A$24,MIN(MATCH(MEDIAN($B15-Conversion!$B$16,2020,2050),Report_Scenarios!$A$18:$A$24,1)+1,7))=INDEX(Report_Scenarios!$A$18:$A$24,MATCH(MEDIAN($B15-Conversion!$B$16,2020,2050),Report_Scenarios!$A$18:$A$24,1)),INDEX(Report_Scenarios!$C$18:$C$24,MATCH(MEDIAN($B15-Conversion!$B$16,2020,2050),Report_Scenarios!$A$18:$A$24,1)),INDEX(Report_Scenarios!$C$18:$C$24,MATCH(MEDIAN($B15-Conversion!$B$16,2020,2050),Report_Scenarios!$A$18:$A$24,1))+(INDEX(Report_Scenarios!$C$18:$C$24,MIN(MATCH(MEDIAN($B15-Conversion!$B$16,2020,2050),Report_Scenarios!$A$18:$A$24,1)+1,7))-INDEX(Report_Scenarios!$C$18:$C$24,MATCH(MEDIAN($B15-Conversion!$B$16,2020,2050),Report_Scenarios!$A$18:$A$24,1)))*(MEDIAN($B15-Conversion!$B$16,2020,2050)-INDEX(Report_Scenarios!$A$18:$A$24,MATCH(MEDIAN($B15-Conversion!$B$16,2020,2050),Report_Scenarios!$A$18:$A$24,1)))/(INDEX(Report_Scenarios!$A$18:$A$24,MIN(MATCH(MEDIAN($B15-Conversion!$B$16,2020,2050),Report_Scenarios!$A$18:$A$24,1)+1,7))-INDEX(Report_Scenarios!$A$18:$A$24,MATCH(MEDIAN($B15-Conversion!$B$16,2020,2050),Report_Scenarios!$A$18:$A$24,1)))),IF(INDEX(Report_Scenarios!$A$29:$A$35,MIN(MATCH(MEDIAN($B15-Conversion!$B$16,2020,2050),Report_Scenarios!$A$29:$A$35,1)+1,7))=INDEX(Report_Scenarios!$A$29:$A$35,MATCH(MEDIAN($B15-Conversion!$B$16,2020,2050),Report_Scenarios!$A$29:$A$35,1)),INDEX(Report_Scenarios!$C$29:$C$35,MATCH(MEDIAN($B15-Conversion!$B$16,2020,2050),Report_Scenarios!$A$29:$A$35,1)),INDEX(Report_Scenarios!$C$29:$C$35,MATCH(MEDIAN($B15-Conversion!$B$16,2020,2050),Report_Scenarios!$A$29:$A$35,1))+(INDEX(Report_Scenarios!$C$29:$C$35,MIN(MATCH(MEDIAN($B15-Conversion!$B$16,2020,2050),Report_Scenarios!$A$29:$A$35,1)+1,7))-INDEX(Report_Scenarios!$C$29:$C$35,MATCH(MEDIAN($B15-Conversion!$B$16,2020,2050),Report_Scenarios!$A$29:$A$35,1)))*(MEDIAN($B15-Conversion!$B$16,2020,2050)-INDEX(Report_Scenarios!$A$29:$A$35,MATCH(MEDIAN($B15-Conversion!$B$16,2020,2050),Report_Scenarios!$A$29:$A$35,1)))/(INDEX(Report_Scenarios!$A$29:$A$35,MIN(MATCH(MEDIAN($B15-Conversion!$B$16,2020,2050),Report_Scenarios!$A$29:$A$35,1)+1,7))-INDEX(Report_Scenarios!$A$29:$A$35,MATCH(MEDIAN($B15-Conversion!$B$16,2020,2050),Report_Scenarios!$A$29:$A$35,1))))))</f>
        <v/>
      </c>
      <c r="G15" s="23">
        <f>IF($D15="Conservative",IF(INDEX(Report_Scenarios!$A$7:$A$13,MIN(MATCH(MEDIAN($B15-Conversion!$B$16,2020,2050),Report_Scenarios!$A$7:$A$13,1)+1,7))=INDEX(Report_Scenarios!$A$7:$A$13,MATCH(MEDIAN($B15-Conversion!$B$16,2020,2050),Report_Scenarios!$A$7:$A$13,1)),INDEX(Report_Scenarios!$D$7:$D$13,MATCH(MEDIAN($B15-Conversion!$B$16,2020,2050),Report_Scenarios!$A$7:$A$13,1)),INDEX(Report_Scenarios!$D$7:$D$13,MATCH(MEDIAN($B15-Conversion!$B$16,2020,2050),Report_Scenarios!$A$7:$A$13,1))+(INDEX(Report_Scenarios!$D$7:$D$13,MIN(MATCH(MEDIAN($B15-Conversion!$B$16,2020,2050),Report_Scenarios!$A$7:$A$13,1)+1,7))-INDEX(Report_Scenarios!$D$7:$D$13,MATCH(MEDIAN($B15-Conversion!$B$16,2020,2050),Report_Scenarios!$A$7:$A$13,1)))*(MEDIAN($B15-Conversion!$B$16,2020,2050)-INDEX(Report_Scenarios!$A$7:$A$13,MATCH(MEDIAN($B15-Conversion!$B$16,2020,2050),Report_Scenarios!$A$7:$A$13,1)))/(INDEX(Report_Scenarios!$A$7:$A$13,MIN(MATCH(MEDIAN($B15-Conversion!$B$16,2020,2050),Report_Scenarios!$A$7:$A$13,1)+1,7))-INDEX(Report_Scenarios!$A$7:$A$13,MATCH(MEDIAN($B15-Conversion!$B$16,2020,2050),Report_Scenarios!$A$7:$A$13,1)))),IF($D15="Central",IF(INDEX(Report_Scenarios!$A$18:$A$24,MIN(MATCH(MEDIAN($B15-Conversion!$B$16,2020,2050),Report_Scenarios!$A$18:$A$24,1)+1,7))=INDEX(Report_Scenarios!$A$18:$A$24,MATCH(MEDIAN($B15-Conversion!$B$16,2020,2050),Report_Scenarios!$A$18:$A$24,1)),INDEX(Report_Scenarios!$D$18:$D$24,MATCH(MEDIAN($B15-Conversion!$B$16,2020,2050),Report_Scenarios!$A$18:$A$24,1)),INDEX(Report_Scenarios!$D$18:$D$24,MATCH(MEDIAN($B15-Conversion!$B$16,2020,2050),Report_Scenarios!$A$18:$A$24,1))+(INDEX(Report_Scenarios!$D$18:$D$24,MIN(MATCH(MEDIAN($B15-Conversion!$B$16,2020,2050),Report_Scenarios!$A$18:$A$24,1)+1,7))-INDEX(Report_Scenarios!$D$18:$D$24,MATCH(MEDIAN($B15-Conversion!$B$16,2020,2050),Report_Scenarios!$A$18:$A$24,1)))*(MEDIAN($B15-Conversion!$B$16,2020,2050)-INDEX(Report_Scenarios!$A$18:$A$24,MATCH(MEDIAN($B15-Conversion!$B$16,2020,2050),Report_Scenarios!$A$18:$A$24,1)))/(INDEX(Report_Scenarios!$A$18:$A$24,MIN(MATCH(MEDIAN($B15-Conversion!$B$16,2020,2050),Report_Scenarios!$A$18:$A$24,1)+1,7))-INDEX(Report_Scenarios!$A$18:$A$24,MATCH(MEDIAN($B15-Conversion!$B$16,2020,2050),Report_Scenarios!$A$18:$A$24,1)))),IF(INDEX(Report_Scenarios!$A$29:$A$35,MIN(MATCH(MEDIAN($B15-Conversion!$B$16,2020,2050),Report_Scenarios!$A$29:$A$35,1)+1,7))=INDEX(Report_Scenarios!$A$29:$A$35,MATCH(MEDIAN($B15-Conversion!$B$16,2020,2050),Report_Scenarios!$A$29:$A$35,1)),INDEX(Report_Scenarios!$D$29:$D$35,MATCH(MEDIAN($B15-Conversion!$B$16,2020,2050),Report_Scenarios!$A$29:$A$35,1)),INDEX(Report_Scenarios!$D$29:$D$35,MATCH(MEDIAN($B15-Conversion!$B$16,2020,2050),Report_Scenarios!$A$29:$A$35,1))+(INDEX(Report_Scenarios!$D$29:$D$35,MIN(MATCH(MEDIAN($B15-Conversion!$B$16,2020,2050),Report_Scenarios!$A$29:$A$35,1)+1,7))-INDEX(Report_Scenarios!$D$29:$D$35,MATCH(MEDIAN($B15-Conversion!$B$16,2020,2050),Report_Scenarios!$A$29:$A$35,1)))*(MEDIAN($B15-Conversion!$B$16,2020,2050)-INDEX(Report_Scenarios!$A$29:$A$35,MATCH(MEDIAN($B15-Conversion!$B$16,2020,2050),Report_Scenarios!$A$29:$A$35,1)))/(INDEX(Report_Scenarios!$A$29:$A$35,MIN(MATCH(MEDIAN($B15-Conversion!$B$16,2020,2050),Report_Scenarios!$A$29:$A$35,1)+1,7))-INDEX(Report_Scenarios!$A$29:$A$35,MATCH(MEDIAN($B15-Conversion!$B$16,2020,2050),Report_Scenarios!$A$29:$A$35,1))))))</f>
        <v/>
      </c>
      <c r="H15" s="23">
        <f>IF($D15="Conservative",IF(INDEX(Report_Scenarios!$A$7:$A$13,MIN(MATCH(MEDIAN($B15-Conversion!$B$16,2020,2050),Report_Scenarios!$A$7:$A$13,1)+1,7))=INDEX(Report_Scenarios!$A$7:$A$13,MATCH(MEDIAN($B15-Conversion!$B$16,2020,2050),Report_Scenarios!$A$7:$A$13,1)),INDEX(Report_Scenarios!$E$7:$E$13,MATCH(MEDIAN($B15-Conversion!$B$16,2020,2050),Report_Scenarios!$A$7:$A$13,1)),INDEX(Report_Scenarios!$E$7:$E$13,MATCH(MEDIAN($B15-Conversion!$B$16,2020,2050),Report_Scenarios!$A$7:$A$13,1))+(INDEX(Report_Scenarios!$E$7:$E$13,MIN(MATCH(MEDIAN($B15-Conversion!$B$16,2020,2050),Report_Scenarios!$A$7:$A$13,1)+1,7))-INDEX(Report_Scenarios!$E$7:$E$13,MATCH(MEDIAN($B15-Conversion!$B$16,2020,2050),Report_Scenarios!$A$7:$A$13,1)))*(MEDIAN($B15-Conversion!$B$16,2020,2050)-INDEX(Report_Scenarios!$A$7:$A$13,MATCH(MEDIAN($B15-Conversion!$B$16,2020,2050),Report_Scenarios!$A$7:$A$13,1)))/(INDEX(Report_Scenarios!$A$7:$A$13,MIN(MATCH(MEDIAN($B15-Conversion!$B$16,2020,2050),Report_Scenarios!$A$7:$A$13,1)+1,7))-INDEX(Report_Scenarios!$A$7:$A$13,MATCH(MEDIAN($B15-Conversion!$B$16,2020,2050),Report_Scenarios!$A$7:$A$13,1)))),IF($D15="Central",IF(INDEX(Report_Scenarios!$A$18:$A$24,MIN(MATCH(MEDIAN($B15-Conversion!$B$16,2020,2050),Report_Scenarios!$A$18:$A$24,1)+1,7))=INDEX(Report_Scenarios!$A$18:$A$24,MATCH(MEDIAN($B15-Conversion!$B$16,2020,2050),Report_Scenarios!$A$18:$A$24,1)),INDEX(Report_Scenarios!$E$18:$E$24,MATCH(MEDIAN($B15-Conversion!$B$16,2020,2050),Report_Scenarios!$A$18:$A$24,1)),INDEX(Report_Scenarios!$E$18:$E$24,MATCH(MEDIAN($B15-Conversion!$B$16,2020,2050),Report_Scenarios!$A$18:$A$24,1))+(INDEX(Report_Scenarios!$E$18:$E$24,MIN(MATCH(MEDIAN($B15-Conversion!$B$16,2020,2050),Report_Scenarios!$A$18:$A$24,1)+1,7))-INDEX(Report_Scenarios!$E$18:$E$24,MATCH(MEDIAN($B15-Conversion!$B$16,2020,2050),Report_Scenarios!$A$18:$A$24,1)))*(MEDIAN($B15-Conversion!$B$16,2020,2050)-INDEX(Report_Scenarios!$A$18:$A$24,MATCH(MEDIAN($B15-Conversion!$B$16,2020,2050),Report_Scenarios!$A$18:$A$24,1)))/(INDEX(Report_Scenarios!$A$18:$A$24,MIN(MATCH(MEDIAN($B15-Conversion!$B$16,2020,2050),Report_Scenarios!$A$18:$A$24,1)+1,7))-INDEX(Report_Scenarios!$A$18:$A$24,MATCH(MEDIAN($B15-Conversion!$B$16,2020,2050),Report_Scenarios!$A$18:$A$24,1)))),IF(INDEX(Report_Scenarios!$A$29:$A$35,MIN(MATCH(MEDIAN($B15-Conversion!$B$16,2020,2050),Report_Scenarios!$A$29:$A$35,1)+1,7))=INDEX(Report_Scenarios!$A$29:$A$35,MATCH(MEDIAN($B15-Conversion!$B$16,2020,2050),Report_Scenarios!$A$29:$A$35,1)),INDEX(Report_Scenarios!$E$29:$E$35,MATCH(MEDIAN($B15-Conversion!$B$16,2020,2050),Report_Scenarios!$A$29:$A$35,1)),INDEX(Report_Scenarios!$E$29:$E$35,MATCH(MEDIAN($B15-Conversion!$B$16,2020,2050),Report_Scenarios!$A$29:$A$35,1))+(INDEX(Report_Scenarios!$E$29:$E$35,MIN(MATCH(MEDIAN($B15-Conversion!$B$16,2020,2050),Report_Scenarios!$A$29:$A$35,1)+1,7))-INDEX(Report_Scenarios!$E$29:$E$35,MATCH(MEDIAN($B15-Conversion!$B$16,2020,2050),Report_Scenarios!$A$29:$A$35,1)))*(MEDIAN($B15-Conversion!$B$16,2020,2050)-INDEX(Report_Scenarios!$A$29:$A$35,MATCH(MEDIAN($B15-Conversion!$B$16,2020,2050),Report_Scenarios!$A$29:$A$35,1)))/(INDEX(Report_Scenarios!$A$29:$A$35,MIN(MATCH(MEDIAN($B15-Conversion!$B$16,2020,2050),Report_Scenarios!$A$29:$A$35,1)+1,7))-INDEX(Report_Scenarios!$A$29:$A$35,MATCH(MEDIAN($B15-Conversion!$B$16,2020,2050),Report_Scenarios!$A$29:$A$35,1))))))</f>
        <v/>
      </c>
      <c r="I15" s="23">
        <f>IF($D15="Conservative",IF(INDEX(Report_Scenarios!$A$7:$A$13,MIN(MATCH(MEDIAN($B15-Conversion!$B$16,2020,2050),Report_Scenarios!$A$7:$A$13,1)+1,7))=INDEX(Report_Scenarios!$A$7:$A$13,MATCH(MEDIAN($B15-Conversion!$B$16,2020,2050),Report_Scenarios!$A$7:$A$13,1)),INDEX(Report_Scenarios!$F$7:$F$13,MATCH(MEDIAN($B15-Conversion!$B$16,2020,2050),Report_Scenarios!$A$7:$A$13,1)),INDEX(Report_Scenarios!$F$7:$F$13,MATCH(MEDIAN($B15-Conversion!$B$16,2020,2050),Report_Scenarios!$A$7:$A$13,1))+(INDEX(Report_Scenarios!$F$7:$F$13,MIN(MATCH(MEDIAN($B15-Conversion!$B$16,2020,2050),Report_Scenarios!$A$7:$A$13,1)+1,7))-INDEX(Report_Scenarios!$F$7:$F$13,MATCH(MEDIAN($B15-Conversion!$B$16,2020,2050),Report_Scenarios!$A$7:$A$13,1)))*(MEDIAN($B15-Conversion!$B$16,2020,2050)-INDEX(Report_Scenarios!$A$7:$A$13,MATCH(MEDIAN($B15-Conversion!$B$16,2020,2050),Report_Scenarios!$A$7:$A$13,1)))/(INDEX(Report_Scenarios!$A$7:$A$13,MIN(MATCH(MEDIAN($B15-Conversion!$B$16,2020,2050),Report_Scenarios!$A$7:$A$13,1)+1,7))-INDEX(Report_Scenarios!$A$7:$A$13,MATCH(MEDIAN($B15-Conversion!$B$16,2020,2050),Report_Scenarios!$A$7:$A$13,1)))),IF($D15="Central",IF(INDEX(Report_Scenarios!$A$18:$A$24,MIN(MATCH(MEDIAN($B15-Conversion!$B$16,2020,2050),Report_Scenarios!$A$18:$A$24,1)+1,7))=INDEX(Report_Scenarios!$A$18:$A$24,MATCH(MEDIAN($B15-Conversion!$B$16,2020,2050),Report_Scenarios!$A$18:$A$24,1)),INDEX(Report_Scenarios!$F$18:$F$24,MATCH(MEDIAN($B15-Conversion!$B$16,2020,2050),Report_Scenarios!$A$18:$A$24,1)),INDEX(Report_Scenarios!$F$18:$F$24,MATCH(MEDIAN($B15-Conversion!$B$16,2020,2050),Report_Scenarios!$A$18:$A$24,1))+(INDEX(Report_Scenarios!$F$18:$F$24,MIN(MATCH(MEDIAN($B15-Conversion!$B$16,2020,2050),Report_Scenarios!$A$18:$A$24,1)+1,7))-INDEX(Report_Scenarios!$F$18:$F$24,MATCH(MEDIAN($B15-Conversion!$B$16,2020,2050),Report_Scenarios!$A$18:$A$24,1)))*(MEDIAN($B15-Conversion!$B$16,2020,2050)-INDEX(Report_Scenarios!$A$18:$A$24,MATCH(MEDIAN($B15-Conversion!$B$16,2020,2050),Report_Scenarios!$A$18:$A$24,1)))/(INDEX(Report_Scenarios!$A$18:$A$24,MIN(MATCH(MEDIAN($B15-Conversion!$B$16,2020,2050),Report_Scenarios!$A$18:$A$24,1)+1,7))-INDEX(Report_Scenarios!$A$18:$A$24,MATCH(MEDIAN($B15-Conversion!$B$16,2020,2050),Report_Scenarios!$A$18:$A$24,1)))),IF(INDEX(Report_Scenarios!$A$29:$A$35,MIN(MATCH(MEDIAN($B15-Conversion!$B$16,2020,2050),Report_Scenarios!$A$29:$A$35,1)+1,7))=INDEX(Report_Scenarios!$A$29:$A$35,MATCH(MEDIAN($B15-Conversion!$B$16,2020,2050),Report_Scenarios!$A$29:$A$35,1)),INDEX(Report_Scenarios!$F$29:$F$35,MATCH(MEDIAN($B15-Conversion!$B$16,2020,2050),Report_Scenarios!$A$29:$A$35,1)),INDEX(Report_Scenarios!$F$29:$F$35,MATCH(MEDIAN($B15-Conversion!$B$16,2020,2050),Report_Scenarios!$A$29:$A$35,1))+(INDEX(Report_Scenarios!$F$29:$F$35,MIN(MATCH(MEDIAN($B15-Conversion!$B$16,2020,2050),Report_Scenarios!$A$29:$A$35,1)+1,7))-INDEX(Report_Scenarios!$F$29:$F$35,MATCH(MEDIAN($B15-Conversion!$B$16,2020,2050),Report_Scenarios!$A$29:$A$35,1)))*(MEDIAN($B15-Conversion!$B$16,2020,2050)-INDEX(Report_Scenarios!$A$29:$A$35,MATCH(MEDIAN($B15-Conversion!$B$16,2020,2050),Report_Scenarios!$A$29:$A$35,1)))/(INDEX(Report_Scenarios!$A$29:$A$35,MIN(MATCH(MEDIAN($B15-Conversion!$B$16,2020,2050),Report_Scenarios!$A$29:$A$35,1)+1,7))-INDEX(Report_Scenarios!$A$29:$A$35,MATCH(MEDIAN($B15-Conversion!$B$16,2020,2050),Report_Scenarios!$A$29:$A$35,1))))))</f>
        <v/>
      </c>
      <c r="J15" s="23">
        <f>IF($D15="Conservative",IF(INDEX(Report_Scenarios!$A$7:$A$13,MIN(MATCH(MEDIAN($B15-Conversion!$B$16,2020,2050),Report_Scenarios!$A$7:$A$13,1)+1,7))=INDEX(Report_Scenarios!$A$7:$A$13,MATCH(MEDIAN($B15-Conversion!$B$16,2020,2050),Report_Scenarios!$A$7:$A$13,1)),INDEX(Report_Scenarios!$G$7:$G$13,MATCH(MEDIAN($B15-Conversion!$B$16,2020,2050),Report_Scenarios!$A$7:$A$13,1)),INDEX(Report_Scenarios!$G$7:$G$13,MATCH(MEDIAN($B15-Conversion!$B$16,2020,2050),Report_Scenarios!$A$7:$A$13,1))+(INDEX(Report_Scenarios!$G$7:$G$13,MIN(MATCH(MEDIAN($B15-Conversion!$B$16,2020,2050),Report_Scenarios!$A$7:$A$13,1)+1,7))-INDEX(Report_Scenarios!$G$7:$G$13,MATCH(MEDIAN($B15-Conversion!$B$16,2020,2050),Report_Scenarios!$A$7:$A$13,1)))*(MEDIAN($B15-Conversion!$B$16,2020,2050)-INDEX(Report_Scenarios!$A$7:$A$13,MATCH(MEDIAN($B15-Conversion!$B$16,2020,2050),Report_Scenarios!$A$7:$A$13,1)))/(INDEX(Report_Scenarios!$A$7:$A$13,MIN(MATCH(MEDIAN($B15-Conversion!$B$16,2020,2050),Report_Scenarios!$A$7:$A$13,1)+1,7))-INDEX(Report_Scenarios!$A$7:$A$13,MATCH(MEDIAN($B15-Conversion!$B$16,2020,2050),Report_Scenarios!$A$7:$A$13,1)))),IF($D15="Central",IF(INDEX(Report_Scenarios!$A$18:$A$24,MIN(MATCH(MEDIAN($B15-Conversion!$B$16,2020,2050),Report_Scenarios!$A$18:$A$24,1)+1,7))=INDEX(Report_Scenarios!$A$18:$A$24,MATCH(MEDIAN($B15-Conversion!$B$16,2020,2050),Report_Scenarios!$A$18:$A$24,1)),INDEX(Report_Scenarios!$G$18:$G$24,MATCH(MEDIAN($B15-Conversion!$B$16,2020,2050),Report_Scenarios!$A$18:$A$24,1)),INDEX(Report_Scenarios!$G$18:$G$24,MATCH(MEDIAN($B15-Conversion!$B$16,2020,2050),Report_Scenarios!$A$18:$A$24,1))+(INDEX(Report_Scenarios!$G$18:$G$24,MIN(MATCH(MEDIAN($B15-Conversion!$B$16,2020,2050),Report_Scenarios!$A$18:$A$24,1)+1,7))-INDEX(Report_Scenarios!$G$18:$G$24,MATCH(MEDIAN($B15-Conversion!$B$16,2020,2050),Report_Scenarios!$A$18:$A$24,1)))*(MEDIAN($B15-Conversion!$B$16,2020,2050)-INDEX(Report_Scenarios!$A$18:$A$24,MATCH(MEDIAN($B15-Conversion!$B$16,2020,2050),Report_Scenarios!$A$18:$A$24,1)))/(INDEX(Report_Scenarios!$A$18:$A$24,MIN(MATCH(MEDIAN($B15-Conversion!$B$16,2020,2050),Report_Scenarios!$A$18:$A$24,1)+1,7))-INDEX(Report_Scenarios!$A$18:$A$24,MATCH(MEDIAN($B15-Conversion!$B$16,2020,2050),Report_Scenarios!$A$18:$A$24,1)))),IF(INDEX(Report_Scenarios!$A$29:$A$35,MIN(MATCH(MEDIAN($B15-Conversion!$B$16,2020,2050),Report_Scenarios!$A$29:$A$35,1)+1,7))=INDEX(Report_Scenarios!$A$29:$A$35,MATCH(MEDIAN($B15-Conversion!$B$16,2020,2050),Report_Scenarios!$A$29:$A$35,1)),INDEX(Report_Scenarios!$G$29:$G$35,MATCH(MEDIAN($B15-Conversion!$B$16,2020,2050),Report_Scenarios!$A$29:$A$35,1)),INDEX(Report_Scenarios!$G$29:$G$35,MATCH(MEDIAN($B15-Conversion!$B$16,2020,2050),Report_Scenarios!$A$29:$A$35,1))+(INDEX(Report_Scenarios!$G$29:$G$35,MIN(MATCH(MEDIAN($B15-Conversion!$B$16,2020,2050),Report_Scenarios!$A$29:$A$35,1)+1,7))-INDEX(Report_Scenarios!$G$29:$G$35,MATCH(MEDIAN($B15-Conversion!$B$16,2020,2050),Report_Scenarios!$A$29:$A$35,1)))*(MEDIAN($B15-Conversion!$B$16,2020,2050)-INDEX(Report_Scenarios!$A$29:$A$35,MATCH(MEDIAN($B15-Conversion!$B$16,2020,2050),Report_Scenarios!$A$29:$A$35,1)))/(INDEX(Report_Scenarios!$A$29:$A$35,MIN(MATCH(MEDIAN($B15-Conversion!$B$16,2020,2050),Report_Scenarios!$A$29:$A$35,1)+1,7))-INDEX(Report_Scenarios!$A$29:$A$35,MATCH(MEDIAN($B15-Conversion!$B$16,2020,2050),Report_Scenarios!$A$29:$A$35,1))))))</f>
        <v/>
      </c>
      <c r="K15" s="23">
        <f>SUM(E15:J15)</f>
        <v/>
      </c>
      <c r="L15" s="23">
        <f>IF(R15&lt;&gt;"",R15,IF($K15=0,0,E15/$K15))</f>
        <v/>
      </c>
      <c r="M15" s="23">
        <f>IF(S15&lt;&gt;"",S15,IF($K15=0,0,F15/$K15))</f>
        <v/>
      </c>
      <c r="N15" s="23">
        <f>IF(T15&lt;&gt;"",T15,IF($K15=0,0,G15/$K15))</f>
        <v/>
      </c>
      <c r="O15" s="23">
        <f>IF(U15&lt;&gt;"",U15,IF($K15=0,0,H15/$K15))</f>
        <v/>
      </c>
      <c r="P15" s="23">
        <f>IF(V15&lt;&gt;"",V15,IF($K15=0,0,I15/$K15))</f>
        <v/>
      </c>
      <c r="Q15" s="23">
        <f>IF(W15&lt;&gt;"",W15,IF($K15=0,0,J15/$K15))</f>
        <v/>
      </c>
      <c r="R15" s="24" t="n"/>
      <c r="S15" s="24" t="n"/>
      <c r="T15" s="24" t="n"/>
      <c r="U15" s="24" t="n"/>
      <c r="V15" s="24" t="n"/>
      <c r="W15" s="24" t="n"/>
    </row>
    <row r="16">
      <c r="A16" s="4" t="inlineStr">
        <is>
          <t>AB</t>
        </is>
      </c>
      <c r="B16" s="4" t="n">
        <v>2035</v>
      </c>
      <c r="C16" s="4" t="inlineStr">
        <is>
          <t>Share_Max</t>
        </is>
      </c>
      <c r="D16" s="4">
        <f>Conversion!$B$20</f>
        <v/>
      </c>
      <c r="E16" s="23">
        <f>IF($D16="Conservative",IF(INDEX(Report_Scenarios!$A$7:$A$13,MIN(MATCH(MEDIAN($B16-Conversion!$B$16,2020,2050),Report_Scenarios!$A$7:$A$13,1)+1,7))=INDEX(Report_Scenarios!$A$7:$A$13,MATCH(MEDIAN($B16-Conversion!$B$16,2020,2050),Report_Scenarios!$A$7:$A$13,1)),INDEX(Report_Scenarios!$B$7:$B$13,MATCH(MEDIAN($B16-Conversion!$B$16,2020,2050),Report_Scenarios!$A$7:$A$13,1)),INDEX(Report_Scenarios!$B$7:$B$13,MATCH(MEDIAN($B16-Conversion!$B$16,2020,2050),Report_Scenarios!$A$7:$A$13,1))+(INDEX(Report_Scenarios!$B$7:$B$13,MIN(MATCH(MEDIAN($B16-Conversion!$B$16,2020,2050),Report_Scenarios!$A$7:$A$13,1)+1,7))-INDEX(Report_Scenarios!$B$7:$B$13,MATCH(MEDIAN($B16-Conversion!$B$16,2020,2050),Report_Scenarios!$A$7:$A$13,1)))*(MEDIAN($B16-Conversion!$B$16,2020,2050)-INDEX(Report_Scenarios!$A$7:$A$13,MATCH(MEDIAN($B16-Conversion!$B$16,2020,2050),Report_Scenarios!$A$7:$A$13,1)))/(INDEX(Report_Scenarios!$A$7:$A$13,MIN(MATCH(MEDIAN($B16-Conversion!$B$16,2020,2050),Report_Scenarios!$A$7:$A$13,1)+1,7))-INDEX(Report_Scenarios!$A$7:$A$13,MATCH(MEDIAN($B16-Conversion!$B$16,2020,2050),Report_Scenarios!$A$7:$A$13,1)))),IF($D16="Central",IF(INDEX(Report_Scenarios!$A$18:$A$24,MIN(MATCH(MEDIAN($B16-Conversion!$B$16,2020,2050),Report_Scenarios!$A$18:$A$24,1)+1,7))=INDEX(Report_Scenarios!$A$18:$A$24,MATCH(MEDIAN($B16-Conversion!$B$16,2020,2050),Report_Scenarios!$A$18:$A$24,1)),INDEX(Report_Scenarios!$B$18:$B$24,MATCH(MEDIAN($B16-Conversion!$B$16,2020,2050),Report_Scenarios!$A$18:$A$24,1)),INDEX(Report_Scenarios!$B$18:$B$24,MATCH(MEDIAN($B16-Conversion!$B$16,2020,2050),Report_Scenarios!$A$18:$A$24,1))+(INDEX(Report_Scenarios!$B$18:$B$24,MIN(MATCH(MEDIAN($B16-Conversion!$B$16,2020,2050),Report_Scenarios!$A$18:$A$24,1)+1,7))-INDEX(Report_Scenarios!$B$18:$B$24,MATCH(MEDIAN($B16-Conversion!$B$16,2020,2050),Report_Scenarios!$A$18:$A$24,1)))*(MEDIAN($B16-Conversion!$B$16,2020,2050)-INDEX(Report_Scenarios!$A$18:$A$24,MATCH(MEDIAN($B16-Conversion!$B$16,2020,2050),Report_Scenarios!$A$18:$A$24,1)))/(INDEX(Report_Scenarios!$A$18:$A$24,MIN(MATCH(MEDIAN($B16-Conversion!$B$16,2020,2050),Report_Scenarios!$A$18:$A$24,1)+1,7))-INDEX(Report_Scenarios!$A$18:$A$24,MATCH(MEDIAN($B16-Conversion!$B$16,2020,2050),Report_Scenarios!$A$18:$A$24,1)))),IF(INDEX(Report_Scenarios!$A$29:$A$35,MIN(MATCH(MEDIAN($B16-Conversion!$B$16,2020,2050),Report_Scenarios!$A$29:$A$35,1)+1,7))=INDEX(Report_Scenarios!$A$29:$A$35,MATCH(MEDIAN($B16-Conversion!$B$16,2020,2050),Report_Scenarios!$A$29:$A$35,1)),INDEX(Report_Scenarios!$B$29:$B$35,MATCH(MEDIAN($B16-Conversion!$B$16,2020,2050),Report_Scenarios!$A$29:$A$35,1)),INDEX(Report_Scenarios!$B$29:$B$35,MATCH(MEDIAN($B16-Conversion!$B$16,2020,2050),Report_Scenarios!$A$29:$A$35,1))+(INDEX(Report_Scenarios!$B$29:$B$35,MIN(MATCH(MEDIAN($B16-Conversion!$B$16,2020,2050),Report_Scenarios!$A$29:$A$35,1)+1,7))-INDEX(Report_Scenarios!$B$29:$B$35,MATCH(MEDIAN($B16-Conversion!$B$16,2020,2050),Report_Scenarios!$A$29:$A$35,1)))*(MEDIAN($B16-Conversion!$B$16,2020,2050)-INDEX(Report_Scenarios!$A$29:$A$35,MATCH(MEDIAN($B16-Conversion!$B$16,2020,2050),Report_Scenarios!$A$29:$A$35,1)))/(INDEX(Report_Scenarios!$A$29:$A$35,MIN(MATCH(MEDIAN($B16-Conversion!$B$16,2020,2050),Report_Scenarios!$A$29:$A$35,1)+1,7))-INDEX(Report_Scenarios!$A$29:$A$35,MATCH(MEDIAN($B16-Conversion!$B$16,2020,2050),Report_Scenarios!$A$29:$A$35,1))))))</f>
        <v/>
      </c>
      <c r="F16" s="23">
        <f>IF($D16="Conservative",IF(INDEX(Report_Scenarios!$A$7:$A$13,MIN(MATCH(MEDIAN($B16-Conversion!$B$16,2020,2050),Report_Scenarios!$A$7:$A$13,1)+1,7))=INDEX(Report_Scenarios!$A$7:$A$13,MATCH(MEDIAN($B16-Conversion!$B$16,2020,2050),Report_Scenarios!$A$7:$A$13,1)),INDEX(Report_Scenarios!$C$7:$C$13,MATCH(MEDIAN($B16-Conversion!$B$16,2020,2050),Report_Scenarios!$A$7:$A$13,1)),INDEX(Report_Scenarios!$C$7:$C$13,MATCH(MEDIAN($B16-Conversion!$B$16,2020,2050),Report_Scenarios!$A$7:$A$13,1))+(INDEX(Report_Scenarios!$C$7:$C$13,MIN(MATCH(MEDIAN($B16-Conversion!$B$16,2020,2050),Report_Scenarios!$A$7:$A$13,1)+1,7))-INDEX(Report_Scenarios!$C$7:$C$13,MATCH(MEDIAN($B16-Conversion!$B$16,2020,2050),Report_Scenarios!$A$7:$A$13,1)))*(MEDIAN($B16-Conversion!$B$16,2020,2050)-INDEX(Report_Scenarios!$A$7:$A$13,MATCH(MEDIAN($B16-Conversion!$B$16,2020,2050),Report_Scenarios!$A$7:$A$13,1)))/(INDEX(Report_Scenarios!$A$7:$A$13,MIN(MATCH(MEDIAN($B16-Conversion!$B$16,2020,2050),Report_Scenarios!$A$7:$A$13,1)+1,7))-INDEX(Report_Scenarios!$A$7:$A$13,MATCH(MEDIAN($B16-Conversion!$B$16,2020,2050),Report_Scenarios!$A$7:$A$13,1)))),IF($D16="Central",IF(INDEX(Report_Scenarios!$A$18:$A$24,MIN(MATCH(MEDIAN($B16-Conversion!$B$16,2020,2050),Report_Scenarios!$A$18:$A$24,1)+1,7))=INDEX(Report_Scenarios!$A$18:$A$24,MATCH(MEDIAN($B16-Conversion!$B$16,2020,2050),Report_Scenarios!$A$18:$A$24,1)),INDEX(Report_Scenarios!$C$18:$C$24,MATCH(MEDIAN($B16-Conversion!$B$16,2020,2050),Report_Scenarios!$A$18:$A$24,1)),INDEX(Report_Scenarios!$C$18:$C$24,MATCH(MEDIAN($B16-Conversion!$B$16,2020,2050),Report_Scenarios!$A$18:$A$24,1))+(INDEX(Report_Scenarios!$C$18:$C$24,MIN(MATCH(MEDIAN($B16-Conversion!$B$16,2020,2050),Report_Scenarios!$A$18:$A$24,1)+1,7))-INDEX(Report_Scenarios!$C$18:$C$24,MATCH(MEDIAN($B16-Conversion!$B$16,2020,2050),Report_Scenarios!$A$18:$A$24,1)))*(MEDIAN($B16-Conversion!$B$16,2020,2050)-INDEX(Report_Scenarios!$A$18:$A$24,MATCH(MEDIAN($B16-Conversion!$B$16,2020,2050),Report_Scenarios!$A$18:$A$24,1)))/(INDEX(Report_Scenarios!$A$18:$A$24,MIN(MATCH(MEDIAN($B16-Conversion!$B$16,2020,2050),Report_Scenarios!$A$18:$A$24,1)+1,7))-INDEX(Report_Scenarios!$A$18:$A$24,MATCH(MEDIAN($B16-Conversion!$B$16,2020,2050),Report_Scenarios!$A$18:$A$24,1)))),IF(INDEX(Report_Scenarios!$A$29:$A$35,MIN(MATCH(MEDIAN($B16-Conversion!$B$16,2020,2050),Report_Scenarios!$A$29:$A$35,1)+1,7))=INDEX(Report_Scenarios!$A$29:$A$35,MATCH(MEDIAN($B16-Conversion!$B$16,2020,2050),Report_Scenarios!$A$29:$A$35,1)),INDEX(Report_Scenarios!$C$29:$C$35,MATCH(MEDIAN($B16-Conversion!$B$16,2020,2050),Report_Scenarios!$A$29:$A$35,1)),INDEX(Report_Scenarios!$C$29:$C$35,MATCH(MEDIAN($B16-Conversion!$B$16,2020,2050),Report_Scenarios!$A$29:$A$35,1))+(INDEX(Report_Scenarios!$C$29:$C$35,MIN(MATCH(MEDIAN($B16-Conversion!$B$16,2020,2050),Report_Scenarios!$A$29:$A$35,1)+1,7))-INDEX(Report_Scenarios!$C$29:$C$35,MATCH(MEDIAN($B16-Conversion!$B$16,2020,2050),Report_Scenarios!$A$29:$A$35,1)))*(MEDIAN($B16-Conversion!$B$16,2020,2050)-INDEX(Report_Scenarios!$A$29:$A$35,MATCH(MEDIAN($B16-Conversion!$B$16,2020,2050),Report_Scenarios!$A$29:$A$35,1)))/(INDEX(Report_Scenarios!$A$29:$A$35,MIN(MATCH(MEDIAN($B16-Conversion!$B$16,2020,2050),Report_Scenarios!$A$29:$A$35,1)+1,7))-INDEX(Report_Scenarios!$A$29:$A$35,MATCH(MEDIAN($B16-Conversion!$B$16,2020,2050),Report_Scenarios!$A$29:$A$35,1))))))</f>
        <v/>
      </c>
      <c r="G16" s="23">
        <f>IF($D16="Conservative",IF(INDEX(Report_Scenarios!$A$7:$A$13,MIN(MATCH(MEDIAN($B16-Conversion!$B$16,2020,2050),Report_Scenarios!$A$7:$A$13,1)+1,7))=INDEX(Report_Scenarios!$A$7:$A$13,MATCH(MEDIAN($B16-Conversion!$B$16,2020,2050),Report_Scenarios!$A$7:$A$13,1)),INDEX(Report_Scenarios!$D$7:$D$13,MATCH(MEDIAN($B16-Conversion!$B$16,2020,2050),Report_Scenarios!$A$7:$A$13,1)),INDEX(Report_Scenarios!$D$7:$D$13,MATCH(MEDIAN($B16-Conversion!$B$16,2020,2050),Report_Scenarios!$A$7:$A$13,1))+(INDEX(Report_Scenarios!$D$7:$D$13,MIN(MATCH(MEDIAN($B16-Conversion!$B$16,2020,2050),Report_Scenarios!$A$7:$A$13,1)+1,7))-INDEX(Report_Scenarios!$D$7:$D$13,MATCH(MEDIAN($B16-Conversion!$B$16,2020,2050),Report_Scenarios!$A$7:$A$13,1)))*(MEDIAN($B16-Conversion!$B$16,2020,2050)-INDEX(Report_Scenarios!$A$7:$A$13,MATCH(MEDIAN($B16-Conversion!$B$16,2020,2050),Report_Scenarios!$A$7:$A$13,1)))/(INDEX(Report_Scenarios!$A$7:$A$13,MIN(MATCH(MEDIAN($B16-Conversion!$B$16,2020,2050),Report_Scenarios!$A$7:$A$13,1)+1,7))-INDEX(Report_Scenarios!$A$7:$A$13,MATCH(MEDIAN($B16-Conversion!$B$16,2020,2050),Report_Scenarios!$A$7:$A$13,1)))),IF($D16="Central",IF(INDEX(Report_Scenarios!$A$18:$A$24,MIN(MATCH(MEDIAN($B16-Conversion!$B$16,2020,2050),Report_Scenarios!$A$18:$A$24,1)+1,7))=INDEX(Report_Scenarios!$A$18:$A$24,MATCH(MEDIAN($B16-Conversion!$B$16,2020,2050),Report_Scenarios!$A$18:$A$24,1)),INDEX(Report_Scenarios!$D$18:$D$24,MATCH(MEDIAN($B16-Conversion!$B$16,2020,2050),Report_Scenarios!$A$18:$A$24,1)),INDEX(Report_Scenarios!$D$18:$D$24,MATCH(MEDIAN($B16-Conversion!$B$16,2020,2050),Report_Scenarios!$A$18:$A$24,1))+(INDEX(Report_Scenarios!$D$18:$D$24,MIN(MATCH(MEDIAN($B16-Conversion!$B$16,2020,2050),Report_Scenarios!$A$18:$A$24,1)+1,7))-INDEX(Report_Scenarios!$D$18:$D$24,MATCH(MEDIAN($B16-Conversion!$B$16,2020,2050),Report_Scenarios!$A$18:$A$24,1)))*(MEDIAN($B16-Conversion!$B$16,2020,2050)-INDEX(Report_Scenarios!$A$18:$A$24,MATCH(MEDIAN($B16-Conversion!$B$16,2020,2050),Report_Scenarios!$A$18:$A$24,1)))/(INDEX(Report_Scenarios!$A$18:$A$24,MIN(MATCH(MEDIAN($B16-Conversion!$B$16,2020,2050),Report_Scenarios!$A$18:$A$24,1)+1,7))-INDEX(Report_Scenarios!$A$18:$A$24,MATCH(MEDIAN($B16-Conversion!$B$16,2020,2050),Report_Scenarios!$A$18:$A$24,1)))),IF(INDEX(Report_Scenarios!$A$29:$A$35,MIN(MATCH(MEDIAN($B16-Conversion!$B$16,2020,2050),Report_Scenarios!$A$29:$A$35,1)+1,7))=INDEX(Report_Scenarios!$A$29:$A$35,MATCH(MEDIAN($B16-Conversion!$B$16,2020,2050),Report_Scenarios!$A$29:$A$35,1)),INDEX(Report_Scenarios!$D$29:$D$35,MATCH(MEDIAN($B16-Conversion!$B$16,2020,2050),Report_Scenarios!$A$29:$A$35,1)),INDEX(Report_Scenarios!$D$29:$D$35,MATCH(MEDIAN($B16-Conversion!$B$16,2020,2050),Report_Scenarios!$A$29:$A$35,1))+(INDEX(Report_Scenarios!$D$29:$D$35,MIN(MATCH(MEDIAN($B16-Conversion!$B$16,2020,2050),Report_Scenarios!$A$29:$A$35,1)+1,7))-INDEX(Report_Scenarios!$D$29:$D$35,MATCH(MEDIAN($B16-Conversion!$B$16,2020,2050),Report_Scenarios!$A$29:$A$35,1)))*(MEDIAN($B16-Conversion!$B$16,2020,2050)-INDEX(Report_Scenarios!$A$29:$A$35,MATCH(MEDIAN($B16-Conversion!$B$16,2020,2050),Report_Scenarios!$A$29:$A$35,1)))/(INDEX(Report_Scenarios!$A$29:$A$35,MIN(MATCH(MEDIAN($B16-Conversion!$B$16,2020,2050),Report_Scenarios!$A$29:$A$35,1)+1,7))-INDEX(Report_Scenarios!$A$29:$A$35,MATCH(MEDIAN($B16-Conversion!$B$16,2020,2050),Report_Scenarios!$A$29:$A$35,1))))))</f>
        <v/>
      </c>
      <c r="H16" s="23">
        <f>IF($D16="Conservative",IF(INDEX(Report_Scenarios!$A$7:$A$13,MIN(MATCH(MEDIAN($B16-Conversion!$B$16,2020,2050),Report_Scenarios!$A$7:$A$13,1)+1,7))=INDEX(Report_Scenarios!$A$7:$A$13,MATCH(MEDIAN($B16-Conversion!$B$16,2020,2050),Report_Scenarios!$A$7:$A$13,1)),INDEX(Report_Scenarios!$E$7:$E$13,MATCH(MEDIAN($B16-Conversion!$B$16,2020,2050),Report_Scenarios!$A$7:$A$13,1)),INDEX(Report_Scenarios!$E$7:$E$13,MATCH(MEDIAN($B16-Conversion!$B$16,2020,2050),Report_Scenarios!$A$7:$A$13,1))+(INDEX(Report_Scenarios!$E$7:$E$13,MIN(MATCH(MEDIAN($B16-Conversion!$B$16,2020,2050),Report_Scenarios!$A$7:$A$13,1)+1,7))-INDEX(Report_Scenarios!$E$7:$E$13,MATCH(MEDIAN($B16-Conversion!$B$16,2020,2050),Report_Scenarios!$A$7:$A$13,1)))*(MEDIAN($B16-Conversion!$B$16,2020,2050)-INDEX(Report_Scenarios!$A$7:$A$13,MATCH(MEDIAN($B16-Conversion!$B$16,2020,2050),Report_Scenarios!$A$7:$A$13,1)))/(INDEX(Report_Scenarios!$A$7:$A$13,MIN(MATCH(MEDIAN($B16-Conversion!$B$16,2020,2050),Report_Scenarios!$A$7:$A$13,1)+1,7))-INDEX(Report_Scenarios!$A$7:$A$13,MATCH(MEDIAN($B16-Conversion!$B$16,2020,2050),Report_Scenarios!$A$7:$A$13,1)))),IF($D16="Central",IF(INDEX(Report_Scenarios!$A$18:$A$24,MIN(MATCH(MEDIAN($B16-Conversion!$B$16,2020,2050),Report_Scenarios!$A$18:$A$24,1)+1,7))=INDEX(Report_Scenarios!$A$18:$A$24,MATCH(MEDIAN($B16-Conversion!$B$16,2020,2050),Report_Scenarios!$A$18:$A$24,1)),INDEX(Report_Scenarios!$E$18:$E$24,MATCH(MEDIAN($B16-Conversion!$B$16,2020,2050),Report_Scenarios!$A$18:$A$24,1)),INDEX(Report_Scenarios!$E$18:$E$24,MATCH(MEDIAN($B16-Conversion!$B$16,2020,2050),Report_Scenarios!$A$18:$A$24,1))+(INDEX(Report_Scenarios!$E$18:$E$24,MIN(MATCH(MEDIAN($B16-Conversion!$B$16,2020,2050),Report_Scenarios!$A$18:$A$24,1)+1,7))-INDEX(Report_Scenarios!$E$18:$E$24,MATCH(MEDIAN($B16-Conversion!$B$16,2020,2050),Report_Scenarios!$A$18:$A$24,1)))*(MEDIAN($B16-Conversion!$B$16,2020,2050)-INDEX(Report_Scenarios!$A$18:$A$24,MATCH(MEDIAN($B16-Conversion!$B$16,2020,2050),Report_Scenarios!$A$18:$A$24,1)))/(INDEX(Report_Scenarios!$A$18:$A$24,MIN(MATCH(MEDIAN($B16-Conversion!$B$16,2020,2050),Report_Scenarios!$A$18:$A$24,1)+1,7))-INDEX(Report_Scenarios!$A$18:$A$24,MATCH(MEDIAN($B16-Conversion!$B$16,2020,2050),Report_Scenarios!$A$18:$A$24,1)))),IF(INDEX(Report_Scenarios!$A$29:$A$35,MIN(MATCH(MEDIAN($B16-Conversion!$B$16,2020,2050),Report_Scenarios!$A$29:$A$35,1)+1,7))=INDEX(Report_Scenarios!$A$29:$A$35,MATCH(MEDIAN($B16-Conversion!$B$16,2020,2050),Report_Scenarios!$A$29:$A$35,1)),INDEX(Report_Scenarios!$E$29:$E$35,MATCH(MEDIAN($B16-Conversion!$B$16,2020,2050),Report_Scenarios!$A$29:$A$35,1)),INDEX(Report_Scenarios!$E$29:$E$35,MATCH(MEDIAN($B16-Conversion!$B$16,2020,2050),Report_Scenarios!$A$29:$A$35,1))+(INDEX(Report_Scenarios!$E$29:$E$35,MIN(MATCH(MEDIAN($B16-Conversion!$B$16,2020,2050),Report_Scenarios!$A$29:$A$35,1)+1,7))-INDEX(Report_Scenarios!$E$29:$E$35,MATCH(MEDIAN($B16-Conversion!$B$16,2020,2050),Report_Scenarios!$A$29:$A$35,1)))*(MEDIAN($B16-Conversion!$B$16,2020,2050)-INDEX(Report_Scenarios!$A$29:$A$35,MATCH(MEDIAN($B16-Conversion!$B$16,2020,2050),Report_Scenarios!$A$29:$A$35,1)))/(INDEX(Report_Scenarios!$A$29:$A$35,MIN(MATCH(MEDIAN($B16-Conversion!$B$16,2020,2050),Report_Scenarios!$A$29:$A$35,1)+1,7))-INDEX(Report_Scenarios!$A$29:$A$35,MATCH(MEDIAN($B16-Conversion!$B$16,2020,2050),Report_Scenarios!$A$29:$A$35,1))))))</f>
        <v/>
      </c>
      <c r="I16" s="23">
        <f>IF($D16="Conservative",IF(INDEX(Report_Scenarios!$A$7:$A$13,MIN(MATCH(MEDIAN($B16-Conversion!$B$16,2020,2050),Report_Scenarios!$A$7:$A$13,1)+1,7))=INDEX(Report_Scenarios!$A$7:$A$13,MATCH(MEDIAN($B16-Conversion!$B$16,2020,2050),Report_Scenarios!$A$7:$A$13,1)),INDEX(Report_Scenarios!$F$7:$F$13,MATCH(MEDIAN($B16-Conversion!$B$16,2020,2050),Report_Scenarios!$A$7:$A$13,1)),INDEX(Report_Scenarios!$F$7:$F$13,MATCH(MEDIAN($B16-Conversion!$B$16,2020,2050),Report_Scenarios!$A$7:$A$13,1))+(INDEX(Report_Scenarios!$F$7:$F$13,MIN(MATCH(MEDIAN($B16-Conversion!$B$16,2020,2050),Report_Scenarios!$A$7:$A$13,1)+1,7))-INDEX(Report_Scenarios!$F$7:$F$13,MATCH(MEDIAN($B16-Conversion!$B$16,2020,2050),Report_Scenarios!$A$7:$A$13,1)))*(MEDIAN($B16-Conversion!$B$16,2020,2050)-INDEX(Report_Scenarios!$A$7:$A$13,MATCH(MEDIAN($B16-Conversion!$B$16,2020,2050),Report_Scenarios!$A$7:$A$13,1)))/(INDEX(Report_Scenarios!$A$7:$A$13,MIN(MATCH(MEDIAN($B16-Conversion!$B$16,2020,2050),Report_Scenarios!$A$7:$A$13,1)+1,7))-INDEX(Report_Scenarios!$A$7:$A$13,MATCH(MEDIAN($B16-Conversion!$B$16,2020,2050),Report_Scenarios!$A$7:$A$13,1)))),IF($D16="Central",IF(INDEX(Report_Scenarios!$A$18:$A$24,MIN(MATCH(MEDIAN($B16-Conversion!$B$16,2020,2050),Report_Scenarios!$A$18:$A$24,1)+1,7))=INDEX(Report_Scenarios!$A$18:$A$24,MATCH(MEDIAN($B16-Conversion!$B$16,2020,2050),Report_Scenarios!$A$18:$A$24,1)),INDEX(Report_Scenarios!$F$18:$F$24,MATCH(MEDIAN($B16-Conversion!$B$16,2020,2050),Report_Scenarios!$A$18:$A$24,1)),INDEX(Report_Scenarios!$F$18:$F$24,MATCH(MEDIAN($B16-Conversion!$B$16,2020,2050),Report_Scenarios!$A$18:$A$24,1))+(INDEX(Report_Scenarios!$F$18:$F$24,MIN(MATCH(MEDIAN($B16-Conversion!$B$16,2020,2050),Report_Scenarios!$A$18:$A$24,1)+1,7))-INDEX(Report_Scenarios!$F$18:$F$24,MATCH(MEDIAN($B16-Conversion!$B$16,2020,2050),Report_Scenarios!$A$18:$A$24,1)))*(MEDIAN($B16-Conversion!$B$16,2020,2050)-INDEX(Report_Scenarios!$A$18:$A$24,MATCH(MEDIAN($B16-Conversion!$B$16,2020,2050),Report_Scenarios!$A$18:$A$24,1)))/(INDEX(Report_Scenarios!$A$18:$A$24,MIN(MATCH(MEDIAN($B16-Conversion!$B$16,2020,2050),Report_Scenarios!$A$18:$A$24,1)+1,7))-INDEX(Report_Scenarios!$A$18:$A$24,MATCH(MEDIAN($B16-Conversion!$B$16,2020,2050),Report_Scenarios!$A$18:$A$24,1)))),IF(INDEX(Report_Scenarios!$A$29:$A$35,MIN(MATCH(MEDIAN($B16-Conversion!$B$16,2020,2050),Report_Scenarios!$A$29:$A$35,1)+1,7))=INDEX(Report_Scenarios!$A$29:$A$35,MATCH(MEDIAN($B16-Conversion!$B$16,2020,2050),Report_Scenarios!$A$29:$A$35,1)),INDEX(Report_Scenarios!$F$29:$F$35,MATCH(MEDIAN($B16-Conversion!$B$16,2020,2050),Report_Scenarios!$A$29:$A$35,1)),INDEX(Report_Scenarios!$F$29:$F$35,MATCH(MEDIAN($B16-Conversion!$B$16,2020,2050),Report_Scenarios!$A$29:$A$35,1))+(INDEX(Report_Scenarios!$F$29:$F$35,MIN(MATCH(MEDIAN($B16-Conversion!$B$16,2020,2050),Report_Scenarios!$A$29:$A$35,1)+1,7))-INDEX(Report_Scenarios!$F$29:$F$35,MATCH(MEDIAN($B16-Conversion!$B$16,2020,2050),Report_Scenarios!$A$29:$A$35,1)))*(MEDIAN($B16-Conversion!$B$16,2020,2050)-INDEX(Report_Scenarios!$A$29:$A$35,MATCH(MEDIAN($B16-Conversion!$B$16,2020,2050),Report_Scenarios!$A$29:$A$35,1)))/(INDEX(Report_Scenarios!$A$29:$A$35,MIN(MATCH(MEDIAN($B16-Conversion!$B$16,2020,2050),Report_Scenarios!$A$29:$A$35,1)+1,7))-INDEX(Report_Scenarios!$A$29:$A$35,MATCH(MEDIAN($B16-Conversion!$B$16,2020,2050),Report_Scenarios!$A$29:$A$35,1))))))</f>
        <v/>
      </c>
      <c r="J16" s="23">
        <f>IF($D16="Conservative",IF(INDEX(Report_Scenarios!$A$7:$A$13,MIN(MATCH(MEDIAN($B16-Conversion!$B$16,2020,2050),Report_Scenarios!$A$7:$A$13,1)+1,7))=INDEX(Report_Scenarios!$A$7:$A$13,MATCH(MEDIAN($B16-Conversion!$B$16,2020,2050),Report_Scenarios!$A$7:$A$13,1)),INDEX(Report_Scenarios!$G$7:$G$13,MATCH(MEDIAN($B16-Conversion!$B$16,2020,2050),Report_Scenarios!$A$7:$A$13,1)),INDEX(Report_Scenarios!$G$7:$G$13,MATCH(MEDIAN($B16-Conversion!$B$16,2020,2050),Report_Scenarios!$A$7:$A$13,1))+(INDEX(Report_Scenarios!$G$7:$G$13,MIN(MATCH(MEDIAN($B16-Conversion!$B$16,2020,2050),Report_Scenarios!$A$7:$A$13,1)+1,7))-INDEX(Report_Scenarios!$G$7:$G$13,MATCH(MEDIAN($B16-Conversion!$B$16,2020,2050),Report_Scenarios!$A$7:$A$13,1)))*(MEDIAN($B16-Conversion!$B$16,2020,2050)-INDEX(Report_Scenarios!$A$7:$A$13,MATCH(MEDIAN($B16-Conversion!$B$16,2020,2050),Report_Scenarios!$A$7:$A$13,1)))/(INDEX(Report_Scenarios!$A$7:$A$13,MIN(MATCH(MEDIAN($B16-Conversion!$B$16,2020,2050),Report_Scenarios!$A$7:$A$13,1)+1,7))-INDEX(Report_Scenarios!$A$7:$A$13,MATCH(MEDIAN($B16-Conversion!$B$16,2020,2050),Report_Scenarios!$A$7:$A$13,1)))),IF($D16="Central",IF(INDEX(Report_Scenarios!$A$18:$A$24,MIN(MATCH(MEDIAN($B16-Conversion!$B$16,2020,2050),Report_Scenarios!$A$18:$A$24,1)+1,7))=INDEX(Report_Scenarios!$A$18:$A$24,MATCH(MEDIAN($B16-Conversion!$B$16,2020,2050),Report_Scenarios!$A$18:$A$24,1)),INDEX(Report_Scenarios!$G$18:$G$24,MATCH(MEDIAN($B16-Conversion!$B$16,2020,2050),Report_Scenarios!$A$18:$A$24,1)),INDEX(Report_Scenarios!$G$18:$G$24,MATCH(MEDIAN($B16-Conversion!$B$16,2020,2050),Report_Scenarios!$A$18:$A$24,1))+(INDEX(Report_Scenarios!$G$18:$G$24,MIN(MATCH(MEDIAN($B16-Conversion!$B$16,2020,2050),Report_Scenarios!$A$18:$A$24,1)+1,7))-INDEX(Report_Scenarios!$G$18:$G$24,MATCH(MEDIAN($B16-Conversion!$B$16,2020,2050),Report_Scenarios!$A$18:$A$24,1)))*(MEDIAN($B16-Conversion!$B$16,2020,2050)-INDEX(Report_Scenarios!$A$18:$A$24,MATCH(MEDIAN($B16-Conversion!$B$16,2020,2050),Report_Scenarios!$A$18:$A$24,1)))/(INDEX(Report_Scenarios!$A$18:$A$24,MIN(MATCH(MEDIAN($B16-Conversion!$B$16,2020,2050),Report_Scenarios!$A$18:$A$24,1)+1,7))-INDEX(Report_Scenarios!$A$18:$A$24,MATCH(MEDIAN($B16-Conversion!$B$16,2020,2050),Report_Scenarios!$A$18:$A$24,1)))),IF(INDEX(Report_Scenarios!$A$29:$A$35,MIN(MATCH(MEDIAN($B16-Conversion!$B$16,2020,2050),Report_Scenarios!$A$29:$A$35,1)+1,7))=INDEX(Report_Scenarios!$A$29:$A$35,MATCH(MEDIAN($B16-Conversion!$B$16,2020,2050),Report_Scenarios!$A$29:$A$35,1)),INDEX(Report_Scenarios!$G$29:$G$35,MATCH(MEDIAN($B16-Conversion!$B$16,2020,2050),Report_Scenarios!$A$29:$A$35,1)),INDEX(Report_Scenarios!$G$29:$G$35,MATCH(MEDIAN($B16-Conversion!$B$16,2020,2050),Report_Scenarios!$A$29:$A$35,1))+(INDEX(Report_Scenarios!$G$29:$G$35,MIN(MATCH(MEDIAN($B16-Conversion!$B$16,2020,2050),Report_Scenarios!$A$29:$A$35,1)+1,7))-INDEX(Report_Scenarios!$G$29:$G$35,MATCH(MEDIAN($B16-Conversion!$B$16,2020,2050),Report_Scenarios!$A$29:$A$35,1)))*(MEDIAN($B16-Conversion!$B$16,2020,2050)-INDEX(Report_Scenarios!$A$29:$A$35,MATCH(MEDIAN($B16-Conversion!$B$16,2020,2050),Report_Scenarios!$A$29:$A$35,1)))/(INDEX(Report_Scenarios!$A$29:$A$35,MIN(MATCH(MEDIAN($B16-Conversion!$B$16,2020,2050),Report_Scenarios!$A$29:$A$35,1)+1,7))-INDEX(Report_Scenarios!$A$29:$A$35,MATCH(MEDIAN($B16-Conversion!$B$16,2020,2050),Report_Scenarios!$A$29:$A$35,1))))))</f>
        <v/>
      </c>
      <c r="K16" s="23">
        <f>SUM(E16:J16)</f>
        <v/>
      </c>
      <c r="L16" s="23">
        <f>IF(R16&lt;&gt;"",R16,IF($K16=0,0,E16/$K16))</f>
        <v/>
      </c>
      <c r="M16" s="23">
        <f>IF(S16&lt;&gt;"",S16,IF($K16=0,0,F16/$K16))</f>
        <v/>
      </c>
      <c r="N16" s="23">
        <f>IF(T16&lt;&gt;"",T16,IF($K16=0,0,G16/$K16))</f>
        <v/>
      </c>
      <c r="O16" s="23">
        <f>IF(U16&lt;&gt;"",U16,IF($K16=0,0,H16/$K16))</f>
        <v/>
      </c>
      <c r="P16" s="23">
        <f>IF(V16&lt;&gt;"",V16,IF($K16=0,0,I16/$K16))</f>
        <v/>
      </c>
      <c r="Q16" s="23">
        <f>IF(W16&lt;&gt;"",W16,IF($K16=0,0,J16/$K16))</f>
        <v/>
      </c>
      <c r="R16" s="24" t="n"/>
      <c r="S16" s="24" t="n"/>
      <c r="T16" s="24" t="n"/>
      <c r="U16" s="24" t="n"/>
      <c r="V16" s="24" t="n"/>
      <c r="W16" s="24" t="n"/>
    </row>
    <row r="17">
      <c r="A17" s="4" t="inlineStr">
        <is>
          <t>AB</t>
        </is>
      </c>
      <c r="B17" s="4" t="n">
        <v>2040</v>
      </c>
      <c r="C17" s="4" t="inlineStr">
        <is>
          <t>Share_Min</t>
        </is>
      </c>
      <c r="D17" s="4">
        <f>Conversion!$B$18</f>
        <v/>
      </c>
      <c r="E17" s="23">
        <f>IF($D17="Conservative",IF(INDEX(Report_Scenarios!$A$7:$A$13,MIN(MATCH(MEDIAN($B17-Conversion!$B$16,2020,2050),Report_Scenarios!$A$7:$A$13,1)+1,7))=INDEX(Report_Scenarios!$A$7:$A$13,MATCH(MEDIAN($B17-Conversion!$B$16,2020,2050),Report_Scenarios!$A$7:$A$13,1)),INDEX(Report_Scenarios!$B$7:$B$13,MATCH(MEDIAN($B17-Conversion!$B$16,2020,2050),Report_Scenarios!$A$7:$A$13,1)),INDEX(Report_Scenarios!$B$7:$B$13,MATCH(MEDIAN($B17-Conversion!$B$16,2020,2050),Report_Scenarios!$A$7:$A$13,1))+(INDEX(Report_Scenarios!$B$7:$B$13,MIN(MATCH(MEDIAN($B17-Conversion!$B$16,2020,2050),Report_Scenarios!$A$7:$A$13,1)+1,7))-INDEX(Report_Scenarios!$B$7:$B$13,MATCH(MEDIAN($B17-Conversion!$B$16,2020,2050),Report_Scenarios!$A$7:$A$13,1)))*(MEDIAN($B17-Conversion!$B$16,2020,2050)-INDEX(Report_Scenarios!$A$7:$A$13,MATCH(MEDIAN($B17-Conversion!$B$16,2020,2050),Report_Scenarios!$A$7:$A$13,1)))/(INDEX(Report_Scenarios!$A$7:$A$13,MIN(MATCH(MEDIAN($B17-Conversion!$B$16,2020,2050),Report_Scenarios!$A$7:$A$13,1)+1,7))-INDEX(Report_Scenarios!$A$7:$A$13,MATCH(MEDIAN($B17-Conversion!$B$16,2020,2050),Report_Scenarios!$A$7:$A$13,1)))),IF($D17="Central",IF(INDEX(Report_Scenarios!$A$18:$A$24,MIN(MATCH(MEDIAN($B17-Conversion!$B$16,2020,2050),Report_Scenarios!$A$18:$A$24,1)+1,7))=INDEX(Report_Scenarios!$A$18:$A$24,MATCH(MEDIAN($B17-Conversion!$B$16,2020,2050),Report_Scenarios!$A$18:$A$24,1)),INDEX(Report_Scenarios!$B$18:$B$24,MATCH(MEDIAN($B17-Conversion!$B$16,2020,2050),Report_Scenarios!$A$18:$A$24,1)),INDEX(Report_Scenarios!$B$18:$B$24,MATCH(MEDIAN($B17-Conversion!$B$16,2020,2050),Report_Scenarios!$A$18:$A$24,1))+(INDEX(Report_Scenarios!$B$18:$B$24,MIN(MATCH(MEDIAN($B17-Conversion!$B$16,2020,2050),Report_Scenarios!$A$18:$A$24,1)+1,7))-INDEX(Report_Scenarios!$B$18:$B$24,MATCH(MEDIAN($B17-Conversion!$B$16,2020,2050),Report_Scenarios!$A$18:$A$24,1)))*(MEDIAN($B17-Conversion!$B$16,2020,2050)-INDEX(Report_Scenarios!$A$18:$A$24,MATCH(MEDIAN($B17-Conversion!$B$16,2020,2050),Report_Scenarios!$A$18:$A$24,1)))/(INDEX(Report_Scenarios!$A$18:$A$24,MIN(MATCH(MEDIAN($B17-Conversion!$B$16,2020,2050),Report_Scenarios!$A$18:$A$24,1)+1,7))-INDEX(Report_Scenarios!$A$18:$A$24,MATCH(MEDIAN($B17-Conversion!$B$16,2020,2050),Report_Scenarios!$A$18:$A$24,1)))),IF(INDEX(Report_Scenarios!$A$29:$A$35,MIN(MATCH(MEDIAN($B17-Conversion!$B$16,2020,2050),Report_Scenarios!$A$29:$A$35,1)+1,7))=INDEX(Report_Scenarios!$A$29:$A$35,MATCH(MEDIAN($B17-Conversion!$B$16,2020,2050),Report_Scenarios!$A$29:$A$35,1)),INDEX(Report_Scenarios!$B$29:$B$35,MATCH(MEDIAN($B17-Conversion!$B$16,2020,2050),Report_Scenarios!$A$29:$A$35,1)),INDEX(Report_Scenarios!$B$29:$B$35,MATCH(MEDIAN($B17-Conversion!$B$16,2020,2050),Report_Scenarios!$A$29:$A$35,1))+(INDEX(Report_Scenarios!$B$29:$B$35,MIN(MATCH(MEDIAN($B17-Conversion!$B$16,2020,2050),Report_Scenarios!$A$29:$A$35,1)+1,7))-INDEX(Report_Scenarios!$B$29:$B$35,MATCH(MEDIAN($B17-Conversion!$B$16,2020,2050),Report_Scenarios!$A$29:$A$35,1)))*(MEDIAN($B17-Conversion!$B$16,2020,2050)-INDEX(Report_Scenarios!$A$29:$A$35,MATCH(MEDIAN($B17-Conversion!$B$16,2020,2050),Report_Scenarios!$A$29:$A$35,1)))/(INDEX(Report_Scenarios!$A$29:$A$35,MIN(MATCH(MEDIAN($B17-Conversion!$B$16,2020,2050),Report_Scenarios!$A$29:$A$35,1)+1,7))-INDEX(Report_Scenarios!$A$29:$A$35,MATCH(MEDIAN($B17-Conversion!$B$16,2020,2050),Report_Scenarios!$A$29:$A$35,1))))))</f>
        <v/>
      </c>
      <c r="F17" s="23">
        <f>IF($D17="Conservative",IF(INDEX(Report_Scenarios!$A$7:$A$13,MIN(MATCH(MEDIAN($B17-Conversion!$B$16,2020,2050),Report_Scenarios!$A$7:$A$13,1)+1,7))=INDEX(Report_Scenarios!$A$7:$A$13,MATCH(MEDIAN($B17-Conversion!$B$16,2020,2050),Report_Scenarios!$A$7:$A$13,1)),INDEX(Report_Scenarios!$C$7:$C$13,MATCH(MEDIAN($B17-Conversion!$B$16,2020,2050),Report_Scenarios!$A$7:$A$13,1)),INDEX(Report_Scenarios!$C$7:$C$13,MATCH(MEDIAN($B17-Conversion!$B$16,2020,2050),Report_Scenarios!$A$7:$A$13,1))+(INDEX(Report_Scenarios!$C$7:$C$13,MIN(MATCH(MEDIAN($B17-Conversion!$B$16,2020,2050),Report_Scenarios!$A$7:$A$13,1)+1,7))-INDEX(Report_Scenarios!$C$7:$C$13,MATCH(MEDIAN($B17-Conversion!$B$16,2020,2050),Report_Scenarios!$A$7:$A$13,1)))*(MEDIAN($B17-Conversion!$B$16,2020,2050)-INDEX(Report_Scenarios!$A$7:$A$13,MATCH(MEDIAN($B17-Conversion!$B$16,2020,2050),Report_Scenarios!$A$7:$A$13,1)))/(INDEX(Report_Scenarios!$A$7:$A$13,MIN(MATCH(MEDIAN($B17-Conversion!$B$16,2020,2050),Report_Scenarios!$A$7:$A$13,1)+1,7))-INDEX(Report_Scenarios!$A$7:$A$13,MATCH(MEDIAN($B17-Conversion!$B$16,2020,2050),Report_Scenarios!$A$7:$A$13,1)))),IF($D17="Central",IF(INDEX(Report_Scenarios!$A$18:$A$24,MIN(MATCH(MEDIAN($B17-Conversion!$B$16,2020,2050),Report_Scenarios!$A$18:$A$24,1)+1,7))=INDEX(Report_Scenarios!$A$18:$A$24,MATCH(MEDIAN($B17-Conversion!$B$16,2020,2050),Report_Scenarios!$A$18:$A$24,1)),INDEX(Report_Scenarios!$C$18:$C$24,MATCH(MEDIAN($B17-Conversion!$B$16,2020,2050),Report_Scenarios!$A$18:$A$24,1)),INDEX(Report_Scenarios!$C$18:$C$24,MATCH(MEDIAN($B17-Conversion!$B$16,2020,2050),Report_Scenarios!$A$18:$A$24,1))+(INDEX(Report_Scenarios!$C$18:$C$24,MIN(MATCH(MEDIAN($B17-Conversion!$B$16,2020,2050),Report_Scenarios!$A$18:$A$24,1)+1,7))-INDEX(Report_Scenarios!$C$18:$C$24,MATCH(MEDIAN($B17-Conversion!$B$16,2020,2050),Report_Scenarios!$A$18:$A$24,1)))*(MEDIAN($B17-Conversion!$B$16,2020,2050)-INDEX(Report_Scenarios!$A$18:$A$24,MATCH(MEDIAN($B17-Conversion!$B$16,2020,2050),Report_Scenarios!$A$18:$A$24,1)))/(INDEX(Report_Scenarios!$A$18:$A$24,MIN(MATCH(MEDIAN($B17-Conversion!$B$16,2020,2050),Report_Scenarios!$A$18:$A$24,1)+1,7))-INDEX(Report_Scenarios!$A$18:$A$24,MATCH(MEDIAN($B17-Conversion!$B$16,2020,2050),Report_Scenarios!$A$18:$A$24,1)))),IF(INDEX(Report_Scenarios!$A$29:$A$35,MIN(MATCH(MEDIAN($B17-Conversion!$B$16,2020,2050),Report_Scenarios!$A$29:$A$35,1)+1,7))=INDEX(Report_Scenarios!$A$29:$A$35,MATCH(MEDIAN($B17-Conversion!$B$16,2020,2050),Report_Scenarios!$A$29:$A$35,1)),INDEX(Report_Scenarios!$C$29:$C$35,MATCH(MEDIAN($B17-Conversion!$B$16,2020,2050),Report_Scenarios!$A$29:$A$35,1)),INDEX(Report_Scenarios!$C$29:$C$35,MATCH(MEDIAN($B17-Conversion!$B$16,2020,2050),Report_Scenarios!$A$29:$A$35,1))+(INDEX(Report_Scenarios!$C$29:$C$35,MIN(MATCH(MEDIAN($B17-Conversion!$B$16,2020,2050),Report_Scenarios!$A$29:$A$35,1)+1,7))-INDEX(Report_Scenarios!$C$29:$C$35,MATCH(MEDIAN($B17-Conversion!$B$16,2020,2050),Report_Scenarios!$A$29:$A$35,1)))*(MEDIAN($B17-Conversion!$B$16,2020,2050)-INDEX(Report_Scenarios!$A$29:$A$35,MATCH(MEDIAN($B17-Conversion!$B$16,2020,2050),Report_Scenarios!$A$29:$A$35,1)))/(INDEX(Report_Scenarios!$A$29:$A$35,MIN(MATCH(MEDIAN($B17-Conversion!$B$16,2020,2050),Report_Scenarios!$A$29:$A$35,1)+1,7))-INDEX(Report_Scenarios!$A$29:$A$35,MATCH(MEDIAN($B17-Conversion!$B$16,2020,2050),Report_Scenarios!$A$29:$A$35,1))))))</f>
        <v/>
      </c>
      <c r="G17" s="23">
        <f>IF($D17="Conservative",IF(INDEX(Report_Scenarios!$A$7:$A$13,MIN(MATCH(MEDIAN($B17-Conversion!$B$16,2020,2050),Report_Scenarios!$A$7:$A$13,1)+1,7))=INDEX(Report_Scenarios!$A$7:$A$13,MATCH(MEDIAN($B17-Conversion!$B$16,2020,2050),Report_Scenarios!$A$7:$A$13,1)),INDEX(Report_Scenarios!$D$7:$D$13,MATCH(MEDIAN($B17-Conversion!$B$16,2020,2050),Report_Scenarios!$A$7:$A$13,1)),INDEX(Report_Scenarios!$D$7:$D$13,MATCH(MEDIAN($B17-Conversion!$B$16,2020,2050),Report_Scenarios!$A$7:$A$13,1))+(INDEX(Report_Scenarios!$D$7:$D$13,MIN(MATCH(MEDIAN($B17-Conversion!$B$16,2020,2050),Report_Scenarios!$A$7:$A$13,1)+1,7))-INDEX(Report_Scenarios!$D$7:$D$13,MATCH(MEDIAN($B17-Conversion!$B$16,2020,2050),Report_Scenarios!$A$7:$A$13,1)))*(MEDIAN($B17-Conversion!$B$16,2020,2050)-INDEX(Report_Scenarios!$A$7:$A$13,MATCH(MEDIAN($B17-Conversion!$B$16,2020,2050),Report_Scenarios!$A$7:$A$13,1)))/(INDEX(Report_Scenarios!$A$7:$A$13,MIN(MATCH(MEDIAN($B17-Conversion!$B$16,2020,2050),Report_Scenarios!$A$7:$A$13,1)+1,7))-INDEX(Report_Scenarios!$A$7:$A$13,MATCH(MEDIAN($B17-Conversion!$B$16,2020,2050),Report_Scenarios!$A$7:$A$13,1)))),IF($D17="Central",IF(INDEX(Report_Scenarios!$A$18:$A$24,MIN(MATCH(MEDIAN($B17-Conversion!$B$16,2020,2050),Report_Scenarios!$A$18:$A$24,1)+1,7))=INDEX(Report_Scenarios!$A$18:$A$24,MATCH(MEDIAN($B17-Conversion!$B$16,2020,2050),Report_Scenarios!$A$18:$A$24,1)),INDEX(Report_Scenarios!$D$18:$D$24,MATCH(MEDIAN($B17-Conversion!$B$16,2020,2050),Report_Scenarios!$A$18:$A$24,1)),INDEX(Report_Scenarios!$D$18:$D$24,MATCH(MEDIAN($B17-Conversion!$B$16,2020,2050),Report_Scenarios!$A$18:$A$24,1))+(INDEX(Report_Scenarios!$D$18:$D$24,MIN(MATCH(MEDIAN($B17-Conversion!$B$16,2020,2050),Report_Scenarios!$A$18:$A$24,1)+1,7))-INDEX(Report_Scenarios!$D$18:$D$24,MATCH(MEDIAN($B17-Conversion!$B$16,2020,2050),Report_Scenarios!$A$18:$A$24,1)))*(MEDIAN($B17-Conversion!$B$16,2020,2050)-INDEX(Report_Scenarios!$A$18:$A$24,MATCH(MEDIAN($B17-Conversion!$B$16,2020,2050),Report_Scenarios!$A$18:$A$24,1)))/(INDEX(Report_Scenarios!$A$18:$A$24,MIN(MATCH(MEDIAN($B17-Conversion!$B$16,2020,2050),Report_Scenarios!$A$18:$A$24,1)+1,7))-INDEX(Report_Scenarios!$A$18:$A$24,MATCH(MEDIAN($B17-Conversion!$B$16,2020,2050),Report_Scenarios!$A$18:$A$24,1)))),IF(INDEX(Report_Scenarios!$A$29:$A$35,MIN(MATCH(MEDIAN($B17-Conversion!$B$16,2020,2050),Report_Scenarios!$A$29:$A$35,1)+1,7))=INDEX(Report_Scenarios!$A$29:$A$35,MATCH(MEDIAN($B17-Conversion!$B$16,2020,2050),Report_Scenarios!$A$29:$A$35,1)),INDEX(Report_Scenarios!$D$29:$D$35,MATCH(MEDIAN($B17-Conversion!$B$16,2020,2050),Report_Scenarios!$A$29:$A$35,1)),INDEX(Report_Scenarios!$D$29:$D$35,MATCH(MEDIAN($B17-Conversion!$B$16,2020,2050),Report_Scenarios!$A$29:$A$35,1))+(INDEX(Report_Scenarios!$D$29:$D$35,MIN(MATCH(MEDIAN($B17-Conversion!$B$16,2020,2050),Report_Scenarios!$A$29:$A$35,1)+1,7))-INDEX(Report_Scenarios!$D$29:$D$35,MATCH(MEDIAN($B17-Conversion!$B$16,2020,2050),Report_Scenarios!$A$29:$A$35,1)))*(MEDIAN($B17-Conversion!$B$16,2020,2050)-INDEX(Report_Scenarios!$A$29:$A$35,MATCH(MEDIAN($B17-Conversion!$B$16,2020,2050),Report_Scenarios!$A$29:$A$35,1)))/(INDEX(Report_Scenarios!$A$29:$A$35,MIN(MATCH(MEDIAN($B17-Conversion!$B$16,2020,2050),Report_Scenarios!$A$29:$A$35,1)+1,7))-INDEX(Report_Scenarios!$A$29:$A$35,MATCH(MEDIAN($B17-Conversion!$B$16,2020,2050),Report_Scenarios!$A$29:$A$35,1))))))</f>
        <v/>
      </c>
      <c r="H17" s="23">
        <f>IF($D17="Conservative",IF(INDEX(Report_Scenarios!$A$7:$A$13,MIN(MATCH(MEDIAN($B17-Conversion!$B$16,2020,2050),Report_Scenarios!$A$7:$A$13,1)+1,7))=INDEX(Report_Scenarios!$A$7:$A$13,MATCH(MEDIAN($B17-Conversion!$B$16,2020,2050),Report_Scenarios!$A$7:$A$13,1)),INDEX(Report_Scenarios!$E$7:$E$13,MATCH(MEDIAN($B17-Conversion!$B$16,2020,2050),Report_Scenarios!$A$7:$A$13,1)),INDEX(Report_Scenarios!$E$7:$E$13,MATCH(MEDIAN($B17-Conversion!$B$16,2020,2050),Report_Scenarios!$A$7:$A$13,1))+(INDEX(Report_Scenarios!$E$7:$E$13,MIN(MATCH(MEDIAN($B17-Conversion!$B$16,2020,2050),Report_Scenarios!$A$7:$A$13,1)+1,7))-INDEX(Report_Scenarios!$E$7:$E$13,MATCH(MEDIAN($B17-Conversion!$B$16,2020,2050),Report_Scenarios!$A$7:$A$13,1)))*(MEDIAN($B17-Conversion!$B$16,2020,2050)-INDEX(Report_Scenarios!$A$7:$A$13,MATCH(MEDIAN($B17-Conversion!$B$16,2020,2050),Report_Scenarios!$A$7:$A$13,1)))/(INDEX(Report_Scenarios!$A$7:$A$13,MIN(MATCH(MEDIAN($B17-Conversion!$B$16,2020,2050),Report_Scenarios!$A$7:$A$13,1)+1,7))-INDEX(Report_Scenarios!$A$7:$A$13,MATCH(MEDIAN($B17-Conversion!$B$16,2020,2050),Report_Scenarios!$A$7:$A$13,1)))),IF($D17="Central",IF(INDEX(Report_Scenarios!$A$18:$A$24,MIN(MATCH(MEDIAN($B17-Conversion!$B$16,2020,2050),Report_Scenarios!$A$18:$A$24,1)+1,7))=INDEX(Report_Scenarios!$A$18:$A$24,MATCH(MEDIAN($B17-Conversion!$B$16,2020,2050),Report_Scenarios!$A$18:$A$24,1)),INDEX(Report_Scenarios!$E$18:$E$24,MATCH(MEDIAN($B17-Conversion!$B$16,2020,2050),Report_Scenarios!$A$18:$A$24,1)),INDEX(Report_Scenarios!$E$18:$E$24,MATCH(MEDIAN($B17-Conversion!$B$16,2020,2050),Report_Scenarios!$A$18:$A$24,1))+(INDEX(Report_Scenarios!$E$18:$E$24,MIN(MATCH(MEDIAN($B17-Conversion!$B$16,2020,2050),Report_Scenarios!$A$18:$A$24,1)+1,7))-INDEX(Report_Scenarios!$E$18:$E$24,MATCH(MEDIAN($B17-Conversion!$B$16,2020,2050),Report_Scenarios!$A$18:$A$24,1)))*(MEDIAN($B17-Conversion!$B$16,2020,2050)-INDEX(Report_Scenarios!$A$18:$A$24,MATCH(MEDIAN($B17-Conversion!$B$16,2020,2050),Report_Scenarios!$A$18:$A$24,1)))/(INDEX(Report_Scenarios!$A$18:$A$24,MIN(MATCH(MEDIAN($B17-Conversion!$B$16,2020,2050),Report_Scenarios!$A$18:$A$24,1)+1,7))-INDEX(Report_Scenarios!$A$18:$A$24,MATCH(MEDIAN($B17-Conversion!$B$16,2020,2050),Report_Scenarios!$A$18:$A$24,1)))),IF(INDEX(Report_Scenarios!$A$29:$A$35,MIN(MATCH(MEDIAN($B17-Conversion!$B$16,2020,2050),Report_Scenarios!$A$29:$A$35,1)+1,7))=INDEX(Report_Scenarios!$A$29:$A$35,MATCH(MEDIAN($B17-Conversion!$B$16,2020,2050),Report_Scenarios!$A$29:$A$35,1)),INDEX(Report_Scenarios!$E$29:$E$35,MATCH(MEDIAN($B17-Conversion!$B$16,2020,2050),Report_Scenarios!$A$29:$A$35,1)),INDEX(Report_Scenarios!$E$29:$E$35,MATCH(MEDIAN($B17-Conversion!$B$16,2020,2050),Report_Scenarios!$A$29:$A$35,1))+(INDEX(Report_Scenarios!$E$29:$E$35,MIN(MATCH(MEDIAN($B17-Conversion!$B$16,2020,2050),Report_Scenarios!$A$29:$A$35,1)+1,7))-INDEX(Report_Scenarios!$E$29:$E$35,MATCH(MEDIAN($B17-Conversion!$B$16,2020,2050),Report_Scenarios!$A$29:$A$35,1)))*(MEDIAN($B17-Conversion!$B$16,2020,2050)-INDEX(Report_Scenarios!$A$29:$A$35,MATCH(MEDIAN($B17-Conversion!$B$16,2020,2050),Report_Scenarios!$A$29:$A$35,1)))/(INDEX(Report_Scenarios!$A$29:$A$35,MIN(MATCH(MEDIAN($B17-Conversion!$B$16,2020,2050),Report_Scenarios!$A$29:$A$35,1)+1,7))-INDEX(Report_Scenarios!$A$29:$A$35,MATCH(MEDIAN($B17-Conversion!$B$16,2020,2050),Report_Scenarios!$A$29:$A$35,1))))))</f>
        <v/>
      </c>
      <c r="I17" s="23">
        <f>IF($D17="Conservative",IF(INDEX(Report_Scenarios!$A$7:$A$13,MIN(MATCH(MEDIAN($B17-Conversion!$B$16,2020,2050),Report_Scenarios!$A$7:$A$13,1)+1,7))=INDEX(Report_Scenarios!$A$7:$A$13,MATCH(MEDIAN($B17-Conversion!$B$16,2020,2050),Report_Scenarios!$A$7:$A$13,1)),INDEX(Report_Scenarios!$F$7:$F$13,MATCH(MEDIAN($B17-Conversion!$B$16,2020,2050),Report_Scenarios!$A$7:$A$13,1)),INDEX(Report_Scenarios!$F$7:$F$13,MATCH(MEDIAN($B17-Conversion!$B$16,2020,2050),Report_Scenarios!$A$7:$A$13,1))+(INDEX(Report_Scenarios!$F$7:$F$13,MIN(MATCH(MEDIAN($B17-Conversion!$B$16,2020,2050),Report_Scenarios!$A$7:$A$13,1)+1,7))-INDEX(Report_Scenarios!$F$7:$F$13,MATCH(MEDIAN($B17-Conversion!$B$16,2020,2050),Report_Scenarios!$A$7:$A$13,1)))*(MEDIAN($B17-Conversion!$B$16,2020,2050)-INDEX(Report_Scenarios!$A$7:$A$13,MATCH(MEDIAN($B17-Conversion!$B$16,2020,2050),Report_Scenarios!$A$7:$A$13,1)))/(INDEX(Report_Scenarios!$A$7:$A$13,MIN(MATCH(MEDIAN($B17-Conversion!$B$16,2020,2050),Report_Scenarios!$A$7:$A$13,1)+1,7))-INDEX(Report_Scenarios!$A$7:$A$13,MATCH(MEDIAN($B17-Conversion!$B$16,2020,2050),Report_Scenarios!$A$7:$A$13,1)))),IF($D17="Central",IF(INDEX(Report_Scenarios!$A$18:$A$24,MIN(MATCH(MEDIAN($B17-Conversion!$B$16,2020,2050),Report_Scenarios!$A$18:$A$24,1)+1,7))=INDEX(Report_Scenarios!$A$18:$A$24,MATCH(MEDIAN($B17-Conversion!$B$16,2020,2050),Report_Scenarios!$A$18:$A$24,1)),INDEX(Report_Scenarios!$F$18:$F$24,MATCH(MEDIAN($B17-Conversion!$B$16,2020,2050),Report_Scenarios!$A$18:$A$24,1)),INDEX(Report_Scenarios!$F$18:$F$24,MATCH(MEDIAN($B17-Conversion!$B$16,2020,2050),Report_Scenarios!$A$18:$A$24,1))+(INDEX(Report_Scenarios!$F$18:$F$24,MIN(MATCH(MEDIAN($B17-Conversion!$B$16,2020,2050),Report_Scenarios!$A$18:$A$24,1)+1,7))-INDEX(Report_Scenarios!$F$18:$F$24,MATCH(MEDIAN($B17-Conversion!$B$16,2020,2050),Report_Scenarios!$A$18:$A$24,1)))*(MEDIAN($B17-Conversion!$B$16,2020,2050)-INDEX(Report_Scenarios!$A$18:$A$24,MATCH(MEDIAN($B17-Conversion!$B$16,2020,2050),Report_Scenarios!$A$18:$A$24,1)))/(INDEX(Report_Scenarios!$A$18:$A$24,MIN(MATCH(MEDIAN($B17-Conversion!$B$16,2020,2050),Report_Scenarios!$A$18:$A$24,1)+1,7))-INDEX(Report_Scenarios!$A$18:$A$24,MATCH(MEDIAN($B17-Conversion!$B$16,2020,2050),Report_Scenarios!$A$18:$A$24,1)))),IF(INDEX(Report_Scenarios!$A$29:$A$35,MIN(MATCH(MEDIAN($B17-Conversion!$B$16,2020,2050),Report_Scenarios!$A$29:$A$35,1)+1,7))=INDEX(Report_Scenarios!$A$29:$A$35,MATCH(MEDIAN($B17-Conversion!$B$16,2020,2050),Report_Scenarios!$A$29:$A$35,1)),INDEX(Report_Scenarios!$F$29:$F$35,MATCH(MEDIAN($B17-Conversion!$B$16,2020,2050),Report_Scenarios!$A$29:$A$35,1)),INDEX(Report_Scenarios!$F$29:$F$35,MATCH(MEDIAN($B17-Conversion!$B$16,2020,2050),Report_Scenarios!$A$29:$A$35,1))+(INDEX(Report_Scenarios!$F$29:$F$35,MIN(MATCH(MEDIAN($B17-Conversion!$B$16,2020,2050),Report_Scenarios!$A$29:$A$35,1)+1,7))-INDEX(Report_Scenarios!$F$29:$F$35,MATCH(MEDIAN($B17-Conversion!$B$16,2020,2050),Report_Scenarios!$A$29:$A$35,1)))*(MEDIAN($B17-Conversion!$B$16,2020,2050)-INDEX(Report_Scenarios!$A$29:$A$35,MATCH(MEDIAN($B17-Conversion!$B$16,2020,2050),Report_Scenarios!$A$29:$A$35,1)))/(INDEX(Report_Scenarios!$A$29:$A$35,MIN(MATCH(MEDIAN($B17-Conversion!$B$16,2020,2050),Report_Scenarios!$A$29:$A$35,1)+1,7))-INDEX(Report_Scenarios!$A$29:$A$35,MATCH(MEDIAN($B17-Conversion!$B$16,2020,2050),Report_Scenarios!$A$29:$A$35,1))))))</f>
        <v/>
      </c>
      <c r="J17" s="23">
        <f>IF($D17="Conservative",IF(INDEX(Report_Scenarios!$A$7:$A$13,MIN(MATCH(MEDIAN($B17-Conversion!$B$16,2020,2050),Report_Scenarios!$A$7:$A$13,1)+1,7))=INDEX(Report_Scenarios!$A$7:$A$13,MATCH(MEDIAN($B17-Conversion!$B$16,2020,2050),Report_Scenarios!$A$7:$A$13,1)),INDEX(Report_Scenarios!$G$7:$G$13,MATCH(MEDIAN($B17-Conversion!$B$16,2020,2050),Report_Scenarios!$A$7:$A$13,1)),INDEX(Report_Scenarios!$G$7:$G$13,MATCH(MEDIAN($B17-Conversion!$B$16,2020,2050),Report_Scenarios!$A$7:$A$13,1))+(INDEX(Report_Scenarios!$G$7:$G$13,MIN(MATCH(MEDIAN($B17-Conversion!$B$16,2020,2050),Report_Scenarios!$A$7:$A$13,1)+1,7))-INDEX(Report_Scenarios!$G$7:$G$13,MATCH(MEDIAN($B17-Conversion!$B$16,2020,2050),Report_Scenarios!$A$7:$A$13,1)))*(MEDIAN($B17-Conversion!$B$16,2020,2050)-INDEX(Report_Scenarios!$A$7:$A$13,MATCH(MEDIAN($B17-Conversion!$B$16,2020,2050),Report_Scenarios!$A$7:$A$13,1)))/(INDEX(Report_Scenarios!$A$7:$A$13,MIN(MATCH(MEDIAN($B17-Conversion!$B$16,2020,2050),Report_Scenarios!$A$7:$A$13,1)+1,7))-INDEX(Report_Scenarios!$A$7:$A$13,MATCH(MEDIAN($B17-Conversion!$B$16,2020,2050),Report_Scenarios!$A$7:$A$13,1)))),IF($D17="Central",IF(INDEX(Report_Scenarios!$A$18:$A$24,MIN(MATCH(MEDIAN($B17-Conversion!$B$16,2020,2050),Report_Scenarios!$A$18:$A$24,1)+1,7))=INDEX(Report_Scenarios!$A$18:$A$24,MATCH(MEDIAN($B17-Conversion!$B$16,2020,2050),Report_Scenarios!$A$18:$A$24,1)),INDEX(Report_Scenarios!$G$18:$G$24,MATCH(MEDIAN($B17-Conversion!$B$16,2020,2050),Report_Scenarios!$A$18:$A$24,1)),INDEX(Report_Scenarios!$G$18:$G$24,MATCH(MEDIAN($B17-Conversion!$B$16,2020,2050),Report_Scenarios!$A$18:$A$24,1))+(INDEX(Report_Scenarios!$G$18:$G$24,MIN(MATCH(MEDIAN($B17-Conversion!$B$16,2020,2050),Report_Scenarios!$A$18:$A$24,1)+1,7))-INDEX(Report_Scenarios!$G$18:$G$24,MATCH(MEDIAN($B17-Conversion!$B$16,2020,2050),Report_Scenarios!$A$18:$A$24,1)))*(MEDIAN($B17-Conversion!$B$16,2020,2050)-INDEX(Report_Scenarios!$A$18:$A$24,MATCH(MEDIAN($B17-Conversion!$B$16,2020,2050),Report_Scenarios!$A$18:$A$24,1)))/(INDEX(Report_Scenarios!$A$18:$A$24,MIN(MATCH(MEDIAN($B17-Conversion!$B$16,2020,2050),Report_Scenarios!$A$18:$A$24,1)+1,7))-INDEX(Report_Scenarios!$A$18:$A$24,MATCH(MEDIAN($B17-Conversion!$B$16,2020,2050),Report_Scenarios!$A$18:$A$24,1)))),IF(INDEX(Report_Scenarios!$A$29:$A$35,MIN(MATCH(MEDIAN($B17-Conversion!$B$16,2020,2050),Report_Scenarios!$A$29:$A$35,1)+1,7))=INDEX(Report_Scenarios!$A$29:$A$35,MATCH(MEDIAN($B17-Conversion!$B$16,2020,2050),Report_Scenarios!$A$29:$A$35,1)),INDEX(Report_Scenarios!$G$29:$G$35,MATCH(MEDIAN($B17-Conversion!$B$16,2020,2050),Report_Scenarios!$A$29:$A$35,1)),INDEX(Report_Scenarios!$G$29:$G$35,MATCH(MEDIAN($B17-Conversion!$B$16,2020,2050),Report_Scenarios!$A$29:$A$35,1))+(INDEX(Report_Scenarios!$G$29:$G$35,MIN(MATCH(MEDIAN($B17-Conversion!$B$16,2020,2050),Report_Scenarios!$A$29:$A$35,1)+1,7))-INDEX(Report_Scenarios!$G$29:$G$35,MATCH(MEDIAN($B17-Conversion!$B$16,2020,2050),Report_Scenarios!$A$29:$A$35,1)))*(MEDIAN($B17-Conversion!$B$16,2020,2050)-INDEX(Report_Scenarios!$A$29:$A$35,MATCH(MEDIAN($B17-Conversion!$B$16,2020,2050),Report_Scenarios!$A$29:$A$35,1)))/(INDEX(Report_Scenarios!$A$29:$A$35,MIN(MATCH(MEDIAN($B17-Conversion!$B$16,2020,2050),Report_Scenarios!$A$29:$A$35,1)+1,7))-INDEX(Report_Scenarios!$A$29:$A$35,MATCH(MEDIAN($B17-Conversion!$B$16,2020,2050),Report_Scenarios!$A$29:$A$35,1))))))</f>
        <v/>
      </c>
      <c r="K17" s="23">
        <f>SUM(E17:J17)</f>
        <v/>
      </c>
      <c r="L17" s="23">
        <f>IF(R17&lt;&gt;"",R17,IF($K17=0,0,E17/$K17))</f>
        <v/>
      </c>
      <c r="M17" s="23">
        <f>IF(S17&lt;&gt;"",S17,IF($K17=0,0,F17/$K17))</f>
        <v/>
      </c>
      <c r="N17" s="23">
        <f>IF(T17&lt;&gt;"",T17,IF($K17=0,0,G17/$K17))</f>
        <v/>
      </c>
      <c r="O17" s="23">
        <f>IF(U17&lt;&gt;"",U17,IF($K17=0,0,H17/$K17))</f>
        <v/>
      </c>
      <c r="P17" s="23">
        <f>IF(V17&lt;&gt;"",V17,IF($K17=0,0,I17/$K17))</f>
        <v/>
      </c>
      <c r="Q17" s="23">
        <f>IF(W17&lt;&gt;"",W17,IF($K17=0,0,J17/$K17))</f>
        <v/>
      </c>
      <c r="R17" s="24" t="n"/>
      <c r="S17" s="24" t="n"/>
      <c r="T17" s="24" t="n"/>
      <c r="U17" s="24" t="n"/>
      <c r="V17" s="24" t="n"/>
      <c r="W17" s="24" t="n"/>
    </row>
    <row r="18">
      <c r="A18" s="4" t="inlineStr">
        <is>
          <t>AB</t>
        </is>
      </c>
      <c r="B18" s="4" t="n">
        <v>2040</v>
      </c>
      <c r="C18" s="4" t="inlineStr">
        <is>
          <t>Share_Mode</t>
        </is>
      </c>
      <c r="D18" s="4">
        <f>Conversion!$B$19</f>
        <v/>
      </c>
      <c r="E18" s="23">
        <f>IF($D18="Conservative",IF(INDEX(Report_Scenarios!$A$7:$A$13,MIN(MATCH(MEDIAN($B18-Conversion!$B$16,2020,2050),Report_Scenarios!$A$7:$A$13,1)+1,7))=INDEX(Report_Scenarios!$A$7:$A$13,MATCH(MEDIAN($B18-Conversion!$B$16,2020,2050),Report_Scenarios!$A$7:$A$13,1)),INDEX(Report_Scenarios!$B$7:$B$13,MATCH(MEDIAN($B18-Conversion!$B$16,2020,2050),Report_Scenarios!$A$7:$A$13,1)),INDEX(Report_Scenarios!$B$7:$B$13,MATCH(MEDIAN($B18-Conversion!$B$16,2020,2050),Report_Scenarios!$A$7:$A$13,1))+(INDEX(Report_Scenarios!$B$7:$B$13,MIN(MATCH(MEDIAN($B18-Conversion!$B$16,2020,2050),Report_Scenarios!$A$7:$A$13,1)+1,7))-INDEX(Report_Scenarios!$B$7:$B$13,MATCH(MEDIAN($B18-Conversion!$B$16,2020,2050),Report_Scenarios!$A$7:$A$13,1)))*(MEDIAN($B18-Conversion!$B$16,2020,2050)-INDEX(Report_Scenarios!$A$7:$A$13,MATCH(MEDIAN($B18-Conversion!$B$16,2020,2050),Report_Scenarios!$A$7:$A$13,1)))/(INDEX(Report_Scenarios!$A$7:$A$13,MIN(MATCH(MEDIAN($B18-Conversion!$B$16,2020,2050),Report_Scenarios!$A$7:$A$13,1)+1,7))-INDEX(Report_Scenarios!$A$7:$A$13,MATCH(MEDIAN($B18-Conversion!$B$16,2020,2050),Report_Scenarios!$A$7:$A$13,1)))),IF($D18="Central",IF(INDEX(Report_Scenarios!$A$18:$A$24,MIN(MATCH(MEDIAN($B18-Conversion!$B$16,2020,2050),Report_Scenarios!$A$18:$A$24,1)+1,7))=INDEX(Report_Scenarios!$A$18:$A$24,MATCH(MEDIAN($B18-Conversion!$B$16,2020,2050),Report_Scenarios!$A$18:$A$24,1)),INDEX(Report_Scenarios!$B$18:$B$24,MATCH(MEDIAN($B18-Conversion!$B$16,2020,2050),Report_Scenarios!$A$18:$A$24,1)),INDEX(Report_Scenarios!$B$18:$B$24,MATCH(MEDIAN($B18-Conversion!$B$16,2020,2050),Report_Scenarios!$A$18:$A$24,1))+(INDEX(Report_Scenarios!$B$18:$B$24,MIN(MATCH(MEDIAN($B18-Conversion!$B$16,2020,2050),Report_Scenarios!$A$18:$A$24,1)+1,7))-INDEX(Report_Scenarios!$B$18:$B$24,MATCH(MEDIAN($B18-Conversion!$B$16,2020,2050),Report_Scenarios!$A$18:$A$24,1)))*(MEDIAN($B18-Conversion!$B$16,2020,2050)-INDEX(Report_Scenarios!$A$18:$A$24,MATCH(MEDIAN($B18-Conversion!$B$16,2020,2050),Report_Scenarios!$A$18:$A$24,1)))/(INDEX(Report_Scenarios!$A$18:$A$24,MIN(MATCH(MEDIAN($B18-Conversion!$B$16,2020,2050),Report_Scenarios!$A$18:$A$24,1)+1,7))-INDEX(Report_Scenarios!$A$18:$A$24,MATCH(MEDIAN($B18-Conversion!$B$16,2020,2050),Report_Scenarios!$A$18:$A$24,1)))),IF(INDEX(Report_Scenarios!$A$29:$A$35,MIN(MATCH(MEDIAN($B18-Conversion!$B$16,2020,2050),Report_Scenarios!$A$29:$A$35,1)+1,7))=INDEX(Report_Scenarios!$A$29:$A$35,MATCH(MEDIAN($B18-Conversion!$B$16,2020,2050),Report_Scenarios!$A$29:$A$35,1)),INDEX(Report_Scenarios!$B$29:$B$35,MATCH(MEDIAN($B18-Conversion!$B$16,2020,2050),Report_Scenarios!$A$29:$A$35,1)),INDEX(Report_Scenarios!$B$29:$B$35,MATCH(MEDIAN($B18-Conversion!$B$16,2020,2050),Report_Scenarios!$A$29:$A$35,1))+(INDEX(Report_Scenarios!$B$29:$B$35,MIN(MATCH(MEDIAN($B18-Conversion!$B$16,2020,2050),Report_Scenarios!$A$29:$A$35,1)+1,7))-INDEX(Report_Scenarios!$B$29:$B$35,MATCH(MEDIAN($B18-Conversion!$B$16,2020,2050),Report_Scenarios!$A$29:$A$35,1)))*(MEDIAN($B18-Conversion!$B$16,2020,2050)-INDEX(Report_Scenarios!$A$29:$A$35,MATCH(MEDIAN($B18-Conversion!$B$16,2020,2050),Report_Scenarios!$A$29:$A$35,1)))/(INDEX(Report_Scenarios!$A$29:$A$35,MIN(MATCH(MEDIAN($B18-Conversion!$B$16,2020,2050),Report_Scenarios!$A$29:$A$35,1)+1,7))-INDEX(Report_Scenarios!$A$29:$A$35,MATCH(MEDIAN($B18-Conversion!$B$16,2020,2050),Report_Scenarios!$A$29:$A$35,1))))))</f>
        <v/>
      </c>
      <c r="F18" s="23">
        <f>IF($D18="Conservative",IF(INDEX(Report_Scenarios!$A$7:$A$13,MIN(MATCH(MEDIAN($B18-Conversion!$B$16,2020,2050),Report_Scenarios!$A$7:$A$13,1)+1,7))=INDEX(Report_Scenarios!$A$7:$A$13,MATCH(MEDIAN($B18-Conversion!$B$16,2020,2050),Report_Scenarios!$A$7:$A$13,1)),INDEX(Report_Scenarios!$C$7:$C$13,MATCH(MEDIAN($B18-Conversion!$B$16,2020,2050),Report_Scenarios!$A$7:$A$13,1)),INDEX(Report_Scenarios!$C$7:$C$13,MATCH(MEDIAN($B18-Conversion!$B$16,2020,2050),Report_Scenarios!$A$7:$A$13,1))+(INDEX(Report_Scenarios!$C$7:$C$13,MIN(MATCH(MEDIAN($B18-Conversion!$B$16,2020,2050),Report_Scenarios!$A$7:$A$13,1)+1,7))-INDEX(Report_Scenarios!$C$7:$C$13,MATCH(MEDIAN($B18-Conversion!$B$16,2020,2050),Report_Scenarios!$A$7:$A$13,1)))*(MEDIAN($B18-Conversion!$B$16,2020,2050)-INDEX(Report_Scenarios!$A$7:$A$13,MATCH(MEDIAN($B18-Conversion!$B$16,2020,2050),Report_Scenarios!$A$7:$A$13,1)))/(INDEX(Report_Scenarios!$A$7:$A$13,MIN(MATCH(MEDIAN($B18-Conversion!$B$16,2020,2050),Report_Scenarios!$A$7:$A$13,1)+1,7))-INDEX(Report_Scenarios!$A$7:$A$13,MATCH(MEDIAN($B18-Conversion!$B$16,2020,2050),Report_Scenarios!$A$7:$A$13,1)))),IF($D18="Central",IF(INDEX(Report_Scenarios!$A$18:$A$24,MIN(MATCH(MEDIAN($B18-Conversion!$B$16,2020,2050),Report_Scenarios!$A$18:$A$24,1)+1,7))=INDEX(Report_Scenarios!$A$18:$A$24,MATCH(MEDIAN($B18-Conversion!$B$16,2020,2050),Report_Scenarios!$A$18:$A$24,1)),INDEX(Report_Scenarios!$C$18:$C$24,MATCH(MEDIAN($B18-Conversion!$B$16,2020,2050),Report_Scenarios!$A$18:$A$24,1)),INDEX(Report_Scenarios!$C$18:$C$24,MATCH(MEDIAN($B18-Conversion!$B$16,2020,2050),Report_Scenarios!$A$18:$A$24,1))+(INDEX(Report_Scenarios!$C$18:$C$24,MIN(MATCH(MEDIAN($B18-Conversion!$B$16,2020,2050),Report_Scenarios!$A$18:$A$24,1)+1,7))-INDEX(Report_Scenarios!$C$18:$C$24,MATCH(MEDIAN($B18-Conversion!$B$16,2020,2050),Report_Scenarios!$A$18:$A$24,1)))*(MEDIAN($B18-Conversion!$B$16,2020,2050)-INDEX(Report_Scenarios!$A$18:$A$24,MATCH(MEDIAN($B18-Conversion!$B$16,2020,2050),Report_Scenarios!$A$18:$A$24,1)))/(INDEX(Report_Scenarios!$A$18:$A$24,MIN(MATCH(MEDIAN($B18-Conversion!$B$16,2020,2050),Report_Scenarios!$A$18:$A$24,1)+1,7))-INDEX(Report_Scenarios!$A$18:$A$24,MATCH(MEDIAN($B18-Conversion!$B$16,2020,2050),Report_Scenarios!$A$18:$A$24,1)))),IF(INDEX(Report_Scenarios!$A$29:$A$35,MIN(MATCH(MEDIAN($B18-Conversion!$B$16,2020,2050),Report_Scenarios!$A$29:$A$35,1)+1,7))=INDEX(Report_Scenarios!$A$29:$A$35,MATCH(MEDIAN($B18-Conversion!$B$16,2020,2050),Report_Scenarios!$A$29:$A$35,1)),INDEX(Report_Scenarios!$C$29:$C$35,MATCH(MEDIAN($B18-Conversion!$B$16,2020,2050),Report_Scenarios!$A$29:$A$35,1)),INDEX(Report_Scenarios!$C$29:$C$35,MATCH(MEDIAN($B18-Conversion!$B$16,2020,2050),Report_Scenarios!$A$29:$A$35,1))+(INDEX(Report_Scenarios!$C$29:$C$35,MIN(MATCH(MEDIAN($B18-Conversion!$B$16,2020,2050),Report_Scenarios!$A$29:$A$35,1)+1,7))-INDEX(Report_Scenarios!$C$29:$C$35,MATCH(MEDIAN($B18-Conversion!$B$16,2020,2050),Report_Scenarios!$A$29:$A$35,1)))*(MEDIAN($B18-Conversion!$B$16,2020,2050)-INDEX(Report_Scenarios!$A$29:$A$35,MATCH(MEDIAN($B18-Conversion!$B$16,2020,2050),Report_Scenarios!$A$29:$A$35,1)))/(INDEX(Report_Scenarios!$A$29:$A$35,MIN(MATCH(MEDIAN($B18-Conversion!$B$16,2020,2050),Report_Scenarios!$A$29:$A$35,1)+1,7))-INDEX(Report_Scenarios!$A$29:$A$35,MATCH(MEDIAN($B18-Conversion!$B$16,2020,2050),Report_Scenarios!$A$29:$A$35,1))))))</f>
        <v/>
      </c>
      <c r="G18" s="23">
        <f>IF($D18="Conservative",IF(INDEX(Report_Scenarios!$A$7:$A$13,MIN(MATCH(MEDIAN($B18-Conversion!$B$16,2020,2050),Report_Scenarios!$A$7:$A$13,1)+1,7))=INDEX(Report_Scenarios!$A$7:$A$13,MATCH(MEDIAN($B18-Conversion!$B$16,2020,2050),Report_Scenarios!$A$7:$A$13,1)),INDEX(Report_Scenarios!$D$7:$D$13,MATCH(MEDIAN($B18-Conversion!$B$16,2020,2050),Report_Scenarios!$A$7:$A$13,1)),INDEX(Report_Scenarios!$D$7:$D$13,MATCH(MEDIAN($B18-Conversion!$B$16,2020,2050),Report_Scenarios!$A$7:$A$13,1))+(INDEX(Report_Scenarios!$D$7:$D$13,MIN(MATCH(MEDIAN($B18-Conversion!$B$16,2020,2050),Report_Scenarios!$A$7:$A$13,1)+1,7))-INDEX(Report_Scenarios!$D$7:$D$13,MATCH(MEDIAN($B18-Conversion!$B$16,2020,2050),Report_Scenarios!$A$7:$A$13,1)))*(MEDIAN($B18-Conversion!$B$16,2020,2050)-INDEX(Report_Scenarios!$A$7:$A$13,MATCH(MEDIAN($B18-Conversion!$B$16,2020,2050),Report_Scenarios!$A$7:$A$13,1)))/(INDEX(Report_Scenarios!$A$7:$A$13,MIN(MATCH(MEDIAN($B18-Conversion!$B$16,2020,2050),Report_Scenarios!$A$7:$A$13,1)+1,7))-INDEX(Report_Scenarios!$A$7:$A$13,MATCH(MEDIAN($B18-Conversion!$B$16,2020,2050),Report_Scenarios!$A$7:$A$13,1)))),IF($D18="Central",IF(INDEX(Report_Scenarios!$A$18:$A$24,MIN(MATCH(MEDIAN($B18-Conversion!$B$16,2020,2050),Report_Scenarios!$A$18:$A$24,1)+1,7))=INDEX(Report_Scenarios!$A$18:$A$24,MATCH(MEDIAN($B18-Conversion!$B$16,2020,2050),Report_Scenarios!$A$18:$A$24,1)),INDEX(Report_Scenarios!$D$18:$D$24,MATCH(MEDIAN($B18-Conversion!$B$16,2020,2050),Report_Scenarios!$A$18:$A$24,1)),INDEX(Report_Scenarios!$D$18:$D$24,MATCH(MEDIAN($B18-Conversion!$B$16,2020,2050),Report_Scenarios!$A$18:$A$24,1))+(INDEX(Report_Scenarios!$D$18:$D$24,MIN(MATCH(MEDIAN($B18-Conversion!$B$16,2020,2050),Report_Scenarios!$A$18:$A$24,1)+1,7))-INDEX(Report_Scenarios!$D$18:$D$24,MATCH(MEDIAN($B18-Conversion!$B$16,2020,2050),Report_Scenarios!$A$18:$A$24,1)))*(MEDIAN($B18-Conversion!$B$16,2020,2050)-INDEX(Report_Scenarios!$A$18:$A$24,MATCH(MEDIAN($B18-Conversion!$B$16,2020,2050),Report_Scenarios!$A$18:$A$24,1)))/(INDEX(Report_Scenarios!$A$18:$A$24,MIN(MATCH(MEDIAN($B18-Conversion!$B$16,2020,2050),Report_Scenarios!$A$18:$A$24,1)+1,7))-INDEX(Report_Scenarios!$A$18:$A$24,MATCH(MEDIAN($B18-Conversion!$B$16,2020,2050),Report_Scenarios!$A$18:$A$24,1)))),IF(INDEX(Report_Scenarios!$A$29:$A$35,MIN(MATCH(MEDIAN($B18-Conversion!$B$16,2020,2050),Report_Scenarios!$A$29:$A$35,1)+1,7))=INDEX(Report_Scenarios!$A$29:$A$35,MATCH(MEDIAN($B18-Conversion!$B$16,2020,2050),Report_Scenarios!$A$29:$A$35,1)),INDEX(Report_Scenarios!$D$29:$D$35,MATCH(MEDIAN($B18-Conversion!$B$16,2020,2050),Report_Scenarios!$A$29:$A$35,1)),INDEX(Report_Scenarios!$D$29:$D$35,MATCH(MEDIAN($B18-Conversion!$B$16,2020,2050),Report_Scenarios!$A$29:$A$35,1))+(INDEX(Report_Scenarios!$D$29:$D$35,MIN(MATCH(MEDIAN($B18-Conversion!$B$16,2020,2050),Report_Scenarios!$A$29:$A$35,1)+1,7))-INDEX(Report_Scenarios!$D$29:$D$35,MATCH(MEDIAN($B18-Conversion!$B$16,2020,2050),Report_Scenarios!$A$29:$A$35,1)))*(MEDIAN($B18-Conversion!$B$16,2020,2050)-INDEX(Report_Scenarios!$A$29:$A$35,MATCH(MEDIAN($B18-Conversion!$B$16,2020,2050),Report_Scenarios!$A$29:$A$35,1)))/(INDEX(Report_Scenarios!$A$29:$A$35,MIN(MATCH(MEDIAN($B18-Conversion!$B$16,2020,2050),Report_Scenarios!$A$29:$A$35,1)+1,7))-INDEX(Report_Scenarios!$A$29:$A$35,MATCH(MEDIAN($B18-Conversion!$B$16,2020,2050),Report_Scenarios!$A$29:$A$35,1))))))</f>
        <v/>
      </c>
      <c r="H18" s="23">
        <f>IF($D18="Conservative",IF(INDEX(Report_Scenarios!$A$7:$A$13,MIN(MATCH(MEDIAN($B18-Conversion!$B$16,2020,2050),Report_Scenarios!$A$7:$A$13,1)+1,7))=INDEX(Report_Scenarios!$A$7:$A$13,MATCH(MEDIAN($B18-Conversion!$B$16,2020,2050),Report_Scenarios!$A$7:$A$13,1)),INDEX(Report_Scenarios!$E$7:$E$13,MATCH(MEDIAN($B18-Conversion!$B$16,2020,2050),Report_Scenarios!$A$7:$A$13,1)),INDEX(Report_Scenarios!$E$7:$E$13,MATCH(MEDIAN($B18-Conversion!$B$16,2020,2050),Report_Scenarios!$A$7:$A$13,1))+(INDEX(Report_Scenarios!$E$7:$E$13,MIN(MATCH(MEDIAN($B18-Conversion!$B$16,2020,2050),Report_Scenarios!$A$7:$A$13,1)+1,7))-INDEX(Report_Scenarios!$E$7:$E$13,MATCH(MEDIAN($B18-Conversion!$B$16,2020,2050),Report_Scenarios!$A$7:$A$13,1)))*(MEDIAN($B18-Conversion!$B$16,2020,2050)-INDEX(Report_Scenarios!$A$7:$A$13,MATCH(MEDIAN($B18-Conversion!$B$16,2020,2050),Report_Scenarios!$A$7:$A$13,1)))/(INDEX(Report_Scenarios!$A$7:$A$13,MIN(MATCH(MEDIAN($B18-Conversion!$B$16,2020,2050),Report_Scenarios!$A$7:$A$13,1)+1,7))-INDEX(Report_Scenarios!$A$7:$A$13,MATCH(MEDIAN($B18-Conversion!$B$16,2020,2050),Report_Scenarios!$A$7:$A$13,1)))),IF($D18="Central",IF(INDEX(Report_Scenarios!$A$18:$A$24,MIN(MATCH(MEDIAN($B18-Conversion!$B$16,2020,2050),Report_Scenarios!$A$18:$A$24,1)+1,7))=INDEX(Report_Scenarios!$A$18:$A$24,MATCH(MEDIAN($B18-Conversion!$B$16,2020,2050),Report_Scenarios!$A$18:$A$24,1)),INDEX(Report_Scenarios!$E$18:$E$24,MATCH(MEDIAN($B18-Conversion!$B$16,2020,2050),Report_Scenarios!$A$18:$A$24,1)),INDEX(Report_Scenarios!$E$18:$E$24,MATCH(MEDIAN($B18-Conversion!$B$16,2020,2050),Report_Scenarios!$A$18:$A$24,1))+(INDEX(Report_Scenarios!$E$18:$E$24,MIN(MATCH(MEDIAN($B18-Conversion!$B$16,2020,2050),Report_Scenarios!$A$18:$A$24,1)+1,7))-INDEX(Report_Scenarios!$E$18:$E$24,MATCH(MEDIAN($B18-Conversion!$B$16,2020,2050),Report_Scenarios!$A$18:$A$24,1)))*(MEDIAN($B18-Conversion!$B$16,2020,2050)-INDEX(Report_Scenarios!$A$18:$A$24,MATCH(MEDIAN($B18-Conversion!$B$16,2020,2050),Report_Scenarios!$A$18:$A$24,1)))/(INDEX(Report_Scenarios!$A$18:$A$24,MIN(MATCH(MEDIAN($B18-Conversion!$B$16,2020,2050),Report_Scenarios!$A$18:$A$24,1)+1,7))-INDEX(Report_Scenarios!$A$18:$A$24,MATCH(MEDIAN($B18-Conversion!$B$16,2020,2050),Report_Scenarios!$A$18:$A$24,1)))),IF(INDEX(Report_Scenarios!$A$29:$A$35,MIN(MATCH(MEDIAN($B18-Conversion!$B$16,2020,2050),Report_Scenarios!$A$29:$A$35,1)+1,7))=INDEX(Report_Scenarios!$A$29:$A$35,MATCH(MEDIAN($B18-Conversion!$B$16,2020,2050),Report_Scenarios!$A$29:$A$35,1)),INDEX(Report_Scenarios!$E$29:$E$35,MATCH(MEDIAN($B18-Conversion!$B$16,2020,2050),Report_Scenarios!$A$29:$A$35,1)),INDEX(Report_Scenarios!$E$29:$E$35,MATCH(MEDIAN($B18-Conversion!$B$16,2020,2050),Report_Scenarios!$A$29:$A$35,1))+(INDEX(Report_Scenarios!$E$29:$E$35,MIN(MATCH(MEDIAN($B18-Conversion!$B$16,2020,2050),Report_Scenarios!$A$29:$A$35,1)+1,7))-INDEX(Report_Scenarios!$E$29:$E$35,MATCH(MEDIAN($B18-Conversion!$B$16,2020,2050),Report_Scenarios!$A$29:$A$35,1)))*(MEDIAN($B18-Conversion!$B$16,2020,2050)-INDEX(Report_Scenarios!$A$29:$A$35,MATCH(MEDIAN($B18-Conversion!$B$16,2020,2050),Report_Scenarios!$A$29:$A$35,1)))/(INDEX(Report_Scenarios!$A$29:$A$35,MIN(MATCH(MEDIAN($B18-Conversion!$B$16,2020,2050),Report_Scenarios!$A$29:$A$35,1)+1,7))-INDEX(Report_Scenarios!$A$29:$A$35,MATCH(MEDIAN($B18-Conversion!$B$16,2020,2050),Report_Scenarios!$A$29:$A$35,1))))))</f>
        <v/>
      </c>
      <c r="I18" s="23">
        <f>IF($D18="Conservative",IF(INDEX(Report_Scenarios!$A$7:$A$13,MIN(MATCH(MEDIAN($B18-Conversion!$B$16,2020,2050),Report_Scenarios!$A$7:$A$13,1)+1,7))=INDEX(Report_Scenarios!$A$7:$A$13,MATCH(MEDIAN($B18-Conversion!$B$16,2020,2050),Report_Scenarios!$A$7:$A$13,1)),INDEX(Report_Scenarios!$F$7:$F$13,MATCH(MEDIAN($B18-Conversion!$B$16,2020,2050),Report_Scenarios!$A$7:$A$13,1)),INDEX(Report_Scenarios!$F$7:$F$13,MATCH(MEDIAN($B18-Conversion!$B$16,2020,2050),Report_Scenarios!$A$7:$A$13,1))+(INDEX(Report_Scenarios!$F$7:$F$13,MIN(MATCH(MEDIAN($B18-Conversion!$B$16,2020,2050),Report_Scenarios!$A$7:$A$13,1)+1,7))-INDEX(Report_Scenarios!$F$7:$F$13,MATCH(MEDIAN($B18-Conversion!$B$16,2020,2050),Report_Scenarios!$A$7:$A$13,1)))*(MEDIAN($B18-Conversion!$B$16,2020,2050)-INDEX(Report_Scenarios!$A$7:$A$13,MATCH(MEDIAN($B18-Conversion!$B$16,2020,2050),Report_Scenarios!$A$7:$A$13,1)))/(INDEX(Report_Scenarios!$A$7:$A$13,MIN(MATCH(MEDIAN($B18-Conversion!$B$16,2020,2050),Report_Scenarios!$A$7:$A$13,1)+1,7))-INDEX(Report_Scenarios!$A$7:$A$13,MATCH(MEDIAN($B18-Conversion!$B$16,2020,2050),Report_Scenarios!$A$7:$A$13,1)))),IF($D18="Central",IF(INDEX(Report_Scenarios!$A$18:$A$24,MIN(MATCH(MEDIAN($B18-Conversion!$B$16,2020,2050),Report_Scenarios!$A$18:$A$24,1)+1,7))=INDEX(Report_Scenarios!$A$18:$A$24,MATCH(MEDIAN($B18-Conversion!$B$16,2020,2050),Report_Scenarios!$A$18:$A$24,1)),INDEX(Report_Scenarios!$F$18:$F$24,MATCH(MEDIAN($B18-Conversion!$B$16,2020,2050),Report_Scenarios!$A$18:$A$24,1)),INDEX(Report_Scenarios!$F$18:$F$24,MATCH(MEDIAN($B18-Conversion!$B$16,2020,2050),Report_Scenarios!$A$18:$A$24,1))+(INDEX(Report_Scenarios!$F$18:$F$24,MIN(MATCH(MEDIAN($B18-Conversion!$B$16,2020,2050),Report_Scenarios!$A$18:$A$24,1)+1,7))-INDEX(Report_Scenarios!$F$18:$F$24,MATCH(MEDIAN($B18-Conversion!$B$16,2020,2050),Report_Scenarios!$A$18:$A$24,1)))*(MEDIAN($B18-Conversion!$B$16,2020,2050)-INDEX(Report_Scenarios!$A$18:$A$24,MATCH(MEDIAN($B18-Conversion!$B$16,2020,2050),Report_Scenarios!$A$18:$A$24,1)))/(INDEX(Report_Scenarios!$A$18:$A$24,MIN(MATCH(MEDIAN($B18-Conversion!$B$16,2020,2050),Report_Scenarios!$A$18:$A$24,1)+1,7))-INDEX(Report_Scenarios!$A$18:$A$24,MATCH(MEDIAN($B18-Conversion!$B$16,2020,2050),Report_Scenarios!$A$18:$A$24,1)))),IF(INDEX(Report_Scenarios!$A$29:$A$35,MIN(MATCH(MEDIAN($B18-Conversion!$B$16,2020,2050),Report_Scenarios!$A$29:$A$35,1)+1,7))=INDEX(Report_Scenarios!$A$29:$A$35,MATCH(MEDIAN($B18-Conversion!$B$16,2020,2050),Report_Scenarios!$A$29:$A$35,1)),INDEX(Report_Scenarios!$F$29:$F$35,MATCH(MEDIAN($B18-Conversion!$B$16,2020,2050),Report_Scenarios!$A$29:$A$35,1)),INDEX(Report_Scenarios!$F$29:$F$35,MATCH(MEDIAN($B18-Conversion!$B$16,2020,2050),Report_Scenarios!$A$29:$A$35,1))+(INDEX(Report_Scenarios!$F$29:$F$35,MIN(MATCH(MEDIAN($B18-Conversion!$B$16,2020,2050),Report_Scenarios!$A$29:$A$35,1)+1,7))-INDEX(Report_Scenarios!$F$29:$F$35,MATCH(MEDIAN($B18-Conversion!$B$16,2020,2050),Report_Scenarios!$A$29:$A$35,1)))*(MEDIAN($B18-Conversion!$B$16,2020,2050)-INDEX(Report_Scenarios!$A$29:$A$35,MATCH(MEDIAN($B18-Conversion!$B$16,2020,2050),Report_Scenarios!$A$29:$A$35,1)))/(INDEX(Report_Scenarios!$A$29:$A$35,MIN(MATCH(MEDIAN($B18-Conversion!$B$16,2020,2050),Report_Scenarios!$A$29:$A$35,1)+1,7))-INDEX(Report_Scenarios!$A$29:$A$35,MATCH(MEDIAN($B18-Conversion!$B$16,2020,2050),Report_Scenarios!$A$29:$A$35,1))))))</f>
        <v/>
      </c>
      <c r="J18" s="23">
        <f>IF($D18="Conservative",IF(INDEX(Report_Scenarios!$A$7:$A$13,MIN(MATCH(MEDIAN($B18-Conversion!$B$16,2020,2050),Report_Scenarios!$A$7:$A$13,1)+1,7))=INDEX(Report_Scenarios!$A$7:$A$13,MATCH(MEDIAN($B18-Conversion!$B$16,2020,2050),Report_Scenarios!$A$7:$A$13,1)),INDEX(Report_Scenarios!$G$7:$G$13,MATCH(MEDIAN($B18-Conversion!$B$16,2020,2050),Report_Scenarios!$A$7:$A$13,1)),INDEX(Report_Scenarios!$G$7:$G$13,MATCH(MEDIAN($B18-Conversion!$B$16,2020,2050),Report_Scenarios!$A$7:$A$13,1))+(INDEX(Report_Scenarios!$G$7:$G$13,MIN(MATCH(MEDIAN($B18-Conversion!$B$16,2020,2050),Report_Scenarios!$A$7:$A$13,1)+1,7))-INDEX(Report_Scenarios!$G$7:$G$13,MATCH(MEDIAN($B18-Conversion!$B$16,2020,2050),Report_Scenarios!$A$7:$A$13,1)))*(MEDIAN($B18-Conversion!$B$16,2020,2050)-INDEX(Report_Scenarios!$A$7:$A$13,MATCH(MEDIAN($B18-Conversion!$B$16,2020,2050),Report_Scenarios!$A$7:$A$13,1)))/(INDEX(Report_Scenarios!$A$7:$A$13,MIN(MATCH(MEDIAN($B18-Conversion!$B$16,2020,2050),Report_Scenarios!$A$7:$A$13,1)+1,7))-INDEX(Report_Scenarios!$A$7:$A$13,MATCH(MEDIAN($B18-Conversion!$B$16,2020,2050),Report_Scenarios!$A$7:$A$13,1)))),IF($D18="Central",IF(INDEX(Report_Scenarios!$A$18:$A$24,MIN(MATCH(MEDIAN($B18-Conversion!$B$16,2020,2050),Report_Scenarios!$A$18:$A$24,1)+1,7))=INDEX(Report_Scenarios!$A$18:$A$24,MATCH(MEDIAN($B18-Conversion!$B$16,2020,2050),Report_Scenarios!$A$18:$A$24,1)),INDEX(Report_Scenarios!$G$18:$G$24,MATCH(MEDIAN($B18-Conversion!$B$16,2020,2050),Report_Scenarios!$A$18:$A$24,1)),INDEX(Report_Scenarios!$G$18:$G$24,MATCH(MEDIAN($B18-Conversion!$B$16,2020,2050),Report_Scenarios!$A$18:$A$24,1))+(INDEX(Report_Scenarios!$G$18:$G$24,MIN(MATCH(MEDIAN($B18-Conversion!$B$16,2020,2050),Report_Scenarios!$A$18:$A$24,1)+1,7))-INDEX(Report_Scenarios!$G$18:$G$24,MATCH(MEDIAN($B18-Conversion!$B$16,2020,2050),Report_Scenarios!$A$18:$A$24,1)))*(MEDIAN($B18-Conversion!$B$16,2020,2050)-INDEX(Report_Scenarios!$A$18:$A$24,MATCH(MEDIAN($B18-Conversion!$B$16,2020,2050),Report_Scenarios!$A$18:$A$24,1)))/(INDEX(Report_Scenarios!$A$18:$A$24,MIN(MATCH(MEDIAN($B18-Conversion!$B$16,2020,2050),Report_Scenarios!$A$18:$A$24,1)+1,7))-INDEX(Report_Scenarios!$A$18:$A$24,MATCH(MEDIAN($B18-Conversion!$B$16,2020,2050),Report_Scenarios!$A$18:$A$24,1)))),IF(INDEX(Report_Scenarios!$A$29:$A$35,MIN(MATCH(MEDIAN($B18-Conversion!$B$16,2020,2050),Report_Scenarios!$A$29:$A$35,1)+1,7))=INDEX(Report_Scenarios!$A$29:$A$35,MATCH(MEDIAN($B18-Conversion!$B$16,2020,2050),Report_Scenarios!$A$29:$A$35,1)),INDEX(Report_Scenarios!$G$29:$G$35,MATCH(MEDIAN($B18-Conversion!$B$16,2020,2050),Report_Scenarios!$A$29:$A$35,1)),INDEX(Report_Scenarios!$G$29:$G$35,MATCH(MEDIAN($B18-Conversion!$B$16,2020,2050),Report_Scenarios!$A$29:$A$35,1))+(INDEX(Report_Scenarios!$G$29:$G$35,MIN(MATCH(MEDIAN($B18-Conversion!$B$16,2020,2050),Report_Scenarios!$A$29:$A$35,1)+1,7))-INDEX(Report_Scenarios!$G$29:$G$35,MATCH(MEDIAN($B18-Conversion!$B$16,2020,2050),Report_Scenarios!$A$29:$A$35,1)))*(MEDIAN($B18-Conversion!$B$16,2020,2050)-INDEX(Report_Scenarios!$A$29:$A$35,MATCH(MEDIAN($B18-Conversion!$B$16,2020,2050),Report_Scenarios!$A$29:$A$35,1)))/(INDEX(Report_Scenarios!$A$29:$A$35,MIN(MATCH(MEDIAN($B18-Conversion!$B$16,2020,2050),Report_Scenarios!$A$29:$A$35,1)+1,7))-INDEX(Report_Scenarios!$A$29:$A$35,MATCH(MEDIAN($B18-Conversion!$B$16,2020,2050),Report_Scenarios!$A$29:$A$35,1))))))</f>
        <v/>
      </c>
      <c r="K18" s="23">
        <f>SUM(E18:J18)</f>
        <v/>
      </c>
      <c r="L18" s="23">
        <f>IF(R18&lt;&gt;"",R18,IF($K18=0,0,E18/$K18))</f>
        <v/>
      </c>
      <c r="M18" s="23">
        <f>IF(S18&lt;&gt;"",S18,IF($K18=0,0,F18/$K18))</f>
        <v/>
      </c>
      <c r="N18" s="23">
        <f>IF(T18&lt;&gt;"",T18,IF($K18=0,0,G18/$K18))</f>
        <v/>
      </c>
      <c r="O18" s="23">
        <f>IF(U18&lt;&gt;"",U18,IF($K18=0,0,H18/$K18))</f>
        <v/>
      </c>
      <c r="P18" s="23">
        <f>IF(V18&lt;&gt;"",V18,IF($K18=0,0,I18/$K18))</f>
        <v/>
      </c>
      <c r="Q18" s="23">
        <f>IF(W18&lt;&gt;"",W18,IF($K18=0,0,J18/$K18))</f>
        <v/>
      </c>
      <c r="R18" s="24" t="n"/>
      <c r="S18" s="24" t="n"/>
      <c r="T18" s="24" t="n"/>
      <c r="U18" s="24" t="n"/>
      <c r="V18" s="24" t="n"/>
      <c r="W18" s="24" t="n"/>
    </row>
    <row r="19">
      <c r="A19" s="4" t="inlineStr">
        <is>
          <t>AB</t>
        </is>
      </c>
      <c r="B19" s="4" t="n">
        <v>2040</v>
      </c>
      <c r="C19" s="4" t="inlineStr">
        <is>
          <t>Share_Max</t>
        </is>
      </c>
      <c r="D19" s="4">
        <f>Conversion!$B$20</f>
        <v/>
      </c>
      <c r="E19" s="23">
        <f>IF($D19="Conservative",IF(INDEX(Report_Scenarios!$A$7:$A$13,MIN(MATCH(MEDIAN($B19-Conversion!$B$16,2020,2050),Report_Scenarios!$A$7:$A$13,1)+1,7))=INDEX(Report_Scenarios!$A$7:$A$13,MATCH(MEDIAN($B19-Conversion!$B$16,2020,2050),Report_Scenarios!$A$7:$A$13,1)),INDEX(Report_Scenarios!$B$7:$B$13,MATCH(MEDIAN($B19-Conversion!$B$16,2020,2050),Report_Scenarios!$A$7:$A$13,1)),INDEX(Report_Scenarios!$B$7:$B$13,MATCH(MEDIAN($B19-Conversion!$B$16,2020,2050),Report_Scenarios!$A$7:$A$13,1))+(INDEX(Report_Scenarios!$B$7:$B$13,MIN(MATCH(MEDIAN($B19-Conversion!$B$16,2020,2050),Report_Scenarios!$A$7:$A$13,1)+1,7))-INDEX(Report_Scenarios!$B$7:$B$13,MATCH(MEDIAN($B19-Conversion!$B$16,2020,2050),Report_Scenarios!$A$7:$A$13,1)))*(MEDIAN($B19-Conversion!$B$16,2020,2050)-INDEX(Report_Scenarios!$A$7:$A$13,MATCH(MEDIAN($B19-Conversion!$B$16,2020,2050),Report_Scenarios!$A$7:$A$13,1)))/(INDEX(Report_Scenarios!$A$7:$A$13,MIN(MATCH(MEDIAN($B19-Conversion!$B$16,2020,2050),Report_Scenarios!$A$7:$A$13,1)+1,7))-INDEX(Report_Scenarios!$A$7:$A$13,MATCH(MEDIAN($B19-Conversion!$B$16,2020,2050),Report_Scenarios!$A$7:$A$13,1)))),IF($D19="Central",IF(INDEX(Report_Scenarios!$A$18:$A$24,MIN(MATCH(MEDIAN($B19-Conversion!$B$16,2020,2050),Report_Scenarios!$A$18:$A$24,1)+1,7))=INDEX(Report_Scenarios!$A$18:$A$24,MATCH(MEDIAN($B19-Conversion!$B$16,2020,2050),Report_Scenarios!$A$18:$A$24,1)),INDEX(Report_Scenarios!$B$18:$B$24,MATCH(MEDIAN($B19-Conversion!$B$16,2020,2050),Report_Scenarios!$A$18:$A$24,1)),INDEX(Report_Scenarios!$B$18:$B$24,MATCH(MEDIAN($B19-Conversion!$B$16,2020,2050),Report_Scenarios!$A$18:$A$24,1))+(INDEX(Report_Scenarios!$B$18:$B$24,MIN(MATCH(MEDIAN($B19-Conversion!$B$16,2020,2050),Report_Scenarios!$A$18:$A$24,1)+1,7))-INDEX(Report_Scenarios!$B$18:$B$24,MATCH(MEDIAN($B19-Conversion!$B$16,2020,2050),Report_Scenarios!$A$18:$A$24,1)))*(MEDIAN($B19-Conversion!$B$16,2020,2050)-INDEX(Report_Scenarios!$A$18:$A$24,MATCH(MEDIAN($B19-Conversion!$B$16,2020,2050),Report_Scenarios!$A$18:$A$24,1)))/(INDEX(Report_Scenarios!$A$18:$A$24,MIN(MATCH(MEDIAN($B19-Conversion!$B$16,2020,2050),Report_Scenarios!$A$18:$A$24,1)+1,7))-INDEX(Report_Scenarios!$A$18:$A$24,MATCH(MEDIAN($B19-Conversion!$B$16,2020,2050),Report_Scenarios!$A$18:$A$24,1)))),IF(INDEX(Report_Scenarios!$A$29:$A$35,MIN(MATCH(MEDIAN($B19-Conversion!$B$16,2020,2050),Report_Scenarios!$A$29:$A$35,1)+1,7))=INDEX(Report_Scenarios!$A$29:$A$35,MATCH(MEDIAN($B19-Conversion!$B$16,2020,2050),Report_Scenarios!$A$29:$A$35,1)),INDEX(Report_Scenarios!$B$29:$B$35,MATCH(MEDIAN($B19-Conversion!$B$16,2020,2050),Report_Scenarios!$A$29:$A$35,1)),INDEX(Report_Scenarios!$B$29:$B$35,MATCH(MEDIAN($B19-Conversion!$B$16,2020,2050),Report_Scenarios!$A$29:$A$35,1))+(INDEX(Report_Scenarios!$B$29:$B$35,MIN(MATCH(MEDIAN($B19-Conversion!$B$16,2020,2050),Report_Scenarios!$A$29:$A$35,1)+1,7))-INDEX(Report_Scenarios!$B$29:$B$35,MATCH(MEDIAN($B19-Conversion!$B$16,2020,2050),Report_Scenarios!$A$29:$A$35,1)))*(MEDIAN($B19-Conversion!$B$16,2020,2050)-INDEX(Report_Scenarios!$A$29:$A$35,MATCH(MEDIAN($B19-Conversion!$B$16,2020,2050),Report_Scenarios!$A$29:$A$35,1)))/(INDEX(Report_Scenarios!$A$29:$A$35,MIN(MATCH(MEDIAN($B19-Conversion!$B$16,2020,2050),Report_Scenarios!$A$29:$A$35,1)+1,7))-INDEX(Report_Scenarios!$A$29:$A$35,MATCH(MEDIAN($B19-Conversion!$B$16,2020,2050),Report_Scenarios!$A$29:$A$35,1))))))</f>
        <v/>
      </c>
      <c r="F19" s="23">
        <f>IF($D19="Conservative",IF(INDEX(Report_Scenarios!$A$7:$A$13,MIN(MATCH(MEDIAN($B19-Conversion!$B$16,2020,2050),Report_Scenarios!$A$7:$A$13,1)+1,7))=INDEX(Report_Scenarios!$A$7:$A$13,MATCH(MEDIAN($B19-Conversion!$B$16,2020,2050),Report_Scenarios!$A$7:$A$13,1)),INDEX(Report_Scenarios!$C$7:$C$13,MATCH(MEDIAN($B19-Conversion!$B$16,2020,2050),Report_Scenarios!$A$7:$A$13,1)),INDEX(Report_Scenarios!$C$7:$C$13,MATCH(MEDIAN($B19-Conversion!$B$16,2020,2050),Report_Scenarios!$A$7:$A$13,1))+(INDEX(Report_Scenarios!$C$7:$C$13,MIN(MATCH(MEDIAN($B19-Conversion!$B$16,2020,2050),Report_Scenarios!$A$7:$A$13,1)+1,7))-INDEX(Report_Scenarios!$C$7:$C$13,MATCH(MEDIAN($B19-Conversion!$B$16,2020,2050),Report_Scenarios!$A$7:$A$13,1)))*(MEDIAN($B19-Conversion!$B$16,2020,2050)-INDEX(Report_Scenarios!$A$7:$A$13,MATCH(MEDIAN($B19-Conversion!$B$16,2020,2050),Report_Scenarios!$A$7:$A$13,1)))/(INDEX(Report_Scenarios!$A$7:$A$13,MIN(MATCH(MEDIAN($B19-Conversion!$B$16,2020,2050),Report_Scenarios!$A$7:$A$13,1)+1,7))-INDEX(Report_Scenarios!$A$7:$A$13,MATCH(MEDIAN($B19-Conversion!$B$16,2020,2050),Report_Scenarios!$A$7:$A$13,1)))),IF($D19="Central",IF(INDEX(Report_Scenarios!$A$18:$A$24,MIN(MATCH(MEDIAN($B19-Conversion!$B$16,2020,2050),Report_Scenarios!$A$18:$A$24,1)+1,7))=INDEX(Report_Scenarios!$A$18:$A$24,MATCH(MEDIAN($B19-Conversion!$B$16,2020,2050),Report_Scenarios!$A$18:$A$24,1)),INDEX(Report_Scenarios!$C$18:$C$24,MATCH(MEDIAN($B19-Conversion!$B$16,2020,2050),Report_Scenarios!$A$18:$A$24,1)),INDEX(Report_Scenarios!$C$18:$C$24,MATCH(MEDIAN($B19-Conversion!$B$16,2020,2050),Report_Scenarios!$A$18:$A$24,1))+(INDEX(Report_Scenarios!$C$18:$C$24,MIN(MATCH(MEDIAN($B19-Conversion!$B$16,2020,2050),Report_Scenarios!$A$18:$A$24,1)+1,7))-INDEX(Report_Scenarios!$C$18:$C$24,MATCH(MEDIAN($B19-Conversion!$B$16,2020,2050),Report_Scenarios!$A$18:$A$24,1)))*(MEDIAN($B19-Conversion!$B$16,2020,2050)-INDEX(Report_Scenarios!$A$18:$A$24,MATCH(MEDIAN($B19-Conversion!$B$16,2020,2050),Report_Scenarios!$A$18:$A$24,1)))/(INDEX(Report_Scenarios!$A$18:$A$24,MIN(MATCH(MEDIAN($B19-Conversion!$B$16,2020,2050),Report_Scenarios!$A$18:$A$24,1)+1,7))-INDEX(Report_Scenarios!$A$18:$A$24,MATCH(MEDIAN($B19-Conversion!$B$16,2020,2050),Report_Scenarios!$A$18:$A$24,1)))),IF(INDEX(Report_Scenarios!$A$29:$A$35,MIN(MATCH(MEDIAN($B19-Conversion!$B$16,2020,2050),Report_Scenarios!$A$29:$A$35,1)+1,7))=INDEX(Report_Scenarios!$A$29:$A$35,MATCH(MEDIAN($B19-Conversion!$B$16,2020,2050),Report_Scenarios!$A$29:$A$35,1)),INDEX(Report_Scenarios!$C$29:$C$35,MATCH(MEDIAN($B19-Conversion!$B$16,2020,2050),Report_Scenarios!$A$29:$A$35,1)),INDEX(Report_Scenarios!$C$29:$C$35,MATCH(MEDIAN($B19-Conversion!$B$16,2020,2050),Report_Scenarios!$A$29:$A$35,1))+(INDEX(Report_Scenarios!$C$29:$C$35,MIN(MATCH(MEDIAN($B19-Conversion!$B$16,2020,2050),Report_Scenarios!$A$29:$A$35,1)+1,7))-INDEX(Report_Scenarios!$C$29:$C$35,MATCH(MEDIAN($B19-Conversion!$B$16,2020,2050),Report_Scenarios!$A$29:$A$35,1)))*(MEDIAN($B19-Conversion!$B$16,2020,2050)-INDEX(Report_Scenarios!$A$29:$A$35,MATCH(MEDIAN($B19-Conversion!$B$16,2020,2050),Report_Scenarios!$A$29:$A$35,1)))/(INDEX(Report_Scenarios!$A$29:$A$35,MIN(MATCH(MEDIAN($B19-Conversion!$B$16,2020,2050),Report_Scenarios!$A$29:$A$35,1)+1,7))-INDEX(Report_Scenarios!$A$29:$A$35,MATCH(MEDIAN($B19-Conversion!$B$16,2020,2050),Report_Scenarios!$A$29:$A$35,1))))))</f>
        <v/>
      </c>
      <c r="G19" s="23">
        <f>IF($D19="Conservative",IF(INDEX(Report_Scenarios!$A$7:$A$13,MIN(MATCH(MEDIAN($B19-Conversion!$B$16,2020,2050),Report_Scenarios!$A$7:$A$13,1)+1,7))=INDEX(Report_Scenarios!$A$7:$A$13,MATCH(MEDIAN($B19-Conversion!$B$16,2020,2050),Report_Scenarios!$A$7:$A$13,1)),INDEX(Report_Scenarios!$D$7:$D$13,MATCH(MEDIAN($B19-Conversion!$B$16,2020,2050),Report_Scenarios!$A$7:$A$13,1)),INDEX(Report_Scenarios!$D$7:$D$13,MATCH(MEDIAN($B19-Conversion!$B$16,2020,2050),Report_Scenarios!$A$7:$A$13,1))+(INDEX(Report_Scenarios!$D$7:$D$13,MIN(MATCH(MEDIAN($B19-Conversion!$B$16,2020,2050),Report_Scenarios!$A$7:$A$13,1)+1,7))-INDEX(Report_Scenarios!$D$7:$D$13,MATCH(MEDIAN($B19-Conversion!$B$16,2020,2050),Report_Scenarios!$A$7:$A$13,1)))*(MEDIAN($B19-Conversion!$B$16,2020,2050)-INDEX(Report_Scenarios!$A$7:$A$13,MATCH(MEDIAN($B19-Conversion!$B$16,2020,2050),Report_Scenarios!$A$7:$A$13,1)))/(INDEX(Report_Scenarios!$A$7:$A$13,MIN(MATCH(MEDIAN($B19-Conversion!$B$16,2020,2050),Report_Scenarios!$A$7:$A$13,1)+1,7))-INDEX(Report_Scenarios!$A$7:$A$13,MATCH(MEDIAN($B19-Conversion!$B$16,2020,2050),Report_Scenarios!$A$7:$A$13,1)))),IF($D19="Central",IF(INDEX(Report_Scenarios!$A$18:$A$24,MIN(MATCH(MEDIAN($B19-Conversion!$B$16,2020,2050),Report_Scenarios!$A$18:$A$24,1)+1,7))=INDEX(Report_Scenarios!$A$18:$A$24,MATCH(MEDIAN($B19-Conversion!$B$16,2020,2050),Report_Scenarios!$A$18:$A$24,1)),INDEX(Report_Scenarios!$D$18:$D$24,MATCH(MEDIAN($B19-Conversion!$B$16,2020,2050),Report_Scenarios!$A$18:$A$24,1)),INDEX(Report_Scenarios!$D$18:$D$24,MATCH(MEDIAN($B19-Conversion!$B$16,2020,2050),Report_Scenarios!$A$18:$A$24,1))+(INDEX(Report_Scenarios!$D$18:$D$24,MIN(MATCH(MEDIAN($B19-Conversion!$B$16,2020,2050),Report_Scenarios!$A$18:$A$24,1)+1,7))-INDEX(Report_Scenarios!$D$18:$D$24,MATCH(MEDIAN($B19-Conversion!$B$16,2020,2050),Report_Scenarios!$A$18:$A$24,1)))*(MEDIAN($B19-Conversion!$B$16,2020,2050)-INDEX(Report_Scenarios!$A$18:$A$24,MATCH(MEDIAN($B19-Conversion!$B$16,2020,2050),Report_Scenarios!$A$18:$A$24,1)))/(INDEX(Report_Scenarios!$A$18:$A$24,MIN(MATCH(MEDIAN($B19-Conversion!$B$16,2020,2050),Report_Scenarios!$A$18:$A$24,1)+1,7))-INDEX(Report_Scenarios!$A$18:$A$24,MATCH(MEDIAN($B19-Conversion!$B$16,2020,2050),Report_Scenarios!$A$18:$A$24,1)))),IF(INDEX(Report_Scenarios!$A$29:$A$35,MIN(MATCH(MEDIAN($B19-Conversion!$B$16,2020,2050),Report_Scenarios!$A$29:$A$35,1)+1,7))=INDEX(Report_Scenarios!$A$29:$A$35,MATCH(MEDIAN($B19-Conversion!$B$16,2020,2050),Report_Scenarios!$A$29:$A$35,1)),INDEX(Report_Scenarios!$D$29:$D$35,MATCH(MEDIAN($B19-Conversion!$B$16,2020,2050),Report_Scenarios!$A$29:$A$35,1)),INDEX(Report_Scenarios!$D$29:$D$35,MATCH(MEDIAN($B19-Conversion!$B$16,2020,2050),Report_Scenarios!$A$29:$A$35,1))+(INDEX(Report_Scenarios!$D$29:$D$35,MIN(MATCH(MEDIAN($B19-Conversion!$B$16,2020,2050),Report_Scenarios!$A$29:$A$35,1)+1,7))-INDEX(Report_Scenarios!$D$29:$D$35,MATCH(MEDIAN($B19-Conversion!$B$16,2020,2050),Report_Scenarios!$A$29:$A$35,1)))*(MEDIAN($B19-Conversion!$B$16,2020,2050)-INDEX(Report_Scenarios!$A$29:$A$35,MATCH(MEDIAN($B19-Conversion!$B$16,2020,2050),Report_Scenarios!$A$29:$A$35,1)))/(INDEX(Report_Scenarios!$A$29:$A$35,MIN(MATCH(MEDIAN($B19-Conversion!$B$16,2020,2050),Report_Scenarios!$A$29:$A$35,1)+1,7))-INDEX(Report_Scenarios!$A$29:$A$35,MATCH(MEDIAN($B19-Conversion!$B$16,2020,2050),Report_Scenarios!$A$29:$A$35,1))))))</f>
        <v/>
      </c>
      <c r="H19" s="23">
        <f>IF($D19="Conservative",IF(INDEX(Report_Scenarios!$A$7:$A$13,MIN(MATCH(MEDIAN($B19-Conversion!$B$16,2020,2050),Report_Scenarios!$A$7:$A$13,1)+1,7))=INDEX(Report_Scenarios!$A$7:$A$13,MATCH(MEDIAN($B19-Conversion!$B$16,2020,2050),Report_Scenarios!$A$7:$A$13,1)),INDEX(Report_Scenarios!$E$7:$E$13,MATCH(MEDIAN($B19-Conversion!$B$16,2020,2050),Report_Scenarios!$A$7:$A$13,1)),INDEX(Report_Scenarios!$E$7:$E$13,MATCH(MEDIAN($B19-Conversion!$B$16,2020,2050),Report_Scenarios!$A$7:$A$13,1))+(INDEX(Report_Scenarios!$E$7:$E$13,MIN(MATCH(MEDIAN($B19-Conversion!$B$16,2020,2050),Report_Scenarios!$A$7:$A$13,1)+1,7))-INDEX(Report_Scenarios!$E$7:$E$13,MATCH(MEDIAN($B19-Conversion!$B$16,2020,2050),Report_Scenarios!$A$7:$A$13,1)))*(MEDIAN($B19-Conversion!$B$16,2020,2050)-INDEX(Report_Scenarios!$A$7:$A$13,MATCH(MEDIAN($B19-Conversion!$B$16,2020,2050),Report_Scenarios!$A$7:$A$13,1)))/(INDEX(Report_Scenarios!$A$7:$A$13,MIN(MATCH(MEDIAN($B19-Conversion!$B$16,2020,2050),Report_Scenarios!$A$7:$A$13,1)+1,7))-INDEX(Report_Scenarios!$A$7:$A$13,MATCH(MEDIAN($B19-Conversion!$B$16,2020,2050),Report_Scenarios!$A$7:$A$13,1)))),IF($D19="Central",IF(INDEX(Report_Scenarios!$A$18:$A$24,MIN(MATCH(MEDIAN($B19-Conversion!$B$16,2020,2050),Report_Scenarios!$A$18:$A$24,1)+1,7))=INDEX(Report_Scenarios!$A$18:$A$24,MATCH(MEDIAN($B19-Conversion!$B$16,2020,2050),Report_Scenarios!$A$18:$A$24,1)),INDEX(Report_Scenarios!$E$18:$E$24,MATCH(MEDIAN($B19-Conversion!$B$16,2020,2050),Report_Scenarios!$A$18:$A$24,1)),INDEX(Report_Scenarios!$E$18:$E$24,MATCH(MEDIAN($B19-Conversion!$B$16,2020,2050),Report_Scenarios!$A$18:$A$24,1))+(INDEX(Report_Scenarios!$E$18:$E$24,MIN(MATCH(MEDIAN($B19-Conversion!$B$16,2020,2050),Report_Scenarios!$A$18:$A$24,1)+1,7))-INDEX(Report_Scenarios!$E$18:$E$24,MATCH(MEDIAN($B19-Conversion!$B$16,2020,2050),Report_Scenarios!$A$18:$A$24,1)))*(MEDIAN($B19-Conversion!$B$16,2020,2050)-INDEX(Report_Scenarios!$A$18:$A$24,MATCH(MEDIAN($B19-Conversion!$B$16,2020,2050),Report_Scenarios!$A$18:$A$24,1)))/(INDEX(Report_Scenarios!$A$18:$A$24,MIN(MATCH(MEDIAN($B19-Conversion!$B$16,2020,2050),Report_Scenarios!$A$18:$A$24,1)+1,7))-INDEX(Report_Scenarios!$A$18:$A$24,MATCH(MEDIAN($B19-Conversion!$B$16,2020,2050),Report_Scenarios!$A$18:$A$24,1)))),IF(INDEX(Report_Scenarios!$A$29:$A$35,MIN(MATCH(MEDIAN($B19-Conversion!$B$16,2020,2050),Report_Scenarios!$A$29:$A$35,1)+1,7))=INDEX(Report_Scenarios!$A$29:$A$35,MATCH(MEDIAN($B19-Conversion!$B$16,2020,2050),Report_Scenarios!$A$29:$A$35,1)),INDEX(Report_Scenarios!$E$29:$E$35,MATCH(MEDIAN($B19-Conversion!$B$16,2020,2050),Report_Scenarios!$A$29:$A$35,1)),INDEX(Report_Scenarios!$E$29:$E$35,MATCH(MEDIAN($B19-Conversion!$B$16,2020,2050),Report_Scenarios!$A$29:$A$35,1))+(INDEX(Report_Scenarios!$E$29:$E$35,MIN(MATCH(MEDIAN($B19-Conversion!$B$16,2020,2050),Report_Scenarios!$A$29:$A$35,1)+1,7))-INDEX(Report_Scenarios!$E$29:$E$35,MATCH(MEDIAN($B19-Conversion!$B$16,2020,2050),Report_Scenarios!$A$29:$A$35,1)))*(MEDIAN($B19-Conversion!$B$16,2020,2050)-INDEX(Report_Scenarios!$A$29:$A$35,MATCH(MEDIAN($B19-Conversion!$B$16,2020,2050),Report_Scenarios!$A$29:$A$35,1)))/(INDEX(Report_Scenarios!$A$29:$A$35,MIN(MATCH(MEDIAN($B19-Conversion!$B$16,2020,2050),Report_Scenarios!$A$29:$A$35,1)+1,7))-INDEX(Report_Scenarios!$A$29:$A$35,MATCH(MEDIAN($B19-Conversion!$B$16,2020,2050),Report_Scenarios!$A$29:$A$35,1))))))</f>
        <v/>
      </c>
      <c r="I19" s="23">
        <f>IF($D19="Conservative",IF(INDEX(Report_Scenarios!$A$7:$A$13,MIN(MATCH(MEDIAN($B19-Conversion!$B$16,2020,2050),Report_Scenarios!$A$7:$A$13,1)+1,7))=INDEX(Report_Scenarios!$A$7:$A$13,MATCH(MEDIAN($B19-Conversion!$B$16,2020,2050),Report_Scenarios!$A$7:$A$13,1)),INDEX(Report_Scenarios!$F$7:$F$13,MATCH(MEDIAN($B19-Conversion!$B$16,2020,2050),Report_Scenarios!$A$7:$A$13,1)),INDEX(Report_Scenarios!$F$7:$F$13,MATCH(MEDIAN($B19-Conversion!$B$16,2020,2050),Report_Scenarios!$A$7:$A$13,1))+(INDEX(Report_Scenarios!$F$7:$F$13,MIN(MATCH(MEDIAN($B19-Conversion!$B$16,2020,2050),Report_Scenarios!$A$7:$A$13,1)+1,7))-INDEX(Report_Scenarios!$F$7:$F$13,MATCH(MEDIAN($B19-Conversion!$B$16,2020,2050),Report_Scenarios!$A$7:$A$13,1)))*(MEDIAN($B19-Conversion!$B$16,2020,2050)-INDEX(Report_Scenarios!$A$7:$A$13,MATCH(MEDIAN($B19-Conversion!$B$16,2020,2050),Report_Scenarios!$A$7:$A$13,1)))/(INDEX(Report_Scenarios!$A$7:$A$13,MIN(MATCH(MEDIAN($B19-Conversion!$B$16,2020,2050),Report_Scenarios!$A$7:$A$13,1)+1,7))-INDEX(Report_Scenarios!$A$7:$A$13,MATCH(MEDIAN($B19-Conversion!$B$16,2020,2050),Report_Scenarios!$A$7:$A$13,1)))),IF($D19="Central",IF(INDEX(Report_Scenarios!$A$18:$A$24,MIN(MATCH(MEDIAN($B19-Conversion!$B$16,2020,2050),Report_Scenarios!$A$18:$A$24,1)+1,7))=INDEX(Report_Scenarios!$A$18:$A$24,MATCH(MEDIAN($B19-Conversion!$B$16,2020,2050),Report_Scenarios!$A$18:$A$24,1)),INDEX(Report_Scenarios!$F$18:$F$24,MATCH(MEDIAN($B19-Conversion!$B$16,2020,2050),Report_Scenarios!$A$18:$A$24,1)),INDEX(Report_Scenarios!$F$18:$F$24,MATCH(MEDIAN($B19-Conversion!$B$16,2020,2050),Report_Scenarios!$A$18:$A$24,1))+(INDEX(Report_Scenarios!$F$18:$F$24,MIN(MATCH(MEDIAN($B19-Conversion!$B$16,2020,2050),Report_Scenarios!$A$18:$A$24,1)+1,7))-INDEX(Report_Scenarios!$F$18:$F$24,MATCH(MEDIAN($B19-Conversion!$B$16,2020,2050),Report_Scenarios!$A$18:$A$24,1)))*(MEDIAN($B19-Conversion!$B$16,2020,2050)-INDEX(Report_Scenarios!$A$18:$A$24,MATCH(MEDIAN($B19-Conversion!$B$16,2020,2050),Report_Scenarios!$A$18:$A$24,1)))/(INDEX(Report_Scenarios!$A$18:$A$24,MIN(MATCH(MEDIAN($B19-Conversion!$B$16,2020,2050),Report_Scenarios!$A$18:$A$24,1)+1,7))-INDEX(Report_Scenarios!$A$18:$A$24,MATCH(MEDIAN($B19-Conversion!$B$16,2020,2050),Report_Scenarios!$A$18:$A$24,1)))),IF(INDEX(Report_Scenarios!$A$29:$A$35,MIN(MATCH(MEDIAN($B19-Conversion!$B$16,2020,2050),Report_Scenarios!$A$29:$A$35,1)+1,7))=INDEX(Report_Scenarios!$A$29:$A$35,MATCH(MEDIAN($B19-Conversion!$B$16,2020,2050),Report_Scenarios!$A$29:$A$35,1)),INDEX(Report_Scenarios!$F$29:$F$35,MATCH(MEDIAN($B19-Conversion!$B$16,2020,2050),Report_Scenarios!$A$29:$A$35,1)),INDEX(Report_Scenarios!$F$29:$F$35,MATCH(MEDIAN($B19-Conversion!$B$16,2020,2050),Report_Scenarios!$A$29:$A$35,1))+(INDEX(Report_Scenarios!$F$29:$F$35,MIN(MATCH(MEDIAN($B19-Conversion!$B$16,2020,2050),Report_Scenarios!$A$29:$A$35,1)+1,7))-INDEX(Report_Scenarios!$F$29:$F$35,MATCH(MEDIAN($B19-Conversion!$B$16,2020,2050),Report_Scenarios!$A$29:$A$35,1)))*(MEDIAN($B19-Conversion!$B$16,2020,2050)-INDEX(Report_Scenarios!$A$29:$A$35,MATCH(MEDIAN($B19-Conversion!$B$16,2020,2050),Report_Scenarios!$A$29:$A$35,1)))/(INDEX(Report_Scenarios!$A$29:$A$35,MIN(MATCH(MEDIAN($B19-Conversion!$B$16,2020,2050),Report_Scenarios!$A$29:$A$35,1)+1,7))-INDEX(Report_Scenarios!$A$29:$A$35,MATCH(MEDIAN($B19-Conversion!$B$16,2020,2050),Report_Scenarios!$A$29:$A$35,1))))))</f>
        <v/>
      </c>
      <c r="J19" s="23">
        <f>IF($D19="Conservative",IF(INDEX(Report_Scenarios!$A$7:$A$13,MIN(MATCH(MEDIAN($B19-Conversion!$B$16,2020,2050),Report_Scenarios!$A$7:$A$13,1)+1,7))=INDEX(Report_Scenarios!$A$7:$A$13,MATCH(MEDIAN($B19-Conversion!$B$16,2020,2050),Report_Scenarios!$A$7:$A$13,1)),INDEX(Report_Scenarios!$G$7:$G$13,MATCH(MEDIAN($B19-Conversion!$B$16,2020,2050),Report_Scenarios!$A$7:$A$13,1)),INDEX(Report_Scenarios!$G$7:$G$13,MATCH(MEDIAN($B19-Conversion!$B$16,2020,2050),Report_Scenarios!$A$7:$A$13,1))+(INDEX(Report_Scenarios!$G$7:$G$13,MIN(MATCH(MEDIAN($B19-Conversion!$B$16,2020,2050),Report_Scenarios!$A$7:$A$13,1)+1,7))-INDEX(Report_Scenarios!$G$7:$G$13,MATCH(MEDIAN($B19-Conversion!$B$16,2020,2050),Report_Scenarios!$A$7:$A$13,1)))*(MEDIAN($B19-Conversion!$B$16,2020,2050)-INDEX(Report_Scenarios!$A$7:$A$13,MATCH(MEDIAN($B19-Conversion!$B$16,2020,2050),Report_Scenarios!$A$7:$A$13,1)))/(INDEX(Report_Scenarios!$A$7:$A$13,MIN(MATCH(MEDIAN($B19-Conversion!$B$16,2020,2050),Report_Scenarios!$A$7:$A$13,1)+1,7))-INDEX(Report_Scenarios!$A$7:$A$13,MATCH(MEDIAN($B19-Conversion!$B$16,2020,2050),Report_Scenarios!$A$7:$A$13,1)))),IF($D19="Central",IF(INDEX(Report_Scenarios!$A$18:$A$24,MIN(MATCH(MEDIAN($B19-Conversion!$B$16,2020,2050),Report_Scenarios!$A$18:$A$24,1)+1,7))=INDEX(Report_Scenarios!$A$18:$A$24,MATCH(MEDIAN($B19-Conversion!$B$16,2020,2050),Report_Scenarios!$A$18:$A$24,1)),INDEX(Report_Scenarios!$G$18:$G$24,MATCH(MEDIAN($B19-Conversion!$B$16,2020,2050),Report_Scenarios!$A$18:$A$24,1)),INDEX(Report_Scenarios!$G$18:$G$24,MATCH(MEDIAN($B19-Conversion!$B$16,2020,2050),Report_Scenarios!$A$18:$A$24,1))+(INDEX(Report_Scenarios!$G$18:$G$24,MIN(MATCH(MEDIAN($B19-Conversion!$B$16,2020,2050),Report_Scenarios!$A$18:$A$24,1)+1,7))-INDEX(Report_Scenarios!$G$18:$G$24,MATCH(MEDIAN($B19-Conversion!$B$16,2020,2050),Report_Scenarios!$A$18:$A$24,1)))*(MEDIAN($B19-Conversion!$B$16,2020,2050)-INDEX(Report_Scenarios!$A$18:$A$24,MATCH(MEDIAN($B19-Conversion!$B$16,2020,2050),Report_Scenarios!$A$18:$A$24,1)))/(INDEX(Report_Scenarios!$A$18:$A$24,MIN(MATCH(MEDIAN($B19-Conversion!$B$16,2020,2050),Report_Scenarios!$A$18:$A$24,1)+1,7))-INDEX(Report_Scenarios!$A$18:$A$24,MATCH(MEDIAN($B19-Conversion!$B$16,2020,2050),Report_Scenarios!$A$18:$A$24,1)))),IF(INDEX(Report_Scenarios!$A$29:$A$35,MIN(MATCH(MEDIAN($B19-Conversion!$B$16,2020,2050),Report_Scenarios!$A$29:$A$35,1)+1,7))=INDEX(Report_Scenarios!$A$29:$A$35,MATCH(MEDIAN($B19-Conversion!$B$16,2020,2050),Report_Scenarios!$A$29:$A$35,1)),INDEX(Report_Scenarios!$G$29:$G$35,MATCH(MEDIAN($B19-Conversion!$B$16,2020,2050),Report_Scenarios!$A$29:$A$35,1)),INDEX(Report_Scenarios!$G$29:$G$35,MATCH(MEDIAN($B19-Conversion!$B$16,2020,2050),Report_Scenarios!$A$29:$A$35,1))+(INDEX(Report_Scenarios!$G$29:$G$35,MIN(MATCH(MEDIAN($B19-Conversion!$B$16,2020,2050),Report_Scenarios!$A$29:$A$35,1)+1,7))-INDEX(Report_Scenarios!$G$29:$G$35,MATCH(MEDIAN($B19-Conversion!$B$16,2020,2050),Report_Scenarios!$A$29:$A$35,1)))*(MEDIAN($B19-Conversion!$B$16,2020,2050)-INDEX(Report_Scenarios!$A$29:$A$35,MATCH(MEDIAN($B19-Conversion!$B$16,2020,2050),Report_Scenarios!$A$29:$A$35,1)))/(INDEX(Report_Scenarios!$A$29:$A$35,MIN(MATCH(MEDIAN($B19-Conversion!$B$16,2020,2050),Report_Scenarios!$A$29:$A$35,1)+1,7))-INDEX(Report_Scenarios!$A$29:$A$35,MATCH(MEDIAN($B19-Conversion!$B$16,2020,2050),Report_Scenarios!$A$29:$A$35,1))))))</f>
        <v/>
      </c>
      <c r="K19" s="23">
        <f>SUM(E19:J19)</f>
        <v/>
      </c>
      <c r="L19" s="23">
        <f>IF(R19&lt;&gt;"",R19,IF($K19=0,0,E19/$K19))</f>
        <v/>
      </c>
      <c r="M19" s="23">
        <f>IF(S19&lt;&gt;"",S19,IF($K19=0,0,F19/$K19))</f>
        <v/>
      </c>
      <c r="N19" s="23">
        <f>IF(T19&lt;&gt;"",T19,IF($K19=0,0,G19/$K19))</f>
        <v/>
      </c>
      <c r="O19" s="23">
        <f>IF(U19&lt;&gt;"",U19,IF($K19=0,0,H19/$K19))</f>
        <v/>
      </c>
      <c r="P19" s="23">
        <f>IF(V19&lt;&gt;"",V19,IF($K19=0,0,I19/$K19))</f>
        <v/>
      </c>
      <c r="Q19" s="23">
        <f>IF(W19&lt;&gt;"",W19,IF($K19=0,0,J19/$K19))</f>
        <v/>
      </c>
      <c r="R19" s="24" t="n"/>
      <c r="S19" s="24" t="n"/>
      <c r="T19" s="24" t="n"/>
      <c r="U19" s="24" t="n"/>
      <c r="V19" s="24" t="n"/>
      <c r="W19" s="24" t="n"/>
    </row>
    <row r="20">
      <c r="A20" s="4" t="inlineStr">
        <is>
          <t>AB</t>
        </is>
      </c>
      <c r="B20" s="4" t="n">
        <v>2045</v>
      </c>
      <c r="C20" s="4" t="inlineStr">
        <is>
          <t>Share_Min</t>
        </is>
      </c>
      <c r="D20" s="4">
        <f>Conversion!$B$18</f>
        <v/>
      </c>
      <c r="E20" s="23">
        <f>IF($D20="Conservative",IF(INDEX(Report_Scenarios!$A$7:$A$13,MIN(MATCH(MEDIAN($B20-Conversion!$B$16,2020,2050),Report_Scenarios!$A$7:$A$13,1)+1,7))=INDEX(Report_Scenarios!$A$7:$A$13,MATCH(MEDIAN($B20-Conversion!$B$16,2020,2050),Report_Scenarios!$A$7:$A$13,1)),INDEX(Report_Scenarios!$B$7:$B$13,MATCH(MEDIAN($B20-Conversion!$B$16,2020,2050),Report_Scenarios!$A$7:$A$13,1)),INDEX(Report_Scenarios!$B$7:$B$13,MATCH(MEDIAN($B20-Conversion!$B$16,2020,2050),Report_Scenarios!$A$7:$A$13,1))+(INDEX(Report_Scenarios!$B$7:$B$13,MIN(MATCH(MEDIAN($B20-Conversion!$B$16,2020,2050),Report_Scenarios!$A$7:$A$13,1)+1,7))-INDEX(Report_Scenarios!$B$7:$B$13,MATCH(MEDIAN($B20-Conversion!$B$16,2020,2050),Report_Scenarios!$A$7:$A$13,1)))*(MEDIAN($B20-Conversion!$B$16,2020,2050)-INDEX(Report_Scenarios!$A$7:$A$13,MATCH(MEDIAN($B20-Conversion!$B$16,2020,2050),Report_Scenarios!$A$7:$A$13,1)))/(INDEX(Report_Scenarios!$A$7:$A$13,MIN(MATCH(MEDIAN($B20-Conversion!$B$16,2020,2050),Report_Scenarios!$A$7:$A$13,1)+1,7))-INDEX(Report_Scenarios!$A$7:$A$13,MATCH(MEDIAN($B20-Conversion!$B$16,2020,2050),Report_Scenarios!$A$7:$A$13,1)))),IF($D20="Central",IF(INDEX(Report_Scenarios!$A$18:$A$24,MIN(MATCH(MEDIAN($B20-Conversion!$B$16,2020,2050),Report_Scenarios!$A$18:$A$24,1)+1,7))=INDEX(Report_Scenarios!$A$18:$A$24,MATCH(MEDIAN($B20-Conversion!$B$16,2020,2050),Report_Scenarios!$A$18:$A$24,1)),INDEX(Report_Scenarios!$B$18:$B$24,MATCH(MEDIAN($B20-Conversion!$B$16,2020,2050),Report_Scenarios!$A$18:$A$24,1)),INDEX(Report_Scenarios!$B$18:$B$24,MATCH(MEDIAN($B20-Conversion!$B$16,2020,2050),Report_Scenarios!$A$18:$A$24,1))+(INDEX(Report_Scenarios!$B$18:$B$24,MIN(MATCH(MEDIAN($B20-Conversion!$B$16,2020,2050),Report_Scenarios!$A$18:$A$24,1)+1,7))-INDEX(Report_Scenarios!$B$18:$B$24,MATCH(MEDIAN($B20-Conversion!$B$16,2020,2050),Report_Scenarios!$A$18:$A$24,1)))*(MEDIAN($B20-Conversion!$B$16,2020,2050)-INDEX(Report_Scenarios!$A$18:$A$24,MATCH(MEDIAN($B20-Conversion!$B$16,2020,2050),Report_Scenarios!$A$18:$A$24,1)))/(INDEX(Report_Scenarios!$A$18:$A$24,MIN(MATCH(MEDIAN($B20-Conversion!$B$16,2020,2050),Report_Scenarios!$A$18:$A$24,1)+1,7))-INDEX(Report_Scenarios!$A$18:$A$24,MATCH(MEDIAN($B20-Conversion!$B$16,2020,2050),Report_Scenarios!$A$18:$A$24,1)))),IF(INDEX(Report_Scenarios!$A$29:$A$35,MIN(MATCH(MEDIAN($B20-Conversion!$B$16,2020,2050),Report_Scenarios!$A$29:$A$35,1)+1,7))=INDEX(Report_Scenarios!$A$29:$A$35,MATCH(MEDIAN($B20-Conversion!$B$16,2020,2050),Report_Scenarios!$A$29:$A$35,1)),INDEX(Report_Scenarios!$B$29:$B$35,MATCH(MEDIAN($B20-Conversion!$B$16,2020,2050),Report_Scenarios!$A$29:$A$35,1)),INDEX(Report_Scenarios!$B$29:$B$35,MATCH(MEDIAN($B20-Conversion!$B$16,2020,2050),Report_Scenarios!$A$29:$A$35,1))+(INDEX(Report_Scenarios!$B$29:$B$35,MIN(MATCH(MEDIAN($B20-Conversion!$B$16,2020,2050),Report_Scenarios!$A$29:$A$35,1)+1,7))-INDEX(Report_Scenarios!$B$29:$B$35,MATCH(MEDIAN($B20-Conversion!$B$16,2020,2050),Report_Scenarios!$A$29:$A$35,1)))*(MEDIAN($B20-Conversion!$B$16,2020,2050)-INDEX(Report_Scenarios!$A$29:$A$35,MATCH(MEDIAN($B20-Conversion!$B$16,2020,2050),Report_Scenarios!$A$29:$A$35,1)))/(INDEX(Report_Scenarios!$A$29:$A$35,MIN(MATCH(MEDIAN($B20-Conversion!$B$16,2020,2050),Report_Scenarios!$A$29:$A$35,1)+1,7))-INDEX(Report_Scenarios!$A$29:$A$35,MATCH(MEDIAN($B20-Conversion!$B$16,2020,2050),Report_Scenarios!$A$29:$A$35,1))))))</f>
        <v/>
      </c>
      <c r="F20" s="23">
        <f>IF($D20="Conservative",IF(INDEX(Report_Scenarios!$A$7:$A$13,MIN(MATCH(MEDIAN($B20-Conversion!$B$16,2020,2050),Report_Scenarios!$A$7:$A$13,1)+1,7))=INDEX(Report_Scenarios!$A$7:$A$13,MATCH(MEDIAN($B20-Conversion!$B$16,2020,2050),Report_Scenarios!$A$7:$A$13,1)),INDEX(Report_Scenarios!$C$7:$C$13,MATCH(MEDIAN($B20-Conversion!$B$16,2020,2050),Report_Scenarios!$A$7:$A$13,1)),INDEX(Report_Scenarios!$C$7:$C$13,MATCH(MEDIAN($B20-Conversion!$B$16,2020,2050),Report_Scenarios!$A$7:$A$13,1))+(INDEX(Report_Scenarios!$C$7:$C$13,MIN(MATCH(MEDIAN($B20-Conversion!$B$16,2020,2050),Report_Scenarios!$A$7:$A$13,1)+1,7))-INDEX(Report_Scenarios!$C$7:$C$13,MATCH(MEDIAN($B20-Conversion!$B$16,2020,2050),Report_Scenarios!$A$7:$A$13,1)))*(MEDIAN($B20-Conversion!$B$16,2020,2050)-INDEX(Report_Scenarios!$A$7:$A$13,MATCH(MEDIAN($B20-Conversion!$B$16,2020,2050),Report_Scenarios!$A$7:$A$13,1)))/(INDEX(Report_Scenarios!$A$7:$A$13,MIN(MATCH(MEDIAN($B20-Conversion!$B$16,2020,2050),Report_Scenarios!$A$7:$A$13,1)+1,7))-INDEX(Report_Scenarios!$A$7:$A$13,MATCH(MEDIAN($B20-Conversion!$B$16,2020,2050),Report_Scenarios!$A$7:$A$13,1)))),IF($D20="Central",IF(INDEX(Report_Scenarios!$A$18:$A$24,MIN(MATCH(MEDIAN($B20-Conversion!$B$16,2020,2050),Report_Scenarios!$A$18:$A$24,1)+1,7))=INDEX(Report_Scenarios!$A$18:$A$24,MATCH(MEDIAN($B20-Conversion!$B$16,2020,2050),Report_Scenarios!$A$18:$A$24,1)),INDEX(Report_Scenarios!$C$18:$C$24,MATCH(MEDIAN($B20-Conversion!$B$16,2020,2050),Report_Scenarios!$A$18:$A$24,1)),INDEX(Report_Scenarios!$C$18:$C$24,MATCH(MEDIAN($B20-Conversion!$B$16,2020,2050),Report_Scenarios!$A$18:$A$24,1))+(INDEX(Report_Scenarios!$C$18:$C$24,MIN(MATCH(MEDIAN($B20-Conversion!$B$16,2020,2050),Report_Scenarios!$A$18:$A$24,1)+1,7))-INDEX(Report_Scenarios!$C$18:$C$24,MATCH(MEDIAN($B20-Conversion!$B$16,2020,2050),Report_Scenarios!$A$18:$A$24,1)))*(MEDIAN($B20-Conversion!$B$16,2020,2050)-INDEX(Report_Scenarios!$A$18:$A$24,MATCH(MEDIAN($B20-Conversion!$B$16,2020,2050),Report_Scenarios!$A$18:$A$24,1)))/(INDEX(Report_Scenarios!$A$18:$A$24,MIN(MATCH(MEDIAN($B20-Conversion!$B$16,2020,2050),Report_Scenarios!$A$18:$A$24,1)+1,7))-INDEX(Report_Scenarios!$A$18:$A$24,MATCH(MEDIAN($B20-Conversion!$B$16,2020,2050),Report_Scenarios!$A$18:$A$24,1)))),IF(INDEX(Report_Scenarios!$A$29:$A$35,MIN(MATCH(MEDIAN($B20-Conversion!$B$16,2020,2050),Report_Scenarios!$A$29:$A$35,1)+1,7))=INDEX(Report_Scenarios!$A$29:$A$35,MATCH(MEDIAN($B20-Conversion!$B$16,2020,2050),Report_Scenarios!$A$29:$A$35,1)),INDEX(Report_Scenarios!$C$29:$C$35,MATCH(MEDIAN($B20-Conversion!$B$16,2020,2050),Report_Scenarios!$A$29:$A$35,1)),INDEX(Report_Scenarios!$C$29:$C$35,MATCH(MEDIAN($B20-Conversion!$B$16,2020,2050),Report_Scenarios!$A$29:$A$35,1))+(INDEX(Report_Scenarios!$C$29:$C$35,MIN(MATCH(MEDIAN($B20-Conversion!$B$16,2020,2050),Report_Scenarios!$A$29:$A$35,1)+1,7))-INDEX(Report_Scenarios!$C$29:$C$35,MATCH(MEDIAN($B20-Conversion!$B$16,2020,2050),Report_Scenarios!$A$29:$A$35,1)))*(MEDIAN($B20-Conversion!$B$16,2020,2050)-INDEX(Report_Scenarios!$A$29:$A$35,MATCH(MEDIAN($B20-Conversion!$B$16,2020,2050),Report_Scenarios!$A$29:$A$35,1)))/(INDEX(Report_Scenarios!$A$29:$A$35,MIN(MATCH(MEDIAN($B20-Conversion!$B$16,2020,2050),Report_Scenarios!$A$29:$A$35,1)+1,7))-INDEX(Report_Scenarios!$A$29:$A$35,MATCH(MEDIAN($B20-Conversion!$B$16,2020,2050),Report_Scenarios!$A$29:$A$35,1))))))</f>
        <v/>
      </c>
      <c r="G20" s="23">
        <f>IF($D20="Conservative",IF(INDEX(Report_Scenarios!$A$7:$A$13,MIN(MATCH(MEDIAN($B20-Conversion!$B$16,2020,2050),Report_Scenarios!$A$7:$A$13,1)+1,7))=INDEX(Report_Scenarios!$A$7:$A$13,MATCH(MEDIAN($B20-Conversion!$B$16,2020,2050),Report_Scenarios!$A$7:$A$13,1)),INDEX(Report_Scenarios!$D$7:$D$13,MATCH(MEDIAN($B20-Conversion!$B$16,2020,2050),Report_Scenarios!$A$7:$A$13,1)),INDEX(Report_Scenarios!$D$7:$D$13,MATCH(MEDIAN($B20-Conversion!$B$16,2020,2050),Report_Scenarios!$A$7:$A$13,1))+(INDEX(Report_Scenarios!$D$7:$D$13,MIN(MATCH(MEDIAN($B20-Conversion!$B$16,2020,2050),Report_Scenarios!$A$7:$A$13,1)+1,7))-INDEX(Report_Scenarios!$D$7:$D$13,MATCH(MEDIAN($B20-Conversion!$B$16,2020,2050),Report_Scenarios!$A$7:$A$13,1)))*(MEDIAN($B20-Conversion!$B$16,2020,2050)-INDEX(Report_Scenarios!$A$7:$A$13,MATCH(MEDIAN($B20-Conversion!$B$16,2020,2050),Report_Scenarios!$A$7:$A$13,1)))/(INDEX(Report_Scenarios!$A$7:$A$13,MIN(MATCH(MEDIAN($B20-Conversion!$B$16,2020,2050),Report_Scenarios!$A$7:$A$13,1)+1,7))-INDEX(Report_Scenarios!$A$7:$A$13,MATCH(MEDIAN($B20-Conversion!$B$16,2020,2050),Report_Scenarios!$A$7:$A$13,1)))),IF($D20="Central",IF(INDEX(Report_Scenarios!$A$18:$A$24,MIN(MATCH(MEDIAN($B20-Conversion!$B$16,2020,2050),Report_Scenarios!$A$18:$A$24,1)+1,7))=INDEX(Report_Scenarios!$A$18:$A$24,MATCH(MEDIAN($B20-Conversion!$B$16,2020,2050),Report_Scenarios!$A$18:$A$24,1)),INDEX(Report_Scenarios!$D$18:$D$24,MATCH(MEDIAN($B20-Conversion!$B$16,2020,2050),Report_Scenarios!$A$18:$A$24,1)),INDEX(Report_Scenarios!$D$18:$D$24,MATCH(MEDIAN($B20-Conversion!$B$16,2020,2050),Report_Scenarios!$A$18:$A$24,1))+(INDEX(Report_Scenarios!$D$18:$D$24,MIN(MATCH(MEDIAN($B20-Conversion!$B$16,2020,2050),Report_Scenarios!$A$18:$A$24,1)+1,7))-INDEX(Report_Scenarios!$D$18:$D$24,MATCH(MEDIAN($B20-Conversion!$B$16,2020,2050),Report_Scenarios!$A$18:$A$24,1)))*(MEDIAN($B20-Conversion!$B$16,2020,2050)-INDEX(Report_Scenarios!$A$18:$A$24,MATCH(MEDIAN($B20-Conversion!$B$16,2020,2050),Report_Scenarios!$A$18:$A$24,1)))/(INDEX(Report_Scenarios!$A$18:$A$24,MIN(MATCH(MEDIAN($B20-Conversion!$B$16,2020,2050),Report_Scenarios!$A$18:$A$24,1)+1,7))-INDEX(Report_Scenarios!$A$18:$A$24,MATCH(MEDIAN($B20-Conversion!$B$16,2020,2050),Report_Scenarios!$A$18:$A$24,1)))),IF(INDEX(Report_Scenarios!$A$29:$A$35,MIN(MATCH(MEDIAN($B20-Conversion!$B$16,2020,2050),Report_Scenarios!$A$29:$A$35,1)+1,7))=INDEX(Report_Scenarios!$A$29:$A$35,MATCH(MEDIAN($B20-Conversion!$B$16,2020,2050),Report_Scenarios!$A$29:$A$35,1)),INDEX(Report_Scenarios!$D$29:$D$35,MATCH(MEDIAN($B20-Conversion!$B$16,2020,2050),Report_Scenarios!$A$29:$A$35,1)),INDEX(Report_Scenarios!$D$29:$D$35,MATCH(MEDIAN($B20-Conversion!$B$16,2020,2050),Report_Scenarios!$A$29:$A$35,1))+(INDEX(Report_Scenarios!$D$29:$D$35,MIN(MATCH(MEDIAN($B20-Conversion!$B$16,2020,2050),Report_Scenarios!$A$29:$A$35,1)+1,7))-INDEX(Report_Scenarios!$D$29:$D$35,MATCH(MEDIAN($B20-Conversion!$B$16,2020,2050),Report_Scenarios!$A$29:$A$35,1)))*(MEDIAN($B20-Conversion!$B$16,2020,2050)-INDEX(Report_Scenarios!$A$29:$A$35,MATCH(MEDIAN($B20-Conversion!$B$16,2020,2050),Report_Scenarios!$A$29:$A$35,1)))/(INDEX(Report_Scenarios!$A$29:$A$35,MIN(MATCH(MEDIAN($B20-Conversion!$B$16,2020,2050),Report_Scenarios!$A$29:$A$35,1)+1,7))-INDEX(Report_Scenarios!$A$29:$A$35,MATCH(MEDIAN($B20-Conversion!$B$16,2020,2050),Report_Scenarios!$A$29:$A$35,1))))))</f>
        <v/>
      </c>
      <c r="H20" s="23">
        <f>IF($D20="Conservative",IF(INDEX(Report_Scenarios!$A$7:$A$13,MIN(MATCH(MEDIAN($B20-Conversion!$B$16,2020,2050),Report_Scenarios!$A$7:$A$13,1)+1,7))=INDEX(Report_Scenarios!$A$7:$A$13,MATCH(MEDIAN($B20-Conversion!$B$16,2020,2050),Report_Scenarios!$A$7:$A$13,1)),INDEX(Report_Scenarios!$E$7:$E$13,MATCH(MEDIAN($B20-Conversion!$B$16,2020,2050),Report_Scenarios!$A$7:$A$13,1)),INDEX(Report_Scenarios!$E$7:$E$13,MATCH(MEDIAN($B20-Conversion!$B$16,2020,2050),Report_Scenarios!$A$7:$A$13,1))+(INDEX(Report_Scenarios!$E$7:$E$13,MIN(MATCH(MEDIAN($B20-Conversion!$B$16,2020,2050),Report_Scenarios!$A$7:$A$13,1)+1,7))-INDEX(Report_Scenarios!$E$7:$E$13,MATCH(MEDIAN($B20-Conversion!$B$16,2020,2050),Report_Scenarios!$A$7:$A$13,1)))*(MEDIAN($B20-Conversion!$B$16,2020,2050)-INDEX(Report_Scenarios!$A$7:$A$13,MATCH(MEDIAN($B20-Conversion!$B$16,2020,2050),Report_Scenarios!$A$7:$A$13,1)))/(INDEX(Report_Scenarios!$A$7:$A$13,MIN(MATCH(MEDIAN($B20-Conversion!$B$16,2020,2050),Report_Scenarios!$A$7:$A$13,1)+1,7))-INDEX(Report_Scenarios!$A$7:$A$13,MATCH(MEDIAN($B20-Conversion!$B$16,2020,2050),Report_Scenarios!$A$7:$A$13,1)))),IF($D20="Central",IF(INDEX(Report_Scenarios!$A$18:$A$24,MIN(MATCH(MEDIAN($B20-Conversion!$B$16,2020,2050),Report_Scenarios!$A$18:$A$24,1)+1,7))=INDEX(Report_Scenarios!$A$18:$A$24,MATCH(MEDIAN($B20-Conversion!$B$16,2020,2050),Report_Scenarios!$A$18:$A$24,1)),INDEX(Report_Scenarios!$E$18:$E$24,MATCH(MEDIAN($B20-Conversion!$B$16,2020,2050),Report_Scenarios!$A$18:$A$24,1)),INDEX(Report_Scenarios!$E$18:$E$24,MATCH(MEDIAN($B20-Conversion!$B$16,2020,2050),Report_Scenarios!$A$18:$A$24,1))+(INDEX(Report_Scenarios!$E$18:$E$24,MIN(MATCH(MEDIAN($B20-Conversion!$B$16,2020,2050),Report_Scenarios!$A$18:$A$24,1)+1,7))-INDEX(Report_Scenarios!$E$18:$E$24,MATCH(MEDIAN($B20-Conversion!$B$16,2020,2050),Report_Scenarios!$A$18:$A$24,1)))*(MEDIAN($B20-Conversion!$B$16,2020,2050)-INDEX(Report_Scenarios!$A$18:$A$24,MATCH(MEDIAN($B20-Conversion!$B$16,2020,2050),Report_Scenarios!$A$18:$A$24,1)))/(INDEX(Report_Scenarios!$A$18:$A$24,MIN(MATCH(MEDIAN($B20-Conversion!$B$16,2020,2050),Report_Scenarios!$A$18:$A$24,1)+1,7))-INDEX(Report_Scenarios!$A$18:$A$24,MATCH(MEDIAN($B20-Conversion!$B$16,2020,2050),Report_Scenarios!$A$18:$A$24,1)))),IF(INDEX(Report_Scenarios!$A$29:$A$35,MIN(MATCH(MEDIAN($B20-Conversion!$B$16,2020,2050),Report_Scenarios!$A$29:$A$35,1)+1,7))=INDEX(Report_Scenarios!$A$29:$A$35,MATCH(MEDIAN($B20-Conversion!$B$16,2020,2050),Report_Scenarios!$A$29:$A$35,1)),INDEX(Report_Scenarios!$E$29:$E$35,MATCH(MEDIAN($B20-Conversion!$B$16,2020,2050),Report_Scenarios!$A$29:$A$35,1)),INDEX(Report_Scenarios!$E$29:$E$35,MATCH(MEDIAN($B20-Conversion!$B$16,2020,2050),Report_Scenarios!$A$29:$A$35,1))+(INDEX(Report_Scenarios!$E$29:$E$35,MIN(MATCH(MEDIAN($B20-Conversion!$B$16,2020,2050),Report_Scenarios!$A$29:$A$35,1)+1,7))-INDEX(Report_Scenarios!$E$29:$E$35,MATCH(MEDIAN($B20-Conversion!$B$16,2020,2050),Report_Scenarios!$A$29:$A$35,1)))*(MEDIAN($B20-Conversion!$B$16,2020,2050)-INDEX(Report_Scenarios!$A$29:$A$35,MATCH(MEDIAN($B20-Conversion!$B$16,2020,2050),Report_Scenarios!$A$29:$A$35,1)))/(INDEX(Report_Scenarios!$A$29:$A$35,MIN(MATCH(MEDIAN($B20-Conversion!$B$16,2020,2050),Report_Scenarios!$A$29:$A$35,1)+1,7))-INDEX(Report_Scenarios!$A$29:$A$35,MATCH(MEDIAN($B20-Conversion!$B$16,2020,2050),Report_Scenarios!$A$29:$A$35,1))))))</f>
        <v/>
      </c>
      <c r="I20" s="23">
        <f>IF($D20="Conservative",IF(INDEX(Report_Scenarios!$A$7:$A$13,MIN(MATCH(MEDIAN($B20-Conversion!$B$16,2020,2050),Report_Scenarios!$A$7:$A$13,1)+1,7))=INDEX(Report_Scenarios!$A$7:$A$13,MATCH(MEDIAN($B20-Conversion!$B$16,2020,2050),Report_Scenarios!$A$7:$A$13,1)),INDEX(Report_Scenarios!$F$7:$F$13,MATCH(MEDIAN($B20-Conversion!$B$16,2020,2050),Report_Scenarios!$A$7:$A$13,1)),INDEX(Report_Scenarios!$F$7:$F$13,MATCH(MEDIAN($B20-Conversion!$B$16,2020,2050),Report_Scenarios!$A$7:$A$13,1))+(INDEX(Report_Scenarios!$F$7:$F$13,MIN(MATCH(MEDIAN($B20-Conversion!$B$16,2020,2050),Report_Scenarios!$A$7:$A$13,1)+1,7))-INDEX(Report_Scenarios!$F$7:$F$13,MATCH(MEDIAN($B20-Conversion!$B$16,2020,2050),Report_Scenarios!$A$7:$A$13,1)))*(MEDIAN($B20-Conversion!$B$16,2020,2050)-INDEX(Report_Scenarios!$A$7:$A$13,MATCH(MEDIAN($B20-Conversion!$B$16,2020,2050),Report_Scenarios!$A$7:$A$13,1)))/(INDEX(Report_Scenarios!$A$7:$A$13,MIN(MATCH(MEDIAN($B20-Conversion!$B$16,2020,2050),Report_Scenarios!$A$7:$A$13,1)+1,7))-INDEX(Report_Scenarios!$A$7:$A$13,MATCH(MEDIAN($B20-Conversion!$B$16,2020,2050),Report_Scenarios!$A$7:$A$13,1)))),IF($D20="Central",IF(INDEX(Report_Scenarios!$A$18:$A$24,MIN(MATCH(MEDIAN($B20-Conversion!$B$16,2020,2050),Report_Scenarios!$A$18:$A$24,1)+1,7))=INDEX(Report_Scenarios!$A$18:$A$24,MATCH(MEDIAN($B20-Conversion!$B$16,2020,2050),Report_Scenarios!$A$18:$A$24,1)),INDEX(Report_Scenarios!$F$18:$F$24,MATCH(MEDIAN($B20-Conversion!$B$16,2020,2050),Report_Scenarios!$A$18:$A$24,1)),INDEX(Report_Scenarios!$F$18:$F$24,MATCH(MEDIAN($B20-Conversion!$B$16,2020,2050),Report_Scenarios!$A$18:$A$24,1))+(INDEX(Report_Scenarios!$F$18:$F$24,MIN(MATCH(MEDIAN($B20-Conversion!$B$16,2020,2050),Report_Scenarios!$A$18:$A$24,1)+1,7))-INDEX(Report_Scenarios!$F$18:$F$24,MATCH(MEDIAN($B20-Conversion!$B$16,2020,2050),Report_Scenarios!$A$18:$A$24,1)))*(MEDIAN($B20-Conversion!$B$16,2020,2050)-INDEX(Report_Scenarios!$A$18:$A$24,MATCH(MEDIAN($B20-Conversion!$B$16,2020,2050),Report_Scenarios!$A$18:$A$24,1)))/(INDEX(Report_Scenarios!$A$18:$A$24,MIN(MATCH(MEDIAN($B20-Conversion!$B$16,2020,2050),Report_Scenarios!$A$18:$A$24,1)+1,7))-INDEX(Report_Scenarios!$A$18:$A$24,MATCH(MEDIAN($B20-Conversion!$B$16,2020,2050),Report_Scenarios!$A$18:$A$24,1)))),IF(INDEX(Report_Scenarios!$A$29:$A$35,MIN(MATCH(MEDIAN($B20-Conversion!$B$16,2020,2050),Report_Scenarios!$A$29:$A$35,1)+1,7))=INDEX(Report_Scenarios!$A$29:$A$35,MATCH(MEDIAN($B20-Conversion!$B$16,2020,2050),Report_Scenarios!$A$29:$A$35,1)),INDEX(Report_Scenarios!$F$29:$F$35,MATCH(MEDIAN($B20-Conversion!$B$16,2020,2050),Report_Scenarios!$A$29:$A$35,1)),INDEX(Report_Scenarios!$F$29:$F$35,MATCH(MEDIAN($B20-Conversion!$B$16,2020,2050),Report_Scenarios!$A$29:$A$35,1))+(INDEX(Report_Scenarios!$F$29:$F$35,MIN(MATCH(MEDIAN($B20-Conversion!$B$16,2020,2050),Report_Scenarios!$A$29:$A$35,1)+1,7))-INDEX(Report_Scenarios!$F$29:$F$35,MATCH(MEDIAN($B20-Conversion!$B$16,2020,2050),Report_Scenarios!$A$29:$A$35,1)))*(MEDIAN($B20-Conversion!$B$16,2020,2050)-INDEX(Report_Scenarios!$A$29:$A$35,MATCH(MEDIAN($B20-Conversion!$B$16,2020,2050),Report_Scenarios!$A$29:$A$35,1)))/(INDEX(Report_Scenarios!$A$29:$A$35,MIN(MATCH(MEDIAN($B20-Conversion!$B$16,2020,2050),Report_Scenarios!$A$29:$A$35,1)+1,7))-INDEX(Report_Scenarios!$A$29:$A$35,MATCH(MEDIAN($B20-Conversion!$B$16,2020,2050),Report_Scenarios!$A$29:$A$35,1))))))</f>
        <v/>
      </c>
      <c r="J20" s="23">
        <f>IF($D20="Conservative",IF(INDEX(Report_Scenarios!$A$7:$A$13,MIN(MATCH(MEDIAN($B20-Conversion!$B$16,2020,2050),Report_Scenarios!$A$7:$A$13,1)+1,7))=INDEX(Report_Scenarios!$A$7:$A$13,MATCH(MEDIAN($B20-Conversion!$B$16,2020,2050),Report_Scenarios!$A$7:$A$13,1)),INDEX(Report_Scenarios!$G$7:$G$13,MATCH(MEDIAN($B20-Conversion!$B$16,2020,2050),Report_Scenarios!$A$7:$A$13,1)),INDEX(Report_Scenarios!$G$7:$G$13,MATCH(MEDIAN($B20-Conversion!$B$16,2020,2050),Report_Scenarios!$A$7:$A$13,1))+(INDEX(Report_Scenarios!$G$7:$G$13,MIN(MATCH(MEDIAN($B20-Conversion!$B$16,2020,2050),Report_Scenarios!$A$7:$A$13,1)+1,7))-INDEX(Report_Scenarios!$G$7:$G$13,MATCH(MEDIAN($B20-Conversion!$B$16,2020,2050),Report_Scenarios!$A$7:$A$13,1)))*(MEDIAN($B20-Conversion!$B$16,2020,2050)-INDEX(Report_Scenarios!$A$7:$A$13,MATCH(MEDIAN($B20-Conversion!$B$16,2020,2050),Report_Scenarios!$A$7:$A$13,1)))/(INDEX(Report_Scenarios!$A$7:$A$13,MIN(MATCH(MEDIAN($B20-Conversion!$B$16,2020,2050),Report_Scenarios!$A$7:$A$13,1)+1,7))-INDEX(Report_Scenarios!$A$7:$A$13,MATCH(MEDIAN($B20-Conversion!$B$16,2020,2050),Report_Scenarios!$A$7:$A$13,1)))),IF($D20="Central",IF(INDEX(Report_Scenarios!$A$18:$A$24,MIN(MATCH(MEDIAN($B20-Conversion!$B$16,2020,2050),Report_Scenarios!$A$18:$A$24,1)+1,7))=INDEX(Report_Scenarios!$A$18:$A$24,MATCH(MEDIAN($B20-Conversion!$B$16,2020,2050),Report_Scenarios!$A$18:$A$24,1)),INDEX(Report_Scenarios!$G$18:$G$24,MATCH(MEDIAN($B20-Conversion!$B$16,2020,2050),Report_Scenarios!$A$18:$A$24,1)),INDEX(Report_Scenarios!$G$18:$G$24,MATCH(MEDIAN($B20-Conversion!$B$16,2020,2050),Report_Scenarios!$A$18:$A$24,1))+(INDEX(Report_Scenarios!$G$18:$G$24,MIN(MATCH(MEDIAN($B20-Conversion!$B$16,2020,2050),Report_Scenarios!$A$18:$A$24,1)+1,7))-INDEX(Report_Scenarios!$G$18:$G$24,MATCH(MEDIAN($B20-Conversion!$B$16,2020,2050),Report_Scenarios!$A$18:$A$24,1)))*(MEDIAN($B20-Conversion!$B$16,2020,2050)-INDEX(Report_Scenarios!$A$18:$A$24,MATCH(MEDIAN($B20-Conversion!$B$16,2020,2050),Report_Scenarios!$A$18:$A$24,1)))/(INDEX(Report_Scenarios!$A$18:$A$24,MIN(MATCH(MEDIAN($B20-Conversion!$B$16,2020,2050),Report_Scenarios!$A$18:$A$24,1)+1,7))-INDEX(Report_Scenarios!$A$18:$A$24,MATCH(MEDIAN($B20-Conversion!$B$16,2020,2050),Report_Scenarios!$A$18:$A$24,1)))),IF(INDEX(Report_Scenarios!$A$29:$A$35,MIN(MATCH(MEDIAN($B20-Conversion!$B$16,2020,2050),Report_Scenarios!$A$29:$A$35,1)+1,7))=INDEX(Report_Scenarios!$A$29:$A$35,MATCH(MEDIAN($B20-Conversion!$B$16,2020,2050),Report_Scenarios!$A$29:$A$35,1)),INDEX(Report_Scenarios!$G$29:$G$35,MATCH(MEDIAN($B20-Conversion!$B$16,2020,2050),Report_Scenarios!$A$29:$A$35,1)),INDEX(Report_Scenarios!$G$29:$G$35,MATCH(MEDIAN($B20-Conversion!$B$16,2020,2050),Report_Scenarios!$A$29:$A$35,1))+(INDEX(Report_Scenarios!$G$29:$G$35,MIN(MATCH(MEDIAN($B20-Conversion!$B$16,2020,2050),Report_Scenarios!$A$29:$A$35,1)+1,7))-INDEX(Report_Scenarios!$G$29:$G$35,MATCH(MEDIAN($B20-Conversion!$B$16,2020,2050),Report_Scenarios!$A$29:$A$35,1)))*(MEDIAN($B20-Conversion!$B$16,2020,2050)-INDEX(Report_Scenarios!$A$29:$A$35,MATCH(MEDIAN($B20-Conversion!$B$16,2020,2050),Report_Scenarios!$A$29:$A$35,1)))/(INDEX(Report_Scenarios!$A$29:$A$35,MIN(MATCH(MEDIAN($B20-Conversion!$B$16,2020,2050),Report_Scenarios!$A$29:$A$35,1)+1,7))-INDEX(Report_Scenarios!$A$29:$A$35,MATCH(MEDIAN($B20-Conversion!$B$16,2020,2050),Report_Scenarios!$A$29:$A$35,1))))))</f>
        <v/>
      </c>
      <c r="K20" s="23">
        <f>SUM(E20:J20)</f>
        <v/>
      </c>
      <c r="L20" s="23">
        <f>IF(R20&lt;&gt;"",R20,IF($K20=0,0,E20/$K20))</f>
        <v/>
      </c>
      <c r="M20" s="23">
        <f>IF(S20&lt;&gt;"",S20,IF($K20=0,0,F20/$K20))</f>
        <v/>
      </c>
      <c r="N20" s="23">
        <f>IF(T20&lt;&gt;"",T20,IF($K20=0,0,G20/$K20))</f>
        <v/>
      </c>
      <c r="O20" s="23">
        <f>IF(U20&lt;&gt;"",U20,IF($K20=0,0,H20/$K20))</f>
        <v/>
      </c>
      <c r="P20" s="23">
        <f>IF(V20&lt;&gt;"",V20,IF($K20=0,0,I20/$K20))</f>
        <v/>
      </c>
      <c r="Q20" s="23">
        <f>IF(W20&lt;&gt;"",W20,IF($K20=0,0,J20/$K20))</f>
        <v/>
      </c>
      <c r="R20" s="24" t="n"/>
      <c r="S20" s="24" t="n"/>
      <c r="T20" s="24" t="n"/>
      <c r="U20" s="24" t="n"/>
      <c r="V20" s="24" t="n"/>
      <c r="W20" s="24" t="n"/>
    </row>
    <row r="21">
      <c r="A21" s="4" t="inlineStr">
        <is>
          <t>AB</t>
        </is>
      </c>
      <c r="B21" s="4" t="n">
        <v>2045</v>
      </c>
      <c r="C21" s="4" t="inlineStr">
        <is>
          <t>Share_Mode</t>
        </is>
      </c>
      <c r="D21" s="4">
        <f>Conversion!$B$19</f>
        <v/>
      </c>
      <c r="E21" s="23">
        <f>IF($D21="Conservative",IF(INDEX(Report_Scenarios!$A$7:$A$13,MIN(MATCH(MEDIAN($B21-Conversion!$B$16,2020,2050),Report_Scenarios!$A$7:$A$13,1)+1,7))=INDEX(Report_Scenarios!$A$7:$A$13,MATCH(MEDIAN($B21-Conversion!$B$16,2020,2050),Report_Scenarios!$A$7:$A$13,1)),INDEX(Report_Scenarios!$B$7:$B$13,MATCH(MEDIAN($B21-Conversion!$B$16,2020,2050),Report_Scenarios!$A$7:$A$13,1)),INDEX(Report_Scenarios!$B$7:$B$13,MATCH(MEDIAN($B21-Conversion!$B$16,2020,2050),Report_Scenarios!$A$7:$A$13,1))+(INDEX(Report_Scenarios!$B$7:$B$13,MIN(MATCH(MEDIAN($B21-Conversion!$B$16,2020,2050),Report_Scenarios!$A$7:$A$13,1)+1,7))-INDEX(Report_Scenarios!$B$7:$B$13,MATCH(MEDIAN($B21-Conversion!$B$16,2020,2050),Report_Scenarios!$A$7:$A$13,1)))*(MEDIAN($B21-Conversion!$B$16,2020,2050)-INDEX(Report_Scenarios!$A$7:$A$13,MATCH(MEDIAN($B21-Conversion!$B$16,2020,2050),Report_Scenarios!$A$7:$A$13,1)))/(INDEX(Report_Scenarios!$A$7:$A$13,MIN(MATCH(MEDIAN($B21-Conversion!$B$16,2020,2050),Report_Scenarios!$A$7:$A$13,1)+1,7))-INDEX(Report_Scenarios!$A$7:$A$13,MATCH(MEDIAN($B21-Conversion!$B$16,2020,2050),Report_Scenarios!$A$7:$A$13,1)))),IF($D21="Central",IF(INDEX(Report_Scenarios!$A$18:$A$24,MIN(MATCH(MEDIAN($B21-Conversion!$B$16,2020,2050),Report_Scenarios!$A$18:$A$24,1)+1,7))=INDEX(Report_Scenarios!$A$18:$A$24,MATCH(MEDIAN($B21-Conversion!$B$16,2020,2050),Report_Scenarios!$A$18:$A$24,1)),INDEX(Report_Scenarios!$B$18:$B$24,MATCH(MEDIAN($B21-Conversion!$B$16,2020,2050),Report_Scenarios!$A$18:$A$24,1)),INDEX(Report_Scenarios!$B$18:$B$24,MATCH(MEDIAN($B21-Conversion!$B$16,2020,2050),Report_Scenarios!$A$18:$A$24,1))+(INDEX(Report_Scenarios!$B$18:$B$24,MIN(MATCH(MEDIAN($B21-Conversion!$B$16,2020,2050),Report_Scenarios!$A$18:$A$24,1)+1,7))-INDEX(Report_Scenarios!$B$18:$B$24,MATCH(MEDIAN($B21-Conversion!$B$16,2020,2050),Report_Scenarios!$A$18:$A$24,1)))*(MEDIAN($B21-Conversion!$B$16,2020,2050)-INDEX(Report_Scenarios!$A$18:$A$24,MATCH(MEDIAN($B21-Conversion!$B$16,2020,2050),Report_Scenarios!$A$18:$A$24,1)))/(INDEX(Report_Scenarios!$A$18:$A$24,MIN(MATCH(MEDIAN($B21-Conversion!$B$16,2020,2050),Report_Scenarios!$A$18:$A$24,1)+1,7))-INDEX(Report_Scenarios!$A$18:$A$24,MATCH(MEDIAN($B21-Conversion!$B$16,2020,2050),Report_Scenarios!$A$18:$A$24,1)))),IF(INDEX(Report_Scenarios!$A$29:$A$35,MIN(MATCH(MEDIAN($B21-Conversion!$B$16,2020,2050),Report_Scenarios!$A$29:$A$35,1)+1,7))=INDEX(Report_Scenarios!$A$29:$A$35,MATCH(MEDIAN($B21-Conversion!$B$16,2020,2050),Report_Scenarios!$A$29:$A$35,1)),INDEX(Report_Scenarios!$B$29:$B$35,MATCH(MEDIAN($B21-Conversion!$B$16,2020,2050),Report_Scenarios!$A$29:$A$35,1)),INDEX(Report_Scenarios!$B$29:$B$35,MATCH(MEDIAN($B21-Conversion!$B$16,2020,2050),Report_Scenarios!$A$29:$A$35,1))+(INDEX(Report_Scenarios!$B$29:$B$35,MIN(MATCH(MEDIAN($B21-Conversion!$B$16,2020,2050),Report_Scenarios!$A$29:$A$35,1)+1,7))-INDEX(Report_Scenarios!$B$29:$B$35,MATCH(MEDIAN($B21-Conversion!$B$16,2020,2050),Report_Scenarios!$A$29:$A$35,1)))*(MEDIAN($B21-Conversion!$B$16,2020,2050)-INDEX(Report_Scenarios!$A$29:$A$35,MATCH(MEDIAN($B21-Conversion!$B$16,2020,2050),Report_Scenarios!$A$29:$A$35,1)))/(INDEX(Report_Scenarios!$A$29:$A$35,MIN(MATCH(MEDIAN($B21-Conversion!$B$16,2020,2050),Report_Scenarios!$A$29:$A$35,1)+1,7))-INDEX(Report_Scenarios!$A$29:$A$35,MATCH(MEDIAN($B21-Conversion!$B$16,2020,2050),Report_Scenarios!$A$29:$A$35,1))))))</f>
        <v/>
      </c>
      <c r="F21" s="23">
        <f>IF($D21="Conservative",IF(INDEX(Report_Scenarios!$A$7:$A$13,MIN(MATCH(MEDIAN($B21-Conversion!$B$16,2020,2050),Report_Scenarios!$A$7:$A$13,1)+1,7))=INDEX(Report_Scenarios!$A$7:$A$13,MATCH(MEDIAN($B21-Conversion!$B$16,2020,2050),Report_Scenarios!$A$7:$A$13,1)),INDEX(Report_Scenarios!$C$7:$C$13,MATCH(MEDIAN($B21-Conversion!$B$16,2020,2050),Report_Scenarios!$A$7:$A$13,1)),INDEX(Report_Scenarios!$C$7:$C$13,MATCH(MEDIAN($B21-Conversion!$B$16,2020,2050),Report_Scenarios!$A$7:$A$13,1))+(INDEX(Report_Scenarios!$C$7:$C$13,MIN(MATCH(MEDIAN($B21-Conversion!$B$16,2020,2050),Report_Scenarios!$A$7:$A$13,1)+1,7))-INDEX(Report_Scenarios!$C$7:$C$13,MATCH(MEDIAN($B21-Conversion!$B$16,2020,2050),Report_Scenarios!$A$7:$A$13,1)))*(MEDIAN($B21-Conversion!$B$16,2020,2050)-INDEX(Report_Scenarios!$A$7:$A$13,MATCH(MEDIAN($B21-Conversion!$B$16,2020,2050),Report_Scenarios!$A$7:$A$13,1)))/(INDEX(Report_Scenarios!$A$7:$A$13,MIN(MATCH(MEDIAN($B21-Conversion!$B$16,2020,2050),Report_Scenarios!$A$7:$A$13,1)+1,7))-INDEX(Report_Scenarios!$A$7:$A$13,MATCH(MEDIAN($B21-Conversion!$B$16,2020,2050),Report_Scenarios!$A$7:$A$13,1)))),IF($D21="Central",IF(INDEX(Report_Scenarios!$A$18:$A$24,MIN(MATCH(MEDIAN($B21-Conversion!$B$16,2020,2050),Report_Scenarios!$A$18:$A$24,1)+1,7))=INDEX(Report_Scenarios!$A$18:$A$24,MATCH(MEDIAN($B21-Conversion!$B$16,2020,2050),Report_Scenarios!$A$18:$A$24,1)),INDEX(Report_Scenarios!$C$18:$C$24,MATCH(MEDIAN($B21-Conversion!$B$16,2020,2050),Report_Scenarios!$A$18:$A$24,1)),INDEX(Report_Scenarios!$C$18:$C$24,MATCH(MEDIAN($B21-Conversion!$B$16,2020,2050),Report_Scenarios!$A$18:$A$24,1))+(INDEX(Report_Scenarios!$C$18:$C$24,MIN(MATCH(MEDIAN($B21-Conversion!$B$16,2020,2050),Report_Scenarios!$A$18:$A$24,1)+1,7))-INDEX(Report_Scenarios!$C$18:$C$24,MATCH(MEDIAN($B21-Conversion!$B$16,2020,2050),Report_Scenarios!$A$18:$A$24,1)))*(MEDIAN($B21-Conversion!$B$16,2020,2050)-INDEX(Report_Scenarios!$A$18:$A$24,MATCH(MEDIAN($B21-Conversion!$B$16,2020,2050),Report_Scenarios!$A$18:$A$24,1)))/(INDEX(Report_Scenarios!$A$18:$A$24,MIN(MATCH(MEDIAN($B21-Conversion!$B$16,2020,2050),Report_Scenarios!$A$18:$A$24,1)+1,7))-INDEX(Report_Scenarios!$A$18:$A$24,MATCH(MEDIAN($B21-Conversion!$B$16,2020,2050),Report_Scenarios!$A$18:$A$24,1)))),IF(INDEX(Report_Scenarios!$A$29:$A$35,MIN(MATCH(MEDIAN($B21-Conversion!$B$16,2020,2050),Report_Scenarios!$A$29:$A$35,1)+1,7))=INDEX(Report_Scenarios!$A$29:$A$35,MATCH(MEDIAN($B21-Conversion!$B$16,2020,2050),Report_Scenarios!$A$29:$A$35,1)),INDEX(Report_Scenarios!$C$29:$C$35,MATCH(MEDIAN($B21-Conversion!$B$16,2020,2050),Report_Scenarios!$A$29:$A$35,1)),INDEX(Report_Scenarios!$C$29:$C$35,MATCH(MEDIAN($B21-Conversion!$B$16,2020,2050),Report_Scenarios!$A$29:$A$35,1))+(INDEX(Report_Scenarios!$C$29:$C$35,MIN(MATCH(MEDIAN($B21-Conversion!$B$16,2020,2050),Report_Scenarios!$A$29:$A$35,1)+1,7))-INDEX(Report_Scenarios!$C$29:$C$35,MATCH(MEDIAN($B21-Conversion!$B$16,2020,2050),Report_Scenarios!$A$29:$A$35,1)))*(MEDIAN($B21-Conversion!$B$16,2020,2050)-INDEX(Report_Scenarios!$A$29:$A$35,MATCH(MEDIAN($B21-Conversion!$B$16,2020,2050),Report_Scenarios!$A$29:$A$35,1)))/(INDEX(Report_Scenarios!$A$29:$A$35,MIN(MATCH(MEDIAN($B21-Conversion!$B$16,2020,2050),Report_Scenarios!$A$29:$A$35,1)+1,7))-INDEX(Report_Scenarios!$A$29:$A$35,MATCH(MEDIAN($B21-Conversion!$B$16,2020,2050),Report_Scenarios!$A$29:$A$35,1))))))</f>
        <v/>
      </c>
      <c r="G21" s="23">
        <f>IF($D21="Conservative",IF(INDEX(Report_Scenarios!$A$7:$A$13,MIN(MATCH(MEDIAN($B21-Conversion!$B$16,2020,2050),Report_Scenarios!$A$7:$A$13,1)+1,7))=INDEX(Report_Scenarios!$A$7:$A$13,MATCH(MEDIAN($B21-Conversion!$B$16,2020,2050),Report_Scenarios!$A$7:$A$13,1)),INDEX(Report_Scenarios!$D$7:$D$13,MATCH(MEDIAN($B21-Conversion!$B$16,2020,2050),Report_Scenarios!$A$7:$A$13,1)),INDEX(Report_Scenarios!$D$7:$D$13,MATCH(MEDIAN($B21-Conversion!$B$16,2020,2050),Report_Scenarios!$A$7:$A$13,1))+(INDEX(Report_Scenarios!$D$7:$D$13,MIN(MATCH(MEDIAN($B21-Conversion!$B$16,2020,2050),Report_Scenarios!$A$7:$A$13,1)+1,7))-INDEX(Report_Scenarios!$D$7:$D$13,MATCH(MEDIAN($B21-Conversion!$B$16,2020,2050),Report_Scenarios!$A$7:$A$13,1)))*(MEDIAN($B21-Conversion!$B$16,2020,2050)-INDEX(Report_Scenarios!$A$7:$A$13,MATCH(MEDIAN($B21-Conversion!$B$16,2020,2050),Report_Scenarios!$A$7:$A$13,1)))/(INDEX(Report_Scenarios!$A$7:$A$13,MIN(MATCH(MEDIAN($B21-Conversion!$B$16,2020,2050),Report_Scenarios!$A$7:$A$13,1)+1,7))-INDEX(Report_Scenarios!$A$7:$A$13,MATCH(MEDIAN($B21-Conversion!$B$16,2020,2050),Report_Scenarios!$A$7:$A$13,1)))),IF($D21="Central",IF(INDEX(Report_Scenarios!$A$18:$A$24,MIN(MATCH(MEDIAN($B21-Conversion!$B$16,2020,2050),Report_Scenarios!$A$18:$A$24,1)+1,7))=INDEX(Report_Scenarios!$A$18:$A$24,MATCH(MEDIAN($B21-Conversion!$B$16,2020,2050),Report_Scenarios!$A$18:$A$24,1)),INDEX(Report_Scenarios!$D$18:$D$24,MATCH(MEDIAN($B21-Conversion!$B$16,2020,2050),Report_Scenarios!$A$18:$A$24,1)),INDEX(Report_Scenarios!$D$18:$D$24,MATCH(MEDIAN($B21-Conversion!$B$16,2020,2050),Report_Scenarios!$A$18:$A$24,1))+(INDEX(Report_Scenarios!$D$18:$D$24,MIN(MATCH(MEDIAN($B21-Conversion!$B$16,2020,2050),Report_Scenarios!$A$18:$A$24,1)+1,7))-INDEX(Report_Scenarios!$D$18:$D$24,MATCH(MEDIAN($B21-Conversion!$B$16,2020,2050),Report_Scenarios!$A$18:$A$24,1)))*(MEDIAN($B21-Conversion!$B$16,2020,2050)-INDEX(Report_Scenarios!$A$18:$A$24,MATCH(MEDIAN($B21-Conversion!$B$16,2020,2050),Report_Scenarios!$A$18:$A$24,1)))/(INDEX(Report_Scenarios!$A$18:$A$24,MIN(MATCH(MEDIAN($B21-Conversion!$B$16,2020,2050),Report_Scenarios!$A$18:$A$24,1)+1,7))-INDEX(Report_Scenarios!$A$18:$A$24,MATCH(MEDIAN($B21-Conversion!$B$16,2020,2050),Report_Scenarios!$A$18:$A$24,1)))),IF(INDEX(Report_Scenarios!$A$29:$A$35,MIN(MATCH(MEDIAN($B21-Conversion!$B$16,2020,2050),Report_Scenarios!$A$29:$A$35,1)+1,7))=INDEX(Report_Scenarios!$A$29:$A$35,MATCH(MEDIAN($B21-Conversion!$B$16,2020,2050),Report_Scenarios!$A$29:$A$35,1)),INDEX(Report_Scenarios!$D$29:$D$35,MATCH(MEDIAN($B21-Conversion!$B$16,2020,2050),Report_Scenarios!$A$29:$A$35,1)),INDEX(Report_Scenarios!$D$29:$D$35,MATCH(MEDIAN($B21-Conversion!$B$16,2020,2050),Report_Scenarios!$A$29:$A$35,1))+(INDEX(Report_Scenarios!$D$29:$D$35,MIN(MATCH(MEDIAN($B21-Conversion!$B$16,2020,2050),Report_Scenarios!$A$29:$A$35,1)+1,7))-INDEX(Report_Scenarios!$D$29:$D$35,MATCH(MEDIAN($B21-Conversion!$B$16,2020,2050),Report_Scenarios!$A$29:$A$35,1)))*(MEDIAN($B21-Conversion!$B$16,2020,2050)-INDEX(Report_Scenarios!$A$29:$A$35,MATCH(MEDIAN($B21-Conversion!$B$16,2020,2050),Report_Scenarios!$A$29:$A$35,1)))/(INDEX(Report_Scenarios!$A$29:$A$35,MIN(MATCH(MEDIAN($B21-Conversion!$B$16,2020,2050),Report_Scenarios!$A$29:$A$35,1)+1,7))-INDEX(Report_Scenarios!$A$29:$A$35,MATCH(MEDIAN($B21-Conversion!$B$16,2020,2050),Report_Scenarios!$A$29:$A$35,1))))))</f>
        <v/>
      </c>
      <c r="H21" s="23">
        <f>IF($D21="Conservative",IF(INDEX(Report_Scenarios!$A$7:$A$13,MIN(MATCH(MEDIAN($B21-Conversion!$B$16,2020,2050),Report_Scenarios!$A$7:$A$13,1)+1,7))=INDEX(Report_Scenarios!$A$7:$A$13,MATCH(MEDIAN($B21-Conversion!$B$16,2020,2050),Report_Scenarios!$A$7:$A$13,1)),INDEX(Report_Scenarios!$E$7:$E$13,MATCH(MEDIAN($B21-Conversion!$B$16,2020,2050),Report_Scenarios!$A$7:$A$13,1)),INDEX(Report_Scenarios!$E$7:$E$13,MATCH(MEDIAN($B21-Conversion!$B$16,2020,2050),Report_Scenarios!$A$7:$A$13,1))+(INDEX(Report_Scenarios!$E$7:$E$13,MIN(MATCH(MEDIAN($B21-Conversion!$B$16,2020,2050),Report_Scenarios!$A$7:$A$13,1)+1,7))-INDEX(Report_Scenarios!$E$7:$E$13,MATCH(MEDIAN($B21-Conversion!$B$16,2020,2050),Report_Scenarios!$A$7:$A$13,1)))*(MEDIAN($B21-Conversion!$B$16,2020,2050)-INDEX(Report_Scenarios!$A$7:$A$13,MATCH(MEDIAN($B21-Conversion!$B$16,2020,2050),Report_Scenarios!$A$7:$A$13,1)))/(INDEX(Report_Scenarios!$A$7:$A$13,MIN(MATCH(MEDIAN($B21-Conversion!$B$16,2020,2050),Report_Scenarios!$A$7:$A$13,1)+1,7))-INDEX(Report_Scenarios!$A$7:$A$13,MATCH(MEDIAN($B21-Conversion!$B$16,2020,2050),Report_Scenarios!$A$7:$A$13,1)))),IF($D21="Central",IF(INDEX(Report_Scenarios!$A$18:$A$24,MIN(MATCH(MEDIAN($B21-Conversion!$B$16,2020,2050),Report_Scenarios!$A$18:$A$24,1)+1,7))=INDEX(Report_Scenarios!$A$18:$A$24,MATCH(MEDIAN($B21-Conversion!$B$16,2020,2050),Report_Scenarios!$A$18:$A$24,1)),INDEX(Report_Scenarios!$E$18:$E$24,MATCH(MEDIAN($B21-Conversion!$B$16,2020,2050),Report_Scenarios!$A$18:$A$24,1)),INDEX(Report_Scenarios!$E$18:$E$24,MATCH(MEDIAN($B21-Conversion!$B$16,2020,2050),Report_Scenarios!$A$18:$A$24,1))+(INDEX(Report_Scenarios!$E$18:$E$24,MIN(MATCH(MEDIAN($B21-Conversion!$B$16,2020,2050),Report_Scenarios!$A$18:$A$24,1)+1,7))-INDEX(Report_Scenarios!$E$18:$E$24,MATCH(MEDIAN($B21-Conversion!$B$16,2020,2050),Report_Scenarios!$A$18:$A$24,1)))*(MEDIAN($B21-Conversion!$B$16,2020,2050)-INDEX(Report_Scenarios!$A$18:$A$24,MATCH(MEDIAN($B21-Conversion!$B$16,2020,2050),Report_Scenarios!$A$18:$A$24,1)))/(INDEX(Report_Scenarios!$A$18:$A$24,MIN(MATCH(MEDIAN($B21-Conversion!$B$16,2020,2050),Report_Scenarios!$A$18:$A$24,1)+1,7))-INDEX(Report_Scenarios!$A$18:$A$24,MATCH(MEDIAN($B21-Conversion!$B$16,2020,2050),Report_Scenarios!$A$18:$A$24,1)))),IF(INDEX(Report_Scenarios!$A$29:$A$35,MIN(MATCH(MEDIAN($B21-Conversion!$B$16,2020,2050),Report_Scenarios!$A$29:$A$35,1)+1,7))=INDEX(Report_Scenarios!$A$29:$A$35,MATCH(MEDIAN($B21-Conversion!$B$16,2020,2050),Report_Scenarios!$A$29:$A$35,1)),INDEX(Report_Scenarios!$E$29:$E$35,MATCH(MEDIAN($B21-Conversion!$B$16,2020,2050),Report_Scenarios!$A$29:$A$35,1)),INDEX(Report_Scenarios!$E$29:$E$35,MATCH(MEDIAN($B21-Conversion!$B$16,2020,2050),Report_Scenarios!$A$29:$A$35,1))+(INDEX(Report_Scenarios!$E$29:$E$35,MIN(MATCH(MEDIAN($B21-Conversion!$B$16,2020,2050),Report_Scenarios!$A$29:$A$35,1)+1,7))-INDEX(Report_Scenarios!$E$29:$E$35,MATCH(MEDIAN($B21-Conversion!$B$16,2020,2050),Report_Scenarios!$A$29:$A$35,1)))*(MEDIAN($B21-Conversion!$B$16,2020,2050)-INDEX(Report_Scenarios!$A$29:$A$35,MATCH(MEDIAN($B21-Conversion!$B$16,2020,2050),Report_Scenarios!$A$29:$A$35,1)))/(INDEX(Report_Scenarios!$A$29:$A$35,MIN(MATCH(MEDIAN($B21-Conversion!$B$16,2020,2050),Report_Scenarios!$A$29:$A$35,1)+1,7))-INDEX(Report_Scenarios!$A$29:$A$35,MATCH(MEDIAN($B21-Conversion!$B$16,2020,2050),Report_Scenarios!$A$29:$A$35,1))))))</f>
        <v/>
      </c>
      <c r="I21" s="23">
        <f>IF($D21="Conservative",IF(INDEX(Report_Scenarios!$A$7:$A$13,MIN(MATCH(MEDIAN($B21-Conversion!$B$16,2020,2050),Report_Scenarios!$A$7:$A$13,1)+1,7))=INDEX(Report_Scenarios!$A$7:$A$13,MATCH(MEDIAN($B21-Conversion!$B$16,2020,2050),Report_Scenarios!$A$7:$A$13,1)),INDEX(Report_Scenarios!$F$7:$F$13,MATCH(MEDIAN($B21-Conversion!$B$16,2020,2050),Report_Scenarios!$A$7:$A$13,1)),INDEX(Report_Scenarios!$F$7:$F$13,MATCH(MEDIAN($B21-Conversion!$B$16,2020,2050),Report_Scenarios!$A$7:$A$13,1))+(INDEX(Report_Scenarios!$F$7:$F$13,MIN(MATCH(MEDIAN($B21-Conversion!$B$16,2020,2050),Report_Scenarios!$A$7:$A$13,1)+1,7))-INDEX(Report_Scenarios!$F$7:$F$13,MATCH(MEDIAN($B21-Conversion!$B$16,2020,2050),Report_Scenarios!$A$7:$A$13,1)))*(MEDIAN($B21-Conversion!$B$16,2020,2050)-INDEX(Report_Scenarios!$A$7:$A$13,MATCH(MEDIAN($B21-Conversion!$B$16,2020,2050),Report_Scenarios!$A$7:$A$13,1)))/(INDEX(Report_Scenarios!$A$7:$A$13,MIN(MATCH(MEDIAN($B21-Conversion!$B$16,2020,2050),Report_Scenarios!$A$7:$A$13,1)+1,7))-INDEX(Report_Scenarios!$A$7:$A$13,MATCH(MEDIAN($B21-Conversion!$B$16,2020,2050),Report_Scenarios!$A$7:$A$13,1)))),IF($D21="Central",IF(INDEX(Report_Scenarios!$A$18:$A$24,MIN(MATCH(MEDIAN($B21-Conversion!$B$16,2020,2050),Report_Scenarios!$A$18:$A$24,1)+1,7))=INDEX(Report_Scenarios!$A$18:$A$24,MATCH(MEDIAN($B21-Conversion!$B$16,2020,2050),Report_Scenarios!$A$18:$A$24,1)),INDEX(Report_Scenarios!$F$18:$F$24,MATCH(MEDIAN($B21-Conversion!$B$16,2020,2050),Report_Scenarios!$A$18:$A$24,1)),INDEX(Report_Scenarios!$F$18:$F$24,MATCH(MEDIAN($B21-Conversion!$B$16,2020,2050),Report_Scenarios!$A$18:$A$24,1))+(INDEX(Report_Scenarios!$F$18:$F$24,MIN(MATCH(MEDIAN($B21-Conversion!$B$16,2020,2050),Report_Scenarios!$A$18:$A$24,1)+1,7))-INDEX(Report_Scenarios!$F$18:$F$24,MATCH(MEDIAN($B21-Conversion!$B$16,2020,2050),Report_Scenarios!$A$18:$A$24,1)))*(MEDIAN($B21-Conversion!$B$16,2020,2050)-INDEX(Report_Scenarios!$A$18:$A$24,MATCH(MEDIAN($B21-Conversion!$B$16,2020,2050),Report_Scenarios!$A$18:$A$24,1)))/(INDEX(Report_Scenarios!$A$18:$A$24,MIN(MATCH(MEDIAN($B21-Conversion!$B$16,2020,2050),Report_Scenarios!$A$18:$A$24,1)+1,7))-INDEX(Report_Scenarios!$A$18:$A$24,MATCH(MEDIAN($B21-Conversion!$B$16,2020,2050),Report_Scenarios!$A$18:$A$24,1)))),IF(INDEX(Report_Scenarios!$A$29:$A$35,MIN(MATCH(MEDIAN($B21-Conversion!$B$16,2020,2050),Report_Scenarios!$A$29:$A$35,1)+1,7))=INDEX(Report_Scenarios!$A$29:$A$35,MATCH(MEDIAN($B21-Conversion!$B$16,2020,2050),Report_Scenarios!$A$29:$A$35,1)),INDEX(Report_Scenarios!$F$29:$F$35,MATCH(MEDIAN($B21-Conversion!$B$16,2020,2050),Report_Scenarios!$A$29:$A$35,1)),INDEX(Report_Scenarios!$F$29:$F$35,MATCH(MEDIAN($B21-Conversion!$B$16,2020,2050),Report_Scenarios!$A$29:$A$35,1))+(INDEX(Report_Scenarios!$F$29:$F$35,MIN(MATCH(MEDIAN($B21-Conversion!$B$16,2020,2050),Report_Scenarios!$A$29:$A$35,1)+1,7))-INDEX(Report_Scenarios!$F$29:$F$35,MATCH(MEDIAN($B21-Conversion!$B$16,2020,2050),Report_Scenarios!$A$29:$A$35,1)))*(MEDIAN($B21-Conversion!$B$16,2020,2050)-INDEX(Report_Scenarios!$A$29:$A$35,MATCH(MEDIAN($B21-Conversion!$B$16,2020,2050),Report_Scenarios!$A$29:$A$35,1)))/(INDEX(Report_Scenarios!$A$29:$A$35,MIN(MATCH(MEDIAN($B21-Conversion!$B$16,2020,2050),Report_Scenarios!$A$29:$A$35,1)+1,7))-INDEX(Report_Scenarios!$A$29:$A$35,MATCH(MEDIAN($B21-Conversion!$B$16,2020,2050),Report_Scenarios!$A$29:$A$35,1))))))</f>
        <v/>
      </c>
      <c r="J21" s="23">
        <f>IF($D21="Conservative",IF(INDEX(Report_Scenarios!$A$7:$A$13,MIN(MATCH(MEDIAN($B21-Conversion!$B$16,2020,2050),Report_Scenarios!$A$7:$A$13,1)+1,7))=INDEX(Report_Scenarios!$A$7:$A$13,MATCH(MEDIAN($B21-Conversion!$B$16,2020,2050),Report_Scenarios!$A$7:$A$13,1)),INDEX(Report_Scenarios!$G$7:$G$13,MATCH(MEDIAN($B21-Conversion!$B$16,2020,2050),Report_Scenarios!$A$7:$A$13,1)),INDEX(Report_Scenarios!$G$7:$G$13,MATCH(MEDIAN($B21-Conversion!$B$16,2020,2050),Report_Scenarios!$A$7:$A$13,1))+(INDEX(Report_Scenarios!$G$7:$G$13,MIN(MATCH(MEDIAN($B21-Conversion!$B$16,2020,2050),Report_Scenarios!$A$7:$A$13,1)+1,7))-INDEX(Report_Scenarios!$G$7:$G$13,MATCH(MEDIAN($B21-Conversion!$B$16,2020,2050),Report_Scenarios!$A$7:$A$13,1)))*(MEDIAN($B21-Conversion!$B$16,2020,2050)-INDEX(Report_Scenarios!$A$7:$A$13,MATCH(MEDIAN($B21-Conversion!$B$16,2020,2050),Report_Scenarios!$A$7:$A$13,1)))/(INDEX(Report_Scenarios!$A$7:$A$13,MIN(MATCH(MEDIAN($B21-Conversion!$B$16,2020,2050),Report_Scenarios!$A$7:$A$13,1)+1,7))-INDEX(Report_Scenarios!$A$7:$A$13,MATCH(MEDIAN($B21-Conversion!$B$16,2020,2050),Report_Scenarios!$A$7:$A$13,1)))),IF($D21="Central",IF(INDEX(Report_Scenarios!$A$18:$A$24,MIN(MATCH(MEDIAN($B21-Conversion!$B$16,2020,2050),Report_Scenarios!$A$18:$A$24,1)+1,7))=INDEX(Report_Scenarios!$A$18:$A$24,MATCH(MEDIAN($B21-Conversion!$B$16,2020,2050),Report_Scenarios!$A$18:$A$24,1)),INDEX(Report_Scenarios!$G$18:$G$24,MATCH(MEDIAN($B21-Conversion!$B$16,2020,2050),Report_Scenarios!$A$18:$A$24,1)),INDEX(Report_Scenarios!$G$18:$G$24,MATCH(MEDIAN($B21-Conversion!$B$16,2020,2050),Report_Scenarios!$A$18:$A$24,1))+(INDEX(Report_Scenarios!$G$18:$G$24,MIN(MATCH(MEDIAN($B21-Conversion!$B$16,2020,2050),Report_Scenarios!$A$18:$A$24,1)+1,7))-INDEX(Report_Scenarios!$G$18:$G$24,MATCH(MEDIAN($B21-Conversion!$B$16,2020,2050),Report_Scenarios!$A$18:$A$24,1)))*(MEDIAN($B21-Conversion!$B$16,2020,2050)-INDEX(Report_Scenarios!$A$18:$A$24,MATCH(MEDIAN($B21-Conversion!$B$16,2020,2050),Report_Scenarios!$A$18:$A$24,1)))/(INDEX(Report_Scenarios!$A$18:$A$24,MIN(MATCH(MEDIAN($B21-Conversion!$B$16,2020,2050),Report_Scenarios!$A$18:$A$24,1)+1,7))-INDEX(Report_Scenarios!$A$18:$A$24,MATCH(MEDIAN($B21-Conversion!$B$16,2020,2050),Report_Scenarios!$A$18:$A$24,1)))),IF(INDEX(Report_Scenarios!$A$29:$A$35,MIN(MATCH(MEDIAN($B21-Conversion!$B$16,2020,2050),Report_Scenarios!$A$29:$A$35,1)+1,7))=INDEX(Report_Scenarios!$A$29:$A$35,MATCH(MEDIAN($B21-Conversion!$B$16,2020,2050),Report_Scenarios!$A$29:$A$35,1)),INDEX(Report_Scenarios!$G$29:$G$35,MATCH(MEDIAN($B21-Conversion!$B$16,2020,2050),Report_Scenarios!$A$29:$A$35,1)),INDEX(Report_Scenarios!$G$29:$G$35,MATCH(MEDIAN($B21-Conversion!$B$16,2020,2050),Report_Scenarios!$A$29:$A$35,1))+(INDEX(Report_Scenarios!$G$29:$G$35,MIN(MATCH(MEDIAN($B21-Conversion!$B$16,2020,2050),Report_Scenarios!$A$29:$A$35,1)+1,7))-INDEX(Report_Scenarios!$G$29:$G$35,MATCH(MEDIAN($B21-Conversion!$B$16,2020,2050),Report_Scenarios!$A$29:$A$35,1)))*(MEDIAN($B21-Conversion!$B$16,2020,2050)-INDEX(Report_Scenarios!$A$29:$A$35,MATCH(MEDIAN($B21-Conversion!$B$16,2020,2050),Report_Scenarios!$A$29:$A$35,1)))/(INDEX(Report_Scenarios!$A$29:$A$35,MIN(MATCH(MEDIAN($B21-Conversion!$B$16,2020,2050),Report_Scenarios!$A$29:$A$35,1)+1,7))-INDEX(Report_Scenarios!$A$29:$A$35,MATCH(MEDIAN($B21-Conversion!$B$16,2020,2050),Report_Scenarios!$A$29:$A$35,1))))))</f>
        <v/>
      </c>
      <c r="K21" s="23">
        <f>SUM(E21:J21)</f>
        <v/>
      </c>
      <c r="L21" s="23">
        <f>IF(R21&lt;&gt;"",R21,IF($K21=0,0,E21/$K21))</f>
        <v/>
      </c>
      <c r="M21" s="23">
        <f>IF(S21&lt;&gt;"",S21,IF($K21=0,0,F21/$K21))</f>
        <v/>
      </c>
      <c r="N21" s="23">
        <f>IF(T21&lt;&gt;"",T21,IF($K21=0,0,G21/$K21))</f>
        <v/>
      </c>
      <c r="O21" s="23">
        <f>IF(U21&lt;&gt;"",U21,IF($K21=0,0,H21/$K21))</f>
        <v/>
      </c>
      <c r="P21" s="23">
        <f>IF(V21&lt;&gt;"",V21,IF($K21=0,0,I21/$K21))</f>
        <v/>
      </c>
      <c r="Q21" s="23">
        <f>IF(W21&lt;&gt;"",W21,IF($K21=0,0,J21/$K21))</f>
        <v/>
      </c>
      <c r="R21" s="24" t="n"/>
      <c r="S21" s="24" t="n"/>
      <c r="T21" s="24" t="n"/>
      <c r="U21" s="24" t="n"/>
      <c r="V21" s="24" t="n"/>
      <c r="W21" s="24" t="n"/>
    </row>
    <row r="22">
      <c r="A22" s="4" t="inlineStr">
        <is>
          <t>AB</t>
        </is>
      </c>
      <c r="B22" s="4" t="n">
        <v>2045</v>
      </c>
      <c r="C22" s="4" t="inlineStr">
        <is>
          <t>Share_Max</t>
        </is>
      </c>
      <c r="D22" s="4">
        <f>Conversion!$B$20</f>
        <v/>
      </c>
      <c r="E22" s="23">
        <f>IF($D22="Conservative",IF(INDEX(Report_Scenarios!$A$7:$A$13,MIN(MATCH(MEDIAN($B22-Conversion!$B$16,2020,2050),Report_Scenarios!$A$7:$A$13,1)+1,7))=INDEX(Report_Scenarios!$A$7:$A$13,MATCH(MEDIAN($B22-Conversion!$B$16,2020,2050),Report_Scenarios!$A$7:$A$13,1)),INDEX(Report_Scenarios!$B$7:$B$13,MATCH(MEDIAN($B22-Conversion!$B$16,2020,2050),Report_Scenarios!$A$7:$A$13,1)),INDEX(Report_Scenarios!$B$7:$B$13,MATCH(MEDIAN($B22-Conversion!$B$16,2020,2050),Report_Scenarios!$A$7:$A$13,1))+(INDEX(Report_Scenarios!$B$7:$B$13,MIN(MATCH(MEDIAN($B22-Conversion!$B$16,2020,2050),Report_Scenarios!$A$7:$A$13,1)+1,7))-INDEX(Report_Scenarios!$B$7:$B$13,MATCH(MEDIAN($B22-Conversion!$B$16,2020,2050),Report_Scenarios!$A$7:$A$13,1)))*(MEDIAN($B22-Conversion!$B$16,2020,2050)-INDEX(Report_Scenarios!$A$7:$A$13,MATCH(MEDIAN($B22-Conversion!$B$16,2020,2050),Report_Scenarios!$A$7:$A$13,1)))/(INDEX(Report_Scenarios!$A$7:$A$13,MIN(MATCH(MEDIAN($B22-Conversion!$B$16,2020,2050),Report_Scenarios!$A$7:$A$13,1)+1,7))-INDEX(Report_Scenarios!$A$7:$A$13,MATCH(MEDIAN($B22-Conversion!$B$16,2020,2050),Report_Scenarios!$A$7:$A$13,1)))),IF($D22="Central",IF(INDEX(Report_Scenarios!$A$18:$A$24,MIN(MATCH(MEDIAN($B22-Conversion!$B$16,2020,2050),Report_Scenarios!$A$18:$A$24,1)+1,7))=INDEX(Report_Scenarios!$A$18:$A$24,MATCH(MEDIAN($B22-Conversion!$B$16,2020,2050),Report_Scenarios!$A$18:$A$24,1)),INDEX(Report_Scenarios!$B$18:$B$24,MATCH(MEDIAN($B22-Conversion!$B$16,2020,2050),Report_Scenarios!$A$18:$A$24,1)),INDEX(Report_Scenarios!$B$18:$B$24,MATCH(MEDIAN($B22-Conversion!$B$16,2020,2050),Report_Scenarios!$A$18:$A$24,1))+(INDEX(Report_Scenarios!$B$18:$B$24,MIN(MATCH(MEDIAN($B22-Conversion!$B$16,2020,2050),Report_Scenarios!$A$18:$A$24,1)+1,7))-INDEX(Report_Scenarios!$B$18:$B$24,MATCH(MEDIAN($B22-Conversion!$B$16,2020,2050),Report_Scenarios!$A$18:$A$24,1)))*(MEDIAN($B22-Conversion!$B$16,2020,2050)-INDEX(Report_Scenarios!$A$18:$A$24,MATCH(MEDIAN($B22-Conversion!$B$16,2020,2050),Report_Scenarios!$A$18:$A$24,1)))/(INDEX(Report_Scenarios!$A$18:$A$24,MIN(MATCH(MEDIAN($B22-Conversion!$B$16,2020,2050),Report_Scenarios!$A$18:$A$24,1)+1,7))-INDEX(Report_Scenarios!$A$18:$A$24,MATCH(MEDIAN($B22-Conversion!$B$16,2020,2050),Report_Scenarios!$A$18:$A$24,1)))),IF(INDEX(Report_Scenarios!$A$29:$A$35,MIN(MATCH(MEDIAN($B22-Conversion!$B$16,2020,2050),Report_Scenarios!$A$29:$A$35,1)+1,7))=INDEX(Report_Scenarios!$A$29:$A$35,MATCH(MEDIAN($B22-Conversion!$B$16,2020,2050),Report_Scenarios!$A$29:$A$35,1)),INDEX(Report_Scenarios!$B$29:$B$35,MATCH(MEDIAN($B22-Conversion!$B$16,2020,2050),Report_Scenarios!$A$29:$A$35,1)),INDEX(Report_Scenarios!$B$29:$B$35,MATCH(MEDIAN($B22-Conversion!$B$16,2020,2050),Report_Scenarios!$A$29:$A$35,1))+(INDEX(Report_Scenarios!$B$29:$B$35,MIN(MATCH(MEDIAN($B22-Conversion!$B$16,2020,2050),Report_Scenarios!$A$29:$A$35,1)+1,7))-INDEX(Report_Scenarios!$B$29:$B$35,MATCH(MEDIAN($B22-Conversion!$B$16,2020,2050),Report_Scenarios!$A$29:$A$35,1)))*(MEDIAN($B22-Conversion!$B$16,2020,2050)-INDEX(Report_Scenarios!$A$29:$A$35,MATCH(MEDIAN($B22-Conversion!$B$16,2020,2050),Report_Scenarios!$A$29:$A$35,1)))/(INDEX(Report_Scenarios!$A$29:$A$35,MIN(MATCH(MEDIAN($B22-Conversion!$B$16,2020,2050),Report_Scenarios!$A$29:$A$35,1)+1,7))-INDEX(Report_Scenarios!$A$29:$A$35,MATCH(MEDIAN($B22-Conversion!$B$16,2020,2050),Report_Scenarios!$A$29:$A$35,1))))))</f>
        <v/>
      </c>
      <c r="F22" s="23">
        <f>IF($D22="Conservative",IF(INDEX(Report_Scenarios!$A$7:$A$13,MIN(MATCH(MEDIAN($B22-Conversion!$B$16,2020,2050),Report_Scenarios!$A$7:$A$13,1)+1,7))=INDEX(Report_Scenarios!$A$7:$A$13,MATCH(MEDIAN($B22-Conversion!$B$16,2020,2050),Report_Scenarios!$A$7:$A$13,1)),INDEX(Report_Scenarios!$C$7:$C$13,MATCH(MEDIAN($B22-Conversion!$B$16,2020,2050),Report_Scenarios!$A$7:$A$13,1)),INDEX(Report_Scenarios!$C$7:$C$13,MATCH(MEDIAN($B22-Conversion!$B$16,2020,2050),Report_Scenarios!$A$7:$A$13,1))+(INDEX(Report_Scenarios!$C$7:$C$13,MIN(MATCH(MEDIAN($B22-Conversion!$B$16,2020,2050),Report_Scenarios!$A$7:$A$13,1)+1,7))-INDEX(Report_Scenarios!$C$7:$C$13,MATCH(MEDIAN($B22-Conversion!$B$16,2020,2050),Report_Scenarios!$A$7:$A$13,1)))*(MEDIAN($B22-Conversion!$B$16,2020,2050)-INDEX(Report_Scenarios!$A$7:$A$13,MATCH(MEDIAN($B22-Conversion!$B$16,2020,2050),Report_Scenarios!$A$7:$A$13,1)))/(INDEX(Report_Scenarios!$A$7:$A$13,MIN(MATCH(MEDIAN($B22-Conversion!$B$16,2020,2050),Report_Scenarios!$A$7:$A$13,1)+1,7))-INDEX(Report_Scenarios!$A$7:$A$13,MATCH(MEDIAN($B22-Conversion!$B$16,2020,2050),Report_Scenarios!$A$7:$A$13,1)))),IF($D22="Central",IF(INDEX(Report_Scenarios!$A$18:$A$24,MIN(MATCH(MEDIAN($B22-Conversion!$B$16,2020,2050),Report_Scenarios!$A$18:$A$24,1)+1,7))=INDEX(Report_Scenarios!$A$18:$A$24,MATCH(MEDIAN($B22-Conversion!$B$16,2020,2050),Report_Scenarios!$A$18:$A$24,1)),INDEX(Report_Scenarios!$C$18:$C$24,MATCH(MEDIAN($B22-Conversion!$B$16,2020,2050),Report_Scenarios!$A$18:$A$24,1)),INDEX(Report_Scenarios!$C$18:$C$24,MATCH(MEDIAN($B22-Conversion!$B$16,2020,2050),Report_Scenarios!$A$18:$A$24,1))+(INDEX(Report_Scenarios!$C$18:$C$24,MIN(MATCH(MEDIAN($B22-Conversion!$B$16,2020,2050),Report_Scenarios!$A$18:$A$24,1)+1,7))-INDEX(Report_Scenarios!$C$18:$C$24,MATCH(MEDIAN($B22-Conversion!$B$16,2020,2050),Report_Scenarios!$A$18:$A$24,1)))*(MEDIAN($B22-Conversion!$B$16,2020,2050)-INDEX(Report_Scenarios!$A$18:$A$24,MATCH(MEDIAN($B22-Conversion!$B$16,2020,2050),Report_Scenarios!$A$18:$A$24,1)))/(INDEX(Report_Scenarios!$A$18:$A$24,MIN(MATCH(MEDIAN($B22-Conversion!$B$16,2020,2050),Report_Scenarios!$A$18:$A$24,1)+1,7))-INDEX(Report_Scenarios!$A$18:$A$24,MATCH(MEDIAN($B22-Conversion!$B$16,2020,2050),Report_Scenarios!$A$18:$A$24,1)))),IF(INDEX(Report_Scenarios!$A$29:$A$35,MIN(MATCH(MEDIAN($B22-Conversion!$B$16,2020,2050),Report_Scenarios!$A$29:$A$35,1)+1,7))=INDEX(Report_Scenarios!$A$29:$A$35,MATCH(MEDIAN($B22-Conversion!$B$16,2020,2050),Report_Scenarios!$A$29:$A$35,1)),INDEX(Report_Scenarios!$C$29:$C$35,MATCH(MEDIAN($B22-Conversion!$B$16,2020,2050),Report_Scenarios!$A$29:$A$35,1)),INDEX(Report_Scenarios!$C$29:$C$35,MATCH(MEDIAN($B22-Conversion!$B$16,2020,2050),Report_Scenarios!$A$29:$A$35,1))+(INDEX(Report_Scenarios!$C$29:$C$35,MIN(MATCH(MEDIAN($B22-Conversion!$B$16,2020,2050),Report_Scenarios!$A$29:$A$35,1)+1,7))-INDEX(Report_Scenarios!$C$29:$C$35,MATCH(MEDIAN($B22-Conversion!$B$16,2020,2050),Report_Scenarios!$A$29:$A$35,1)))*(MEDIAN($B22-Conversion!$B$16,2020,2050)-INDEX(Report_Scenarios!$A$29:$A$35,MATCH(MEDIAN($B22-Conversion!$B$16,2020,2050),Report_Scenarios!$A$29:$A$35,1)))/(INDEX(Report_Scenarios!$A$29:$A$35,MIN(MATCH(MEDIAN($B22-Conversion!$B$16,2020,2050),Report_Scenarios!$A$29:$A$35,1)+1,7))-INDEX(Report_Scenarios!$A$29:$A$35,MATCH(MEDIAN($B22-Conversion!$B$16,2020,2050),Report_Scenarios!$A$29:$A$35,1))))))</f>
        <v/>
      </c>
      <c r="G22" s="23">
        <f>IF($D22="Conservative",IF(INDEX(Report_Scenarios!$A$7:$A$13,MIN(MATCH(MEDIAN($B22-Conversion!$B$16,2020,2050),Report_Scenarios!$A$7:$A$13,1)+1,7))=INDEX(Report_Scenarios!$A$7:$A$13,MATCH(MEDIAN($B22-Conversion!$B$16,2020,2050),Report_Scenarios!$A$7:$A$13,1)),INDEX(Report_Scenarios!$D$7:$D$13,MATCH(MEDIAN($B22-Conversion!$B$16,2020,2050),Report_Scenarios!$A$7:$A$13,1)),INDEX(Report_Scenarios!$D$7:$D$13,MATCH(MEDIAN($B22-Conversion!$B$16,2020,2050),Report_Scenarios!$A$7:$A$13,1))+(INDEX(Report_Scenarios!$D$7:$D$13,MIN(MATCH(MEDIAN($B22-Conversion!$B$16,2020,2050),Report_Scenarios!$A$7:$A$13,1)+1,7))-INDEX(Report_Scenarios!$D$7:$D$13,MATCH(MEDIAN($B22-Conversion!$B$16,2020,2050),Report_Scenarios!$A$7:$A$13,1)))*(MEDIAN($B22-Conversion!$B$16,2020,2050)-INDEX(Report_Scenarios!$A$7:$A$13,MATCH(MEDIAN($B22-Conversion!$B$16,2020,2050),Report_Scenarios!$A$7:$A$13,1)))/(INDEX(Report_Scenarios!$A$7:$A$13,MIN(MATCH(MEDIAN($B22-Conversion!$B$16,2020,2050),Report_Scenarios!$A$7:$A$13,1)+1,7))-INDEX(Report_Scenarios!$A$7:$A$13,MATCH(MEDIAN($B22-Conversion!$B$16,2020,2050),Report_Scenarios!$A$7:$A$13,1)))),IF($D22="Central",IF(INDEX(Report_Scenarios!$A$18:$A$24,MIN(MATCH(MEDIAN($B22-Conversion!$B$16,2020,2050),Report_Scenarios!$A$18:$A$24,1)+1,7))=INDEX(Report_Scenarios!$A$18:$A$24,MATCH(MEDIAN($B22-Conversion!$B$16,2020,2050),Report_Scenarios!$A$18:$A$24,1)),INDEX(Report_Scenarios!$D$18:$D$24,MATCH(MEDIAN($B22-Conversion!$B$16,2020,2050),Report_Scenarios!$A$18:$A$24,1)),INDEX(Report_Scenarios!$D$18:$D$24,MATCH(MEDIAN($B22-Conversion!$B$16,2020,2050),Report_Scenarios!$A$18:$A$24,1))+(INDEX(Report_Scenarios!$D$18:$D$24,MIN(MATCH(MEDIAN($B22-Conversion!$B$16,2020,2050),Report_Scenarios!$A$18:$A$24,1)+1,7))-INDEX(Report_Scenarios!$D$18:$D$24,MATCH(MEDIAN($B22-Conversion!$B$16,2020,2050),Report_Scenarios!$A$18:$A$24,1)))*(MEDIAN($B22-Conversion!$B$16,2020,2050)-INDEX(Report_Scenarios!$A$18:$A$24,MATCH(MEDIAN($B22-Conversion!$B$16,2020,2050),Report_Scenarios!$A$18:$A$24,1)))/(INDEX(Report_Scenarios!$A$18:$A$24,MIN(MATCH(MEDIAN($B22-Conversion!$B$16,2020,2050),Report_Scenarios!$A$18:$A$24,1)+1,7))-INDEX(Report_Scenarios!$A$18:$A$24,MATCH(MEDIAN($B22-Conversion!$B$16,2020,2050),Report_Scenarios!$A$18:$A$24,1)))),IF(INDEX(Report_Scenarios!$A$29:$A$35,MIN(MATCH(MEDIAN($B22-Conversion!$B$16,2020,2050),Report_Scenarios!$A$29:$A$35,1)+1,7))=INDEX(Report_Scenarios!$A$29:$A$35,MATCH(MEDIAN($B22-Conversion!$B$16,2020,2050),Report_Scenarios!$A$29:$A$35,1)),INDEX(Report_Scenarios!$D$29:$D$35,MATCH(MEDIAN($B22-Conversion!$B$16,2020,2050),Report_Scenarios!$A$29:$A$35,1)),INDEX(Report_Scenarios!$D$29:$D$35,MATCH(MEDIAN($B22-Conversion!$B$16,2020,2050),Report_Scenarios!$A$29:$A$35,1))+(INDEX(Report_Scenarios!$D$29:$D$35,MIN(MATCH(MEDIAN($B22-Conversion!$B$16,2020,2050),Report_Scenarios!$A$29:$A$35,1)+1,7))-INDEX(Report_Scenarios!$D$29:$D$35,MATCH(MEDIAN($B22-Conversion!$B$16,2020,2050),Report_Scenarios!$A$29:$A$35,1)))*(MEDIAN($B22-Conversion!$B$16,2020,2050)-INDEX(Report_Scenarios!$A$29:$A$35,MATCH(MEDIAN($B22-Conversion!$B$16,2020,2050),Report_Scenarios!$A$29:$A$35,1)))/(INDEX(Report_Scenarios!$A$29:$A$35,MIN(MATCH(MEDIAN($B22-Conversion!$B$16,2020,2050),Report_Scenarios!$A$29:$A$35,1)+1,7))-INDEX(Report_Scenarios!$A$29:$A$35,MATCH(MEDIAN($B22-Conversion!$B$16,2020,2050),Report_Scenarios!$A$29:$A$35,1))))))</f>
        <v/>
      </c>
      <c r="H22" s="23">
        <f>IF($D22="Conservative",IF(INDEX(Report_Scenarios!$A$7:$A$13,MIN(MATCH(MEDIAN($B22-Conversion!$B$16,2020,2050),Report_Scenarios!$A$7:$A$13,1)+1,7))=INDEX(Report_Scenarios!$A$7:$A$13,MATCH(MEDIAN($B22-Conversion!$B$16,2020,2050),Report_Scenarios!$A$7:$A$13,1)),INDEX(Report_Scenarios!$E$7:$E$13,MATCH(MEDIAN($B22-Conversion!$B$16,2020,2050),Report_Scenarios!$A$7:$A$13,1)),INDEX(Report_Scenarios!$E$7:$E$13,MATCH(MEDIAN($B22-Conversion!$B$16,2020,2050),Report_Scenarios!$A$7:$A$13,1))+(INDEX(Report_Scenarios!$E$7:$E$13,MIN(MATCH(MEDIAN($B22-Conversion!$B$16,2020,2050),Report_Scenarios!$A$7:$A$13,1)+1,7))-INDEX(Report_Scenarios!$E$7:$E$13,MATCH(MEDIAN($B22-Conversion!$B$16,2020,2050),Report_Scenarios!$A$7:$A$13,1)))*(MEDIAN($B22-Conversion!$B$16,2020,2050)-INDEX(Report_Scenarios!$A$7:$A$13,MATCH(MEDIAN($B22-Conversion!$B$16,2020,2050),Report_Scenarios!$A$7:$A$13,1)))/(INDEX(Report_Scenarios!$A$7:$A$13,MIN(MATCH(MEDIAN($B22-Conversion!$B$16,2020,2050),Report_Scenarios!$A$7:$A$13,1)+1,7))-INDEX(Report_Scenarios!$A$7:$A$13,MATCH(MEDIAN($B22-Conversion!$B$16,2020,2050),Report_Scenarios!$A$7:$A$13,1)))),IF($D22="Central",IF(INDEX(Report_Scenarios!$A$18:$A$24,MIN(MATCH(MEDIAN($B22-Conversion!$B$16,2020,2050),Report_Scenarios!$A$18:$A$24,1)+1,7))=INDEX(Report_Scenarios!$A$18:$A$24,MATCH(MEDIAN($B22-Conversion!$B$16,2020,2050),Report_Scenarios!$A$18:$A$24,1)),INDEX(Report_Scenarios!$E$18:$E$24,MATCH(MEDIAN($B22-Conversion!$B$16,2020,2050),Report_Scenarios!$A$18:$A$24,1)),INDEX(Report_Scenarios!$E$18:$E$24,MATCH(MEDIAN($B22-Conversion!$B$16,2020,2050),Report_Scenarios!$A$18:$A$24,1))+(INDEX(Report_Scenarios!$E$18:$E$24,MIN(MATCH(MEDIAN($B22-Conversion!$B$16,2020,2050),Report_Scenarios!$A$18:$A$24,1)+1,7))-INDEX(Report_Scenarios!$E$18:$E$24,MATCH(MEDIAN($B22-Conversion!$B$16,2020,2050),Report_Scenarios!$A$18:$A$24,1)))*(MEDIAN($B22-Conversion!$B$16,2020,2050)-INDEX(Report_Scenarios!$A$18:$A$24,MATCH(MEDIAN($B22-Conversion!$B$16,2020,2050),Report_Scenarios!$A$18:$A$24,1)))/(INDEX(Report_Scenarios!$A$18:$A$24,MIN(MATCH(MEDIAN($B22-Conversion!$B$16,2020,2050),Report_Scenarios!$A$18:$A$24,1)+1,7))-INDEX(Report_Scenarios!$A$18:$A$24,MATCH(MEDIAN($B22-Conversion!$B$16,2020,2050),Report_Scenarios!$A$18:$A$24,1)))),IF(INDEX(Report_Scenarios!$A$29:$A$35,MIN(MATCH(MEDIAN($B22-Conversion!$B$16,2020,2050),Report_Scenarios!$A$29:$A$35,1)+1,7))=INDEX(Report_Scenarios!$A$29:$A$35,MATCH(MEDIAN($B22-Conversion!$B$16,2020,2050),Report_Scenarios!$A$29:$A$35,1)),INDEX(Report_Scenarios!$E$29:$E$35,MATCH(MEDIAN($B22-Conversion!$B$16,2020,2050),Report_Scenarios!$A$29:$A$35,1)),INDEX(Report_Scenarios!$E$29:$E$35,MATCH(MEDIAN($B22-Conversion!$B$16,2020,2050),Report_Scenarios!$A$29:$A$35,1))+(INDEX(Report_Scenarios!$E$29:$E$35,MIN(MATCH(MEDIAN($B22-Conversion!$B$16,2020,2050),Report_Scenarios!$A$29:$A$35,1)+1,7))-INDEX(Report_Scenarios!$E$29:$E$35,MATCH(MEDIAN($B22-Conversion!$B$16,2020,2050),Report_Scenarios!$A$29:$A$35,1)))*(MEDIAN($B22-Conversion!$B$16,2020,2050)-INDEX(Report_Scenarios!$A$29:$A$35,MATCH(MEDIAN($B22-Conversion!$B$16,2020,2050),Report_Scenarios!$A$29:$A$35,1)))/(INDEX(Report_Scenarios!$A$29:$A$35,MIN(MATCH(MEDIAN($B22-Conversion!$B$16,2020,2050),Report_Scenarios!$A$29:$A$35,1)+1,7))-INDEX(Report_Scenarios!$A$29:$A$35,MATCH(MEDIAN($B22-Conversion!$B$16,2020,2050),Report_Scenarios!$A$29:$A$35,1))))))</f>
        <v/>
      </c>
      <c r="I22" s="23">
        <f>IF($D22="Conservative",IF(INDEX(Report_Scenarios!$A$7:$A$13,MIN(MATCH(MEDIAN($B22-Conversion!$B$16,2020,2050),Report_Scenarios!$A$7:$A$13,1)+1,7))=INDEX(Report_Scenarios!$A$7:$A$13,MATCH(MEDIAN($B22-Conversion!$B$16,2020,2050),Report_Scenarios!$A$7:$A$13,1)),INDEX(Report_Scenarios!$F$7:$F$13,MATCH(MEDIAN($B22-Conversion!$B$16,2020,2050),Report_Scenarios!$A$7:$A$13,1)),INDEX(Report_Scenarios!$F$7:$F$13,MATCH(MEDIAN($B22-Conversion!$B$16,2020,2050),Report_Scenarios!$A$7:$A$13,1))+(INDEX(Report_Scenarios!$F$7:$F$13,MIN(MATCH(MEDIAN($B22-Conversion!$B$16,2020,2050),Report_Scenarios!$A$7:$A$13,1)+1,7))-INDEX(Report_Scenarios!$F$7:$F$13,MATCH(MEDIAN($B22-Conversion!$B$16,2020,2050),Report_Scenarios!$A$7:$A$13,1)))*(MEDIAN($B22-Conversion!$B$16,2020,2050)-INDEX(Report_Scenarios!$A$7:$A$13,MATCH(MEDIAN($B22-Conversion!$B$16,2020,2050),Report_Scenarios!$A$7:$A$13,1)))/(INDEX(Report_Scenarios!$A$7:$A$13,MIN(MATCH(MEDIAN($B22-Conversion!$B$16,2020,2050),Report_Scenarios!$A$7:$A$13,1)+1,7))-INDEX(Report_Scenarios!$A$7:$A$13,MATCH(MEDIAN($B22-Conversion!$B$16,2020,2050),Report_Scenarios!$A$7:$A$13,1)))),IF($D22="Central",IF(INDEX(Report_Scenarios!$A$18:$A$24,MIN(MATCH(MEDIAN($B22-Conversion!$B$16,2020,2050),Report_Scenarios!$A$18:$A$24,1)+1,7))=INDEX(Report_Scenarios!$A$18:$A$24,MATCH(MEDIAN($B22-Conversion!$B$16,2020,2050),Report_Scenarios!$A$18:$A$24,1)),INDEX(Report_Scenarios!$F$18:$F$24,MATCH(MEDIAN($B22-Conversion!$B$16,2020,2050),Report_Scenarios!$A$18:$A$24,1)),INDEX(Report_Scenarios!$F$18:$F$24,MATCH(MEDIAN($B22-Conversion!$B$16,2020,2050),Report_Scenarios!$A$18:$A$24,1))+(INDEX(Report_Scenarios!$F$18:$F$24,MIN(MATCH(MEDIAN($B22-Conversion!$B$16,2020,2050),Report_Scenarios!$A$18:$A$24,1)+1,7))-INDEX(Report_Scenarios!$F$18:$F$24,MATCH(MEDIAN($B22-Conversion!$B$16,2020,2050),Report_Scenarios!$A$18:$A$24,1)))*(MEDIAN($B22-Conversion!$B$16,2020,2050)-INDEX(Report_Scenarios!$A$18:$A$24,MATCH(MEDIAN($B22-Conversion!$B$16,2020,2050),Report_Scenarios!$A$18:$A$24,1)))/(INDEX(Report_Scenarios!$A$18:$A$24,MIN(MATCH(MEDIAN($B22-Conversion!$B$16,2020,2050),Report_Scenarios!$A$18:$A$24,1)+1,7))-INDEX(Report_Scenarios!$A$18:$A$24,MATCH(MEDIAN($B22-Conversion!$B$16,2020,2050),Report_Scenarios!$A$18:$A$24,1)))),IF(INDEX(Report_Scenarios!$A$29:$A$35,MIN(MATCH(MEDIAN($B22-Conversion!$B$16,2020,2050),Report_Scenarios!$A$29:$A$35,1)+1,7))=INDEX(Report_Scenarios!$A$29:$A$35,MATCH(MEDIAN($B22-Conversion!$B$16,2020,2050),Report_Scenarios!$A$29:$A$35,1)),INDEX(Report_Scenarios!$F$29:$F$35,MATCH(MEDIAN($B22-Conversion!$B$16,2020,2050),Report_Scenarios!$A$29:$A$35,1)),INDEX(Report_Scenarios!$F$29:$F$35,MATCH(MEDIAN($B22-Conversion!$B$16,2020,2050),Report_Scenarios!$A$29:$A$35,1))+(INDEX(Report_Scenarios!$F$29:$F$35,MIN(MATCH(MEDIAN($B22-Conversion!$B$16,2020,2050),Report_Scenarios!$A$29:$A$35,1)+1,7))-INDEX(Report_Scenarios!$F$29:$F$35,MATCH(MEDIAN($B22-Conversion!$B$16,2020,2050),Report_Scenarios!$A$29:$A$35,1)))*(MEDIAN($B22-Conversion!$B$16,2020,2050)-INDEX(Report_Scenarios!$A$29:$A$35,MATCH(MEDIAN($B22-Conversion!$B$16,2020,2050),Report_Scenarios!$A$29:$A$35,1)))/(INDEX(Report_Scenarios!$A$29:$A$35,MIN(MATCH(MEDIAN($B22-Conversion!$B$16,2020,2050),Report_Scenarios!$A$29:$A$35,1)+1,7))-INDEX(Report_Scenarios!$A$29:$A$35,MATCH(MEDIAN($B22-Conversion!$B$16,2020,2050),Report_Scenarios!$A$29:$A$35,1))))))</f>
        <v/>
      </c>
      <c r="J22" s="23">
        <f>IF($D22="Conservative",IF(INDEX(Report_Scenarios!$A$7:$A$13,MIN(MATCH(MEDIAN($B22-Conversion!$B$16,2020,2050),Report_Scenarios!$A$7:$A$13,1)+1,7))=INDEX(Report_Scenarios!$A$7:$A$13,MATCH(MEDIAN($B22-Conversion!$B$16,2020,2050),Report_Scenarios!$A$7:$A$13,1)),INDEX(Report_Scenarios!$G$7:$G$13,MATCH(MEDIAN($B22-Conversion!$B$16,2020,2050),Report_Scenarios!$A$7:$A$13,1)),INDEX(Report_Scenarios!$G$7:$G$13,MATCH(MEDIAN($B22-Conversion!$B$16,2020,2050),Report_Scenarios!$A$7:$A$13,1))+(INDEX(Report_Scenarios!$G$7:$G$13,MIN(MATCH(MEDIAN($B22-Conversion!$B$16,2020,2050),Report_Scenarios!$A$7:$A$13,1)+1,7))-INDEX(Report_Scenarios!$G$7:$G$13,MATCH(MEDIAN($B22-Conversion!$B$16,2020,2050),Report_Scenarios!$A$7:$A$13,1)))*(MEDIAN($B22-Conversion!$B$16,2020,2050)-INDEX(Report_Scenarios!$A$7:$A$13,MATCH(MEDIAN($B22-Conversion!$B$16,2020,2050),Report_Scenarios!$A$7:$A$13,1)))/(INDEX(Report_Scenarios!$A$7:$A$13,MIN(MATCH(MEDIAN($B22-Conversion!$B$16,2020,2050),Report_Scenarios!$A$7:$A$13,1)+1,7))-INDEX(Report_Scenarios!$A$7:$A$13,MATCH(MEDIAN($B22-Conversion!$B$16,2020,2050),Report_Scenarios!$A$7:$A$13,1)))),IF($D22="Central",IF(INDEX(Report_Scenarios!$A$18:$A$24,MIN(MATCH(MEDIAN($B22-Conversion!$B$16,2020,2050),Report_Scenarios!$A$18:$A$24,1)+1,7))=INDEX(Report_Scenarios!$A$18:$A$24,MATCH(MEDIAN($B22-Conversion!$B$16,2020,2050),Report_Scenarios!$A$18:$A$24,1)),INDEX(Report_Scenarios!$G$18:$G$24,MATCH(MEDIAN($B22-Conversion!$B$16,2020,2050),Report_Scenarios!$A$18:$A$24,1)),INDEX(Report_Scenarios!$G$18:$G$24,MATCH(MEDIAN($B22-Conversion!$B$16,2020,2050),Report_Scenarios!$A$18:$A$24,1))+(INDEX(Report_Scenarios!$G$18:$G$24,MIN(MATCH(MEDIAN($B22-Conversion!$B$16,2020,2050),Report_Scenarios!$A$18:$A$24,1)+1,7))-INDEX(Report_Scenarios!$G$18:$G$24,MATCH(MEDIAN($B22-Conversion!$B$16,2020,2050),Report_Scenarios!$A$18:$A$24,1)))*(MEDIAN($B22-Conversion!$B$16,2020,2050)-INDEX(Report_Scenarios!$A$18:$A$24,MATCH(MEDIAN($B22-Conversion!$B$16,2020,2050),Report_Scenarios!$A$18:$A$24,1)))/(INDEX(Report_Scenarios!$A$18:$A$24,MIN(MATCH(MEDIAN($B22-Conversion!$B$16,2020,2050),Report_Scenarios!$A$18:$A$24,1)+1,7))-INDEX(Report_Scenarios!$A$18:$A$24,MATCH(MEDIAN($B22-Conversion!$B$16,2020,2050),Report_Scenarios!$A$18:$A$24,1)))),IF(INDEX(Report_Scenarios!$A$29:$A$35,MIN(MATCH(MEDIAN($B22-Conversion!$B$16,2020,2050),Report_Scenarios!$A$29:$A$35,1)+1,7))=INDEX(Report_Scenarios!$A$29:$A$35,MATCH(MEDIAN($B22-Conversion!$B$16,2020,2050),Report_Scenarios!$A$29:$A$35,1)),INDEX(Report_Scenarios!$G$29:$G$35,MATCH(MEDIAN($B22-Conversion!$B$16,2020,2050),Report_Scenarios!$A$29:$A$35,1)),INDEX(Report_Scenarios!$G$29:$G$35,MATCH(MEDIAN($B22-Conversion!$B$16,2020,2050),Report_Scenarios!$A$29:$A$35,1))+(INDEX(Report_Scenarios!$G$29:$G$35,MIN(MATCH(MEDIAN($B22-Conversion!$B$16,2020,2050),Report_Scenarios!$A$29:$A$35,1)+1,7))-INDEX(Report_Scenarios!$G$29:$G$35,MATCH(MEDIAN($B22-Conversion!$B$16,2020,2050),Report_Scenarios!$A$29:$A$35,1)))*(MEDIAN($B22-Conversion!$B$16,2020,2050)-INDEX(Report_Scenarios!$A$29:$A$35,MATCH(MEDIAN($B22-Conversion!$B$16,2020,2050),Report_Scenarios!$A$29:$A$35,1)))/(INDEX(Report_Scenarios!$A$29:$A$35,MIN(MATCH(MEDIAN($B22-Conversion!$B$16,2020,2050),Report_Scenarios!$A$29:$A$35,1)+1,7))-INDEX(Report_Scenarios!$A$29:$A$35,MATCH(MEDIAN($B22-Conversion!$B$16,2020,2050),Report_Scenarios!$A$29:$A$35,1))))))</f>
        <v/>
      </c>
      <c r="K22" s="23">
        <f>SUM(E22:J22)</f>
        <v/>
      </c>
      <c r="L22" s="23">
        <f>IF(R22&lt;&gt;"",R22,IF($K22=0,0,E22/$K22))</f>
        <v/>
      </c>
      <c r="M22" s="23">
        <f>IF(S22&lt;&gt;"",S22,IF($K22=0,0,F22/$K22))</f>
        <v/>
      </c>
      <c r="N22" s="23">
        <f>IF(T22&lt;&gt;"",T22,IF($K22=0,0,G22/$K22))</f>
        <v/>
      </c>
      <c r="O22" s="23">
        <f>IF(U22&lt;&gt;"",U22,IF($K22=0,0,H22/$K22))</f>
        <v/>
      </c>
      <c r="P22" s="23">
        <f>IF(V22&lt;&gt;"",V22,IF($K22=0,0,I22/$K22))</f>
        <v/>
      </c>
      <c r="Q22" s="23">
        <f>IF(W22&lt;&gt;"",W22,IF($K22=0,0,J22/$K22))</f>
        <v/>
      </c>
      <c r="R22" s="24" t="n"/>
      <c r="S22" s="24" t="n"/>
      <c r="T22" s="24" t="n"/>
      <c r="U22" s="24" t="n"/>
      <c r="V22" s="24" t="n"/>
      <c r="W22" s="24" t="n"/>
    </row>
    <row r="23">
      <c r="A23" s="4" t="inlineStr">
        <is>
          <t>AB</t>
        </is>
      </c>
      <c r="B23" s="4" t="n">
        <v>2050</v>
      </c>
      <c r="C23" s="4" t="inlineStr">
        <is>
          <t>Share_Min</t>
        </is>
      </c>
      <c r="D23" s="4">
        <f>Conversion!$B$18</f>
        <v/>
      </c>
      <c r="E23" s="23">
        <f>IF($D23="Conservative",IF(INDEX(Report_Scenarios!$A$7:$A$13,MIN(MATCH(MEDIAN($B23-Conversion!$B$16,2020,2050),Report_Scenarios!$A$7:$A$13,1)+1,7))=INDEX(Report_Scenarios!$A$7:$A$13,MATCH(MEDIAN($B23-Conversion!$B$16,2020,2050),Report_Scenarios!$A$7:$A$13,1)),INDEX(Report_Scenarios!$B$7:$B$13,MATCH(MEDIAN($B23-Conversion!$B$16,2020,2050),Report_Scenarios!$A$7:$A$13,1)),INDEX(Report_Scenarios!$B$7:$B$13,MATCH(MEDIAN($B23-Conversion!$B$16,2020,2050),Report_Scenarios!$A$7:$A$13,1))+(INDEX(Report_Scenarios!$B$7:$B$13,MIN(MATCH(MEDIAN($B23-Conversion!$B$16,2020,2050),Report_Scenarios!$A$7:$A$13,1)+1,7))-INDEX(Report_Scenarios!$B$7:$B$13,MATCH(MEDIAN($B23-Conversion!$B$16,2020,2050),Report_Scenarios!$A$7:$A$13,1)))*(MEDIAN($B23-Conversion!$B$16,2020,2050)-INDEX(Report_Scenarios!$A$7:$A$13,MATCH(MEDIAN($B23-Conversion!$B$16,2020,2050),Report_Scenarios!$A$7:$A$13,1)))/(INDEX(Report_Scenarios!$A$7:$A$13,MIN(MATCH(MEDIAN($B23-Conversion!$B$16,2020,2050),Report_Scenarios!$A$7:$A$13,1)+1,7))-INDEX(Report_Scenarios!$A$7:$A$13,MATCH(MEDIAN($B23-Conversion!$B$16,2020,2050),Report_Scenarios!$A$7:$A$13,1)))),IF($D23="Central",IF(INDEX(Report_Scenarios!$A$18:$A$24,MIN(MATCH(MEDIAN($B23-Conversion!$B$16,2020,2050),Report_Scenarios!$A$18:$A$24,1)+1,7))=INDEX(Report_Scenarios!$A$18:$A$24,MATCH(MEDIAN($B23-Conversion!$B$16,2020,2050),Report_Scenarios!$A$18:$A$24,1)),INDEX(Report_Scenarios!$B$18:$B$24,MATCH(MEDIAN($B23-Conversion!$B$16,2020,2050),Report_Scenarios!$A$18:$A$24,1)),INDEX(Report_Scenarios!$B$18:$B$24,MATCH(MEDIAN($B23-Conversion!$B$16,2020,2050),Report_Scenarios!$A$18:$A$24,1))+(INDEX(Report_Scenarios!$B$18:$B$24,MIN(MATCH(MEDIAN($B23-Conversion!$B$16,2020,2050),Report_Scenarios!$A$18:$A$24,1)+1,7))-INDEX(Report_Scenarios!$B$18:$B$24,MATCH(MEDIAN($B23-Conversion!$B$16,2020,2050),Report_Scenarios!$A$18:$A$24,1)))*(MEDIAN($B23-Conversion!$B$16,2020,2050)-INDEX(Report_Scenarios!$A$18:$A$24,MATCH(MEDIAN($B23-Conversion!$B$16,2020,2050),Report_Scenarios!$A$18:$A$24,1)))/(INDEX(Report_Scenarios!$A$18:$A$24,MIN(MATCH(MEDIAN($B23-Conversion!$B$16,2020,2050),Report_Scenarios!$A$18:$A$24,1)+1,7))-INDEX(Report_Scenarios!$A$18:$A$24,MATCH(MEDIAN($B23-Conversion!$B$16,2020,2050),Report_Scenarios!$A$18:$A$24,1)))),IF(INDEX(Report_Scenarios!$A$29:$A$35,MIN(MATCH(MEDIAN($B23-Conversion!$B$16,2020,2050),Report_Scenarios!$A$29:$A$35,1)+1,7))=INDEX(Report_Scenarios!$A$29:$A$35,MATCH(MEDIAN($B23-Conversion!$B$16,2020,2050),Report_Scenarios!$A$29:$A$35,1)),INDEX(Report_Scenarios!$B$29:$B$35,MATCH(MEDIAN($B23-Conversion!$B$16,2020,2050),Report_Scenarios!$A$29:$A$35,1)),INDEX(Report_Scenarios!$B$29:$B$35,MATCH(MEDIAN($B23-Conversion!$B$16,2020,2050),Report_Scenarios!$A$29:$A$35,1))+(INDEX(Report_Scenarios!$B$29:$B$35,MIN(MATCH(MEDIAN($B23-Conversion!$B$16,2020,2050),Report_Scenarios!$A$29:$A$35,1)+1,7))-INDEX(Report_Scenarios!$B$29:$B$35,MATCH(MEDIAN($B23-Conversion!$B$16,2020,2050),Report_Scenarios!$A$29:$A$35,1)))*(MEDIAN($B23-Conversion!$B$16,2020,2050)-INDEX(Report_Scenarios!$A$29:$A$35,MATCH(MEDIAN($B23-Conversion!$B$16,2020,2050),Report_Scenarios!$A$29:$A$35,1)))/(INDEX(Report_Scenarios!$A$29:$A$35,MIN(MATCH(MEDIAN($B23-Conversion!$B$16,2020,2050),Report_Scenarios!$A$29:$A$35,1)+1,7))-INDEX(Report_Scenarios!$A$29:$A$35,MATCH(MEDIAN($B23-Conversion!$B$16,2020,2050),Report_Scenarios!$A$29:$A$35,1))))))</f>
        <v/>
      </c>
      <c r="F23" s="23">
        <f>IF($D23="Conservative",IF(INDEX(Report_Scenarios!$A$7:$A$13,MIN(MATCH(MEDIAN($B23-Conversion!$B$16,2020,2050),Report_Scenarios!$A$7:$A$13,1)+1,7))=INDEX(Report_Scenarios!$A$7:$A$13,MATCH(MEDIAN($B23-Conversion!$B$16,2020,2050),Report_Scenarios!$A$7:$A$13,1)),INDEX(Report_Scenarios!$C$7:$C$13,MATCH(MEDIAN($B23-Conversion!$B$16,2020,2050),Report_Scenarios!$A$7:$A$13,1)),INDEX(Report_Scenarios!$C$7:$C$13,MATCH(MEDIAN($B23-Conversion!$B$16,2020,2050),Report_Scenarios!$A$7:$A$13,1))+(INDEX(Report_Scenarios!$C$7:$C$13,MIN(MATCH(MEDIAN($B23-Conversion!$B$16,2020,2050),Report_Scenarios!$A$7:$A$13,1)+1,7))-INDEX(Report_Scenarios!$C$7:$C$13,MATCH(MEDIAN($B23-Conversion!$B$16,2020,2050),Report_Scenarios!$A$7:$A$13,1)))*(MEDIAN($B23-Conversion!$B$16,2020,2050)-INDEX(Report_Scenarios!$A$7:$A$13,MATCH(MEDIAN($B23-Conversion!$B$16,2020,2050),Report_Scenarios!$A$7:$A$13,1)))/(INDEX(Report_Scenarios!$A$7:$A$13,MIN(MATCH(MEDIAN($B23-Conversion!$B$16,2020,2050),Report_Scenarios!$A$7:$A$13,1)+1,7))-INDEX(Report_Scenarios!$A$7:$A$13,MATCH(MEDIAN($B23-Conversion!$B$16,2020,2050),Report_Scenarios!$A$7:$A$13,1)))),IF($D23="Central",IF(INDEX(Report_Scenarios!$A$18:$A$24,MIN(MATCH(MEDIAN($B23-Conversion!$B$16,2020,2050),Report_Scenarios!$A$18:$A$24,1)+1,7))=INDEX(Report_Scenarios!$A$18:$A$24,MATCH(MEDIAN($B23-Conversion!$B$16,2020,2050),Report_Scenarios!$A$18:$A$24,1)),INDEX(Report_Scenarios!$C$18:$C$24,MATCH(MEDIAN($B23-Conversion!$B$16,2020,2050),Report_Scenarios!$A$18:$A$24,1)),INDEX(Report_Scenarios!$C$18:$C$24,MATCH(MEDIAN($B23-Conversion!$B$16,2020,2050),Report_Scenarios!$A$18:$A$24,1))+(INDEX(Report_Scenarios!$C$18:$C$24,MIN(MATCH(MEDIAN($B23-Conversion!$B$16,2020,2050),Report_Scenarios!$A$18:$A$24,1)+1,7))-INDEX(Report_Scenarios!$C$18:$C$24,MATCH(MEDIAN($B23-Conversion!$B$16,2020,2050),Report_Scenarios!$A$18:$A$24,1)))*(MEDIAN($B23-Conversion!$B$16,2020,2050)-INDEX(Report_Scenarios!$A$18:$A$24,MATCH(MEDIAN($B23-Conversion!$B$16,2020,2050),Report_Scenarios!$A$18:$A$24,1)))/(INDEX(Report_Scenarios!$A$18:$A$24,MIN(MATCH(MEDIAN($B23-Conversion!$B$16,2020,2050),Report_Scenarios!$A$18:$A$24,1)+1,7))-INDEX(Report_Scenarios!$A$18:$A$24,MATCH(MEDIAN($B23-Conversion!$B$16,2020,2050),Report_Scenarios!$A$18:$A$24,1)))),IF(INDEX(Report_Scenarios!$A$29:$A$35,MIN(MATCH(MEDIAN($B23-Conversion!$B$16,2020,2050),Report_Scenarios!$A$29:$A$35,1)+1,7))=INDEX(Report_Scenarios!$A$29:$A$35,MATCH(MEDIAN($B23-Conversion!$B$16,2020,2050),Report_Scenarios!$A$29:$A$35,1)),INDEX(Report_Scenarios!$C$29:$C$35,MATCH(MEDIAN($B23-Conversion!$B$16,2020,2050),Report_Scenarios!$A$29:$A$35,1)),INDEX(Report_Scenarios!$C$29:$C$35,MATCH(MEDIAN($B23-Conversion!$B$16,2020,2050),Report_Scenarios!$A$29:$A$35,1))+(INDEX(Report_Scenarios!$C$29:$C$35,MIN(MATCH(MEDIAN($B23-Conversion!$B$16,2020,2050),Report_Scenarios!$A$29:$A$35,1)+1,7))-INDEX(Report_Scenarios!$C$29:$C$35,MATCH(MEDIAN($B23-Conversion!$B$16,2020,2050),Report_Scenarios!$A$29:$A$35,1)))*(MEDIAN($B23-Conversion!$B$16,2020,2050)-INDEX(Report_Scenarios!$A$29:$A$35,MATCH(MEDIAN($B23-Conversion!$B$16,2020,2050),Report_Scenarios!$A$29:$A$35,1)))/(INDEX(Report_Scenarios!$A$29:$A$35,MIN(MATCH(MEDIAN($B23-Conversion!$B$16,2020,2050),Report_Scenarios!$A$29:$A$35,1)+1,7))-INDEX(Report_Scenarios!$A$29:$A$35,MATCH(MEDIAN($B23-Conversion!$B$16,2020,2050),Report_Scenarios!$A$29:$A$35,1))))))</f>
        <v/>
      </c>
      <c r="G23" s="23">
        <f>IF($D23="Conservative",IF(INDEX(Report_Scenarios!$A$7:$A$13,MIN(MATCH(MEDIAN($B23-Conversion!$B$16,2020,2050),Report_Scenarios!$A$7:$A$13,1)+1,7))=INDEX(Report_Scenarios!$A$7:$A$13,MATCH(MEDIAN($B23-Conversion!$B$16,2020,2050),Report_Scenarios!$A$7:$A$13,1)),INDEX(Report_Scenarios!$D$7:$D$13,MATCH(MEDIAN($B23-Conversion!$B$16,2020,2050),Report_Scenarios!$A$7:$A$13,1)),INDEX(Report_Scenarios!$D$7:$D$13,MATCH(MEDIAN($B23-Conversion!$B$16,2020,2050),Report_Scenarios!$A$7:$A$13,1))+(INDEX(Report_Scenarios!$D$7:$D$13,MIN(MATCH(MEDIAN($B23-Conversion!$B$16,2020,2050),Report_Scenarios!$A$7:$A$13,1)+1,7))-INDEX(Report_Scenarios!$D$7:$D$13,MATCH(MEDIAN($B23-Conversion!$B$16,2020,2050),Report_Scenarios!$A$7:$A$13,1)))*(MEDIAN($B23-Conversion!$B$16,2020,2050)-INDEX(Report_Scenarios!$A$7:$A$13,MATCH(MEDIAN($B23-Conversion!$B$16,2020,2050),Report_Scenarios!$A$7:$A$13,1)))/(INDEX(Report_Scenarios!$A$7:$A$13,MIN(MATCH(MEDIAN($B23-Conversion!$B$16,2020,2050),Report_Scenarios!$A$7:$A$13,1)+1,7))-INDEX(Report_Scenarios!$A$7:$A$13,MATCH(MEDIAN($B23-Conversion!$B$16,2020,2050),Report_Scenarios!$A$7:$A$13,1)))),IF($D23="Central",IF(INDEX(Report_Scenarios!$A$18:$A$24,MIN(MATCH(MEDIAN($B23-Conversion!$B$16,2020,2050),Report_Scenarios!$A$18:$A$24,1)+1,7))=INDEX(Report_Scenarios!$A$18:$A$24,MATCH(MEDIAN($B23-Conversion!$B$16,2020,2050),Report_Scenarios!$A$18:$A$24,1)),INDEX(Report_Scenarios!$D$18:$D$24,MATCH(MEDIAN($B23-Conversion!$B$16,2020,2050),Report_Scenarios!$A$18:$A$24,1)),INDEX(Report_Scenarios!$D$18:$D$24,MATCH(MEDIAN($B23-Conversion!$B$16,2020,2050),Report_Scenarios!$A$18:$A$24,1))+(INDEX(Report_Scenarios!$D$18:$D$24,MIN(MATCH(MEDIAN($B23-Conversion!$B$16,2020,2050),Report_Scenarios!$A$18:$A$24,1)+1,7))-INDEX(Report_Scenarios!$D$18:$D$24,MATCH(MEDIAN($B23-Conversion!$B$16,2020,2050),Report_Scenarios!$A$18:$A$24,1)))*(MEDIAN($B23-Conversion!$B$16,2020,2050)-INDEX(Report_Scenarios!$A$18:$A$24,MATCH(MEDIAN($B23-Conversion!$B$16,2020,2050),Report_Scenarios!$A$18:$A$24,1)))/(INDEX(Report_Scenarios!$A$18:$A$24,MIN(MATCH(MEDIAN($B23-Conversion!$B$16,2020,2050),Report_Scenarios!$A$18:$A$24,1)+1,7))-INDEX(Report_Scenarios!$A$18:$A$24,MATCH(MEDIAN($B23-Conversion!$B$16,2020,2050),Report_Scenarios!$A$18:$A$24,1)))),IF(INDEX(Report_Scenarios!$A$29:$A$35,MIN(MATCH(MEDIAN($B23-Conversion!$B$16,2020,2050),Report_Scenarios!$A$29:$A$35,1)+1,7))=INDEX(Report_Scenarios!$A$29:$A$35,MATCH(MEDIAN($B23-Conversion!$B$16,2020,2050),Report_Scenarios!$A$29:$A$35,1)),INDEX(Report_Scenarios!$D$29:$D$35,MATCH(MEDIAN($B23-Conversion!$B$16,2020,2050),Report_Scenarios!$A$29:$A$35,1)),INDEX(Report_Scenarios!$D$29:$D$35,MATCH(MEDIAN($B23-Conversion!$B$16,2020,2050),Report_Scenarios!$A$29:$A$35,1))+(INDEX(Report_Scenarios!$D$29:$D$35,MIN(MATCH(MEDIAN($B23-Conversion!$B$16,2020,2050),Report_Scenarios!$A$29:$A$35,1)+1,7))-INDEX(Report_Scenarios!$D$29:$D$35,MATCH(MEDIAN($B23-Conversion!$B$16,2020,2050),Report_Scenarios!$A$29:$A$35,1)))*(MEDIAN($B23-Conversion!$B$16,2020,2050)-INDEX(Report_Scenarios!$A$29:$A$35,MATCH(MEDIAN($B23-Conversion!$B$16,2020,2050),Report_Scenarios!$A$29:$A$35,1)))/(INDEX(Report_Scenarios!$A$29:$A$35,MIN(MATCH(MEDIAN($B23-Conversion!$B$16,2020,2050),Report_Scenarios!$A$29:$A$35,1)+1,7))-INDEX(Report_Scenarios!$A$29:$A$35,MATCH(MEDIAN($B23-Conversion!$B$16,2020,2050),Report_Scenarios!$A$29:$A$35,1))))))</f>
        <v/>
      </c>
      <c r="H23" s="23">
        <f>IF($D23="Conservative",IF(INDEX(Report_Scenarios!$A$7:$A$13,MIN(MATCH(MEDIAN($B23-Conversion!$B$16,2020,2050),Report_Scenarios!$A$7:$A$13,1)+1,7))=INDEX(Report_Scenarios!$A$7:$A$13,MATCH(MEDIAN($B23-Conversion!$B$16,2020,2050),Report_Scenarios!$A$7:$A$13,1)),INDEX(Report_Scenarios!$E$7:$E$13,MATCH(MEDIAN($B23-Conversion!$B$16,2020,2050),Report_Scenarios!$A$7:$A$13,1)),INDEX(Report_Scenarios!$E$7:$E$13,MATCH(MEDIAN($B23-Conversion!$B$16,2020,2050),Report_Scenarios!$A$7:$A$13,1))+(INDEX(Report_Scenarios!$E$7:$E$13,MIN(MATCH(MEDIAN($B23-Conversion!$B$16,2020,2050),Report_Scenarios!$A$7:$A$13,1)+1,7))-INDEX(Report_Scenarios!$E$7:$E$13,MATCH(MEDIAN($B23-Conversion!$B$16,2020,2050),Report_Scenarios!$A$7:$A$13,1)))*(MEDIAN($B23-Conversion!$B$16,2020,2050)-INDEX(Report_Scenarios!$A$7:$A$13,MATCH(MEDIAN($B23-Conversion!$B$16,2020,2050),Report_Scenarios!$A$7:$A$13,1)))/(INDEX(Report_Scenarios!$A$7:$A$13,MIN(MATCH(MEDIAN($B23-Conversion!$B$16,2020,2050),Report_Scenarios!$A$7:$A$13,1)+1,7))-INDEX(Report_Scenarios!$A$7:$A$13,MATCH(MEDIAN($B23-Conversion!$B$16,2020,2050),Report_Scenarios!$A$7:$A$13,1)))),IF($D23="Central",IF(INDEX(Report_Scenarios!$A$18:$A$24,MIN(MATCH(MEDIAN($B23-Conversion!$B$16,2020,2050),Report_Scenarios!$A$18:$A$24,1)+1,7))=INDEX(Report_Scenarios!$A$18:$A$24,MATCH(MEDIAN($B23-Conversion!$B$16,2020,2050),Report_Scenarios!$A$18:$A$24,1)),INDEX(Report_Scenarios!$E$18:$E$24,MATCH(MEDIAN($B23-Conversion!$B$16,2020,2050),Report_Scenarios!$A$18:$A$24,1)),INDEX(Report_Scenarios!$E$18:$E$24,MATCH(MEDIAN($B23-Conversion!$B$16,2020,2050),Report_Scenarios!$A$18:$A$24,1))+(INDEX(Report_Scenarios!$E$18:$E$24,MIN(MATCH(MEDIAN($B23-Conversion!$B$16,2020,2050),Report_Scenarios!$A$18:$A$24,1)+1,7))-INDEX(Report_Scenarios!$E$18:$E$24,MATCH(MEDIAN($B23-Conversion!$B$16,2020,2050),Report_Scenarios!$A$18:$A$24,1)))*(MEDIAN($B23-Conversion!$B$16,2020,2050)-INDEX(Report_Scenarios!$A$18:$A$24,MATCH(MEDIAN($B23-Conversion!$B$16,2020,2050),Report_Scenarios!$A$18:$A$24,1)))/(INDEX(Report_Scenarios!$A$18:$A$24,MIN(MATCH(MEDIAN($B23-Conversion!$B$16,2020,2050),Report_Scenarios!$A$18:$A$24,1)+1,7))-INDEX(Report_Scenarios!$A$18:$A$24,MATCH(MEDIAN($B23-Conversion!$B$16,2020,2050),Report_Scenarios!$A$18:$A$24,1)))),IF(INDEX(Report_Scenarios!$A$29:$A$35,MIN(MATCH(MEDIAN($B23-Conversion!$B$16,2020,2050),Report_Scenarios!$A$29:$A$35,1)+1,7))=INDEX(Report_Scenarios!$A$29:$A$35,MATCH(MEDIAN($B23-Conversion!$B$16,2020,2050),Report_Scenarios!$A$29:$A$35,1)),INDEX(Report_Scenarios!$E$29:$E$35,MATCH(MEDIAN($B23-Conversion!$B$16,2020,2050),Report_Scenarios!$A$29:$A$35,1)),INDEX(Report_Scenarios!$E$29:$E$35,MATCH(MEDIAN($B23-Conversion!$B$16,2020,2050),Report_Scenarios!$A$29:$A$35,1))+(INDEX(Report_Scenarios!$E$29:$E$35,MIN(MATCH(MEDIAN($B23-Conversion!$B$16,2020,2050),Report_Scenarios!$A$29:$A$35,1)+1,7))-INDEX(Report_Scenarios!$E$29:$E$35,MATCH(MEDIAN($B23-Conversion!$B$16,2020,2050),Report_Scenarios!$A$29:$A$35,1)))*(MEDIAN($B23-Conversion!$B$16,2020,2050)-INDEX(Report_Scenarios!$A$29:$A$35,MATCH(MEDIAN($B23-Conversion!$B$16,2020,2050),Report_Scenarios!$A$29:$A$35,1)))/(INDEX(Report_Scenarios!$A$29:$A$35,MIN(MATCH(MEDIAN($B23-Conversion!$B$16,2020,2050),Report_Scenarios!$A$29:$A$35,1)+1,7))-INDEX(Report_Scenarios!$A$29:$A$35,MATCH(MEDIAN($B23-Conversion!$B$16,2020,2050),Report_Scenarios!$A$29:$A$35,1))))))</f>
        <v/>
      </c>
      <c r="I23" s="23">
        <f>IF($D23="Conservative",IF(INDEX(Report_Scenarios!$A$7:$A$13,MIN(MATCH(MEDIAN($B23-Conversion!$B$16,2020,2050),Report_Scenarios!$A$7:$A$13,1)+1,7))=INDEX(Report_Scenarios!$A$7:$A$13,MATCH(MEDIAN($B23-Conversion!$B$16,2020,2050),Report_Scenarios!$A$7:$A$13,1)),INDEX(Report_Scenarios!$F$7:$F$13,MATCH(MEDIAN($B23-Conversion!$B$16,2020,2050),Report_Scenarios!$A$7:$A$13,1)),INDEX(Report_Scenarios!$F$7:$F$13,MATCH(MEDIAN($B23-Conversion!$B$16,2020,2050),Report_Scenarios!$A$7:$A$13,1))+(INDEX(Report_Scenarios!$F$7:$F$13,MIN(MATCH(MEDIAN($B23-Conversion!$B$16,2020,2050),Report_Scenarios!$A$7:$A$13,1)+1,7))-INDEX(Report_Scenarios!$F$7:$F$13,MATCH(MEDIAN($B23-Conversion!$B$16,2020,2050),Report_Scenarios!$A$7:$A$13,1)))*(MEDIAN($B23-Conversion!$B$16,2020,2050)-INDEX(Report_Scenarios!$A$7:$A$13,MATCH(MEDIAN($B23-Conversion!$B$16,2020,2050),Report_Scenarios!$A$7:$A$13,1)))/(INDEX(Report_Scenarios!$A$7:$A$13,MIN(MATCH(MEDIAN($B23-Conversion!$B$16,2020,2050),Report_Scenarios!$A$7:$A$13,1)+1,7))-INDEX(Report_Scenarios!$A$7:$A$13,MATCH(MEDIAN($B23-Conversion!$B$16,2020,2050),Report_Scenarios!$A$7:$A$13,1)))),IF($D23="Central",IF(INDEX(Report_Scenarios!$A$18:$A$24,MIN(MATCH(MEDIAN($B23-Conversion!$B$16,2020,2050),Report_Scenarios!$A$18:$A$24,1)+1,7))=INDEX(Report_Scenarios!$A$18:$A$24,MATCH(MEDIAN($B23-Conversion!$B$16,2020,2050),Report_Scenarios!$A$18:$A$24,1)),INDEX(Report_Scenarios!$F$18:$F$24,MATCH(MEDIAN($B23-Conversion!$B$16,2020,2050),Report_Scenarios!$A$18:$A$24,1)),INDEX(Report_Scenarios!$F$18:$F$24,MATCH(MEDIAN($B23-Conversion!$B$16,2020,2050),Report_Scenarios!$A$18:$A$24,1))+(INDEX(Report_Scenarios!$F$18:$F$24,MIN(MATCH(MEDIAN($B23-Conversion!$B$16,2020,2050),Report_Scenarios!$A$18:$A$24,1)+1,7))-INDEX(Report_Scenarios!$F$18:$F$24,MATCH(MEDIAN($B23-Conversion!$B$16,2020,2050),Report_Scenarios!$A$18:$A$24,1)))*(MEDIAN($B23-Conversion!$B$16,2020,2050)-INDEX(Report_Scenarios!$A$18:$A$24,MATCH(MEDIAN($B23-Conversion!$B$16,2020,2050),Report_Scenarios!$A$18:$A$24,1)))/(INDEX(Report_Scenarios!$A$18:$A$24,MIN(MATCH(MEDIAN($B23-Conversion!$B$16,2020,2050),Report_Scenarios!$A$18:$A$24,1)+1,7))-INDEX(Report_Scenarios!$A$18:$A$24,MATCH(MEDIAN($B23-Conversion!$B$16,2020,2050),Report_Scenarios!$A$18:$A$24,1)))),IF(INDEX(Report_Scenarios!$A$29:$A$35,MIN(MATCH(MEDIAN($B23-Conversion!$B$16,2020,2050),Report_Scenarios!$A$29:$A$35,1)+1,7))=INDEX(Report_Scenarios!$A$29:$A$35,MATCH(MEDIAN($B23-Conversion!$B$16,2020,2050),Report_Scenarios!$A$29:$A$35,1)),INDEX(Report_Scenarios!$F$29:$F$35,MATCH(MEDIAN($B23-Conversion!$B$16,2020,2050),Report_Scenarios!$A$29:$A$35,1)),INDEX(Report_Scenarios!$F$29:$F$35,MATCH(MEDIAN($B23-Conversion!$B$16,2020,2050),Report_Scenarios!$A$29:$A$35,1))+(INDEX(Report_Scenarios!$F$29:$F$35,MIN(MATCH(MEDIAN($B23-Conversion!$B$16,2020,2050),Report_Scenarios!$A$29:$A$35,1)+1,7))-INDEX(Report_Scenarios!$F$29:$F$35,MATCH(MEDIAN($B23-Conversion!$B$16,2020,2050),Report_Scenarios!$A$29:$A$35,1)))*(MEDIAN($B23-Conversion!$B$16,2020,2050)-INDEX(Report_Scenarios!$A$29:$A$35,MATCH(MEDIAN($B23-Conversion!$B$16,2020,2050),Report_Scenarios!$A$29:$A$35,1)))/(INDEX(Report_Scenarios!$A$29:$A$35,MIN(MATCH(MEDIAN($B23-Conversion!$B$16,2020,2050),Report_Scenarios!$A$29:$A$35,1)+1,7))-INDEX(Report_Scenarios!$A$29:$A$35,MATCH(MEDIAN($B23-Conversion!$B$16,2020,2050),Report_Scenarios!$A$29:$A$35,1))))))</f>
        <v/>
      </c>
      <c r="J23" s="23">
        <f>IF($D23="Conservative",IF(INDEX(Report_Scenarios!$A$7:$A$13,MIN(MATCH(MEDIAN($B23-Conversion!$B$16,2020,2050),Report_Scenarios!$A$7:$A$13,1)+1,7))=INDEX(Report_Scenarios!$A$7:$A$13,MATCH(MEDIAN($B23-Conversion!$B$16,2020,2050),Report_Scenarios!$A$7:$A$13,1)),INDEX(Report_Scenarios!$G$7:$G$13,MATCH(MEDIAN($B23-Conversion!$B$16,2020,2050),Report_Scenarios!$A$7:$A$13,1)),INDEX(Report_Scenarios!$G$7:$G$13,MATCH(MEDIAN($B23-Conversion!$B$16,2020,2050),Report_Scenarios!$A$7:$A$13,1))+(INDEX(Report_Scenarios!$G$7:$G$13,MIN(MATCH(MEDIAN($B23-Conversion!$B$16,2020,2050),Report_Scenarios!$A$7:$A$13,1)+1,7))-INDEX(Report_Scenarios!$G$7:$G$13,MATCH(MEDIAN($B23-Conversion!$B$16,2020,2050),Report_Scenarios!$A$7:$A$13,1)))*(MEDIAN($B23-Conversion!$B$16,2020,2050)-INDEX(Report_Scenarios!$A$7:$A$13,MATCH(MEDIAN($B23-Conversion!$B$16,2020,2050),Report_Scenarios!$A$7:$A$13,1)))/(INDEX(Report_Scenarios!$A$7:$A$13,MIN(MATCH(MEDIAN($B23-Conversion!$B$16,2020,2050),Report_Scenarios!$A$7:$A$13,1)+1,7))-INDEX(Report_Scenarios!$A$7:$A$13,MATCH(MEDIAN($B23-Conversion!$B$16,2020,2050),Report_Scenarios!$A$7:$A$13,1)))),IF($D23="Central",IF(INDEX(Report_Scenarios!$A$18:$A$24,MIN(MATCH(MEDIAN($B23-Conversion!$B$16,2020,2050),Report_Scenarios!$A$18:$A$24,1)+1,7))=INDEX(Report_Scenarios!$A$18:$A$24,MATCH(MEDIAN($B23-Conversion!$B$16,2020,2050),Report_Scenarios!$A$18:$A$24,1)),INDEX(Report_Scenarios!$G$18:$G$24,MATCH(MEDIAN($B23-Conversion!$B$16,2020,2050),Report_Scenarios!$A$18:$A$24,1)),INDEX(Report_Scenarios!$G$18:$G$24,MATCH(MEDIAN($B23-Conversion!$B$16,2020,2050),Report_Scenarios!$A$18:$A$24,1))+(INDEX(Report_Scenarios!$G$18:$G$24,MIN(MATCH(MEDIAN($B23-Conversion!$B$16,2020,2050),Report_Scenarios!$A$18:$A$24,1)+1,7))-INDEX(Report_Scenarios!$G$18:$G$24,MATCH(MEDIAN($B23-Conversion!$B$16,2020,2050),Report_Scenarios!$A$18:$A$24,1)))*(MEDIAN($B23-Conversion!$B$16,2020,2050)-INDEX(Report_Scenarios!$A$18:$A$24,MATCH(MEDIAN($B23-Conversion!$B$16,2020,2050),Report_Scenarios!$A$18:$A$24,1)))/(INDEX(Report_Scenarios!$A$18:$A$24,MIN(MATCH(MEDIAN($B23-Conversion!$B$16,2020,2050),Report_Scenarios!$A$18:$A$24,1)+1,7))-INDEX(Report_Scenarios!$A$18:$A$24,MATCH(MEDIAN($B23-Conversion!$B$16,2020,2050),Report_Scenarios!$A$18:$A$24,1)))),IF(INDEX(Report_Scenarios!$A$29:$A$35,MIN(MATCH(MEDIAN($B23-Conversion!$B$16,2020,2050),Report_Scenarios!$A$29:$A$35,1)+1,7))=INDEX(Report_Scenarios!$A$29:$A$35,MATCH(MEDIAN($B23-Conversion!$B$16,2020,2050),Report_Scenarios!$A$29:$A$35,1)),INDEX(Report_Scenarios!$G$29:$G$35,MATCH(MEDIAN($B23-Conversion!$B$16,2020,2050),Report_Scenarios!$A$29:$A$35,1)),INDEX(Report_Scenarios!$G$29:$G$35,MATCH(MEDIAN($B23-Conversion!$B$16,2020,2050),Report_Scenarios!$A$29:$A$35,1))+(INDEX(Report_Scenarios!$G$29:$G$35,MIN(MATCH(MEDIAN($B23-Conversion!$B$16,2020,2050),Report_Scenarios!$A$29:$A$35,1)+1,7))-INDEX(Report_Scenarios!$G$29:$G$35,MATCH(MEDIAN($B23-Conversion!$B$16,2020,2050),Report_Scenarios!$A$29:$A$35,1)))*(MEDIAN($B23-Conversion!$B$16,2020,2050)-INDEX(Report_Scenarios!$A$29:$A$35,MATCH(MEDIAN($B23-Conversion!$B$16,2020,2050),Report_Scenarios!$A$29:$A$35,1)))/(INDEX(Report_Scenarios!$A$29:$A$35,MIN(MATCH(MEDIAN($B23-Conversion!$B$16,2020,2050),Report_Scenarios!$A$29:$A$35,1)+1,7))-INDEX(Report_Scenarios!$A$29:$A$35,MATCH(MEDIAN($B23-Conversion!$B$16,2020,2050),Report_Scenarios!$A$29:$A$35,1))))))</f>
        <v/>
      </c>
      <c r="K23" s="23">
        <f>SUM(E23:J23)</f>
        <v/>
      </c>
      <c r="L23" s="23">
        <f>IF(R23&lt;&gt;"",R23,IF($K23=0,0,E23/$K23))</f>
        <v/>
      </c>
      <c r="M23" s="23">
        <f>IF(S23&lt;&gt;"",S23,IF($K23=0,0,F23/$K23))</f>
        <v/>
      </c>
      <c r="N23" s="23">
        <f>IF(T23&lt;&gt;"",T23,IF($K23=0,0,G23/$K23))</f>
        <v/>
      </c>
      <c r="O23" s="23">
        <f>IF(U23&lt;&gt;"",U23,IF($K23=0,0,H23/$K23))</f>
        <v/>
      </c>
      <c r="P23" s="23">
        <f>IF(V23&lt;&gt;"",V23,IF($K23=0,0,I23/$K23))</f>
        <v/>
      </c>
      <c r="Q23" s="23">
        <f>IF(W23&lt;&gt;"",W23,IF($K23=0,0,J23/$K23))</f>
        <v/>
      </c>
      <c r="R23" s="24" t="n"/>
      <c r="S23" s="24" t="n"/>
      <c r="T23" s="24" t="n"/>
      <c r="U23" s="24" t="n"/>
      <c r="V23" s="24" t="n"/>
      <c r="W23" s="24" t="n"/>
    </row>
    <row r="24">
      <c r="A24" s="4" t="inlineStr">
        <is>
          <t>AB</t>
        </is>
      </c>
      <c r="B24" s="4" t="n">
        <v>2050</v>
      </c>
      <c r="C24" s="4" t="inlineStr">
        <is>
          <t>Share_Mode</t>
        </is>
      </c>
      <c r="D24" s="4">
        <f>Conversion!$B$19</f>
        <v/>
      </c>
      <c r="E24" s="23">
        <f>IF($D24="Conservative",IF(INDEX(Report_Scenarios!$A$7:$A$13,MIN(MATCH(MEDIAN($B24-Conversion!$B$16,2020,2050),Report_Scenarios!$A$7:$A$13,1)+1,7))=INDEX(Report_Scenarios!$A$7:$A$13,MATCH(MEDIAN($B24-Conversion!$B$16,2020,2050),Report_Scenarios!$A$7:$A$13,1)),INDEX(Report_Scenarios!$B$7:$B$13,MATCH(MEDIAN($B24-Conversion!$B$16,2020,2050),Report_Scenarios!$A$7:$A$13,1)),INDEX(Report_Scenarios!$B$7:$B$13,MATCH(MEDIAN($B24-Conversion!$B$16,2020,2050),Report_Scenarios!$A$7:$A$13,1))+(INDEX(Report_Scenarios!$B$7:$B$13,MIN(MATCH(MEDIAN($B24-Conversion!$B$16,2020,2050),Report_Scenarios!$A$7:$A$13,1)+1,7))-INDEX(Report_Scenarios!$B$7:$B$13,MATCH(MEDIAN($B24-Conversion!$B$16,2020,2050),Report_Scenarios!$A$7:$A$13,1)))*(MEDIAN($B24-Conversion!$B$16,2020,2050)-INDEX(Report_Scenarios!$A$7:$A$13,MATCH(MEDIAN($B24-Conversion!$B$16,2020,2050),Report_Scenarios!$A$7:$A$13,1)))/(INDEX(Report_Scenarios!$A$7:$A$13,MIN(MATCH(MEDIAN($B24-Conversion!$B$16,2020,2050),Report_Scenarios!$A$7:$A$13,1)+1,7))-INDEX(Report_Scenarios!$A$7:$A$13,MATCH(MEDIAN($B24-Conversion!$B$16,2020,2050),Report_Scenarios!$A$7:$A$13,1)))),IF($D24="Central",IF(INDEX(Report_Scenarios!$A$18:$A$24,MIN(MATCH(MEDIAN($B24-Conversion!$B$16,2020,2050),Report_Scenarios!$A$18:$A$24,1)+1,7))=INDEX(Report_Scenarios!$A$18:$A$24,MATCH(MEDIAN($B24-Conversion!$B$16,2020,2050),Report_Scenarios!$A$18:$A$24,1)),INDEX(Report_Scenarios!$B$18:$B$24,MATCH(MEDIAN($B24-Conversion!$B$16,2020,2050),Report_Scenarios!$A$18:$A$24,1)),INDEX(Report_Scenarios!$B$18:$B$24,MATCH(MEDIAN($B24-Conversion!$B$16,2020,2050),Report_Scenarios!$A$18:$A$24,1))+(INDEX(Report_Scenarios!$B$18:$B$24,MIN(MATCH(MEDIAN($B24-Conversion!$B$16,2020,2050),Report_Scenarios!$A$18:$A$24,1)+1,7))-INDEX(Report_Scenarios!$B$18:$B$24,MATCH(MEDIAN($B24-Conversion!$B$16,2020,2050),Report_Scenarios!$A$18:$A$24,1)))*(MEDIAN($B24-Conversion!$B$16,2020,2050)-INDEX(Report_Scenarios!$A$18:$A$24,MATCH(MEDIAN($B24-Conversion!$B$16,2020,2050),Report_Scenarios!$A$18:$A$24,1)))/(INDEX(Report_Scenarios!$A$18:$A$24,MIN(MATCH(MEDIAN($B24-Conversion!$B$16,2020,2050),Report_Scenarios!$A$18:$A$24,1)+1,7))-INDEX(Report_Scenarios!$A$18:$A$24,MATCH(MEDIAN($B24-Conversion!$B$16,2020,2050),Report_Scenarios!$A$18:$A$24,1)))),IF(INDEX(Report_Scenarios!$A$29:$A$35,MIN(MATCH(MEDIAN($B24-Conversion!$B$16,2020,2050),Report_Scenarios!$A$29:$A$35,1)+1,7))=INDEX(Report_Scenarios!$A$29:$A$35,MATCH(MEDIAN($B24-Conversion!$B$16,2020,2050),Report_Scenarios!$A$29:$A$35,1)),INDEX(Report_Scenarios!$B$29:$B$35,MATCH(MEDIAN($B24-Conversion!$B$16,2020,2050),Report_Scenarios!$A$29:$A$35,1)),INDEX(Report_Scenarios!$B$29:$B$35,MATCH(MEDIAN($B24-Conversion!$B$16,2020,2050),Report_Scenarios!$A$29:$A$35,1))+(INDEX(Report_Scenarios!$B$29:$B$35,MIN(MATCH(MEDIAN($B24-Conversion!$B$16,2020,2050),Report_Scenarios!$A$29:$A$35,1)+1,7))-INDEX(Report_Scenarios!$B$29:$B$35,MATCH(MEDIAN($B24-Conversion!$B$16,2020,2050),Report_Scenarios!$A$29:$A$35,1)))*(MEDIAN($B24-Conversion!$B$16,2020,2050)-INDEX(Report_Scenarios!$A$29:$A$35,MATCH(MEDIAN($B24-Conversion!$B$16,2020,2050),Report_Scenarios!$A$29:$A$35,1)))/(INDEX(Report_Scenarios!$A$29:$A$35,MIN(MATCH(MEDIAN($B24-Conversion!$B$16,2020,2050),Report_Scenarios!$A$29:$A$35,1)+1,7))-INDEX(Report_Scenarios!$A$29:$A$35,MATCH(MEDIAN($B24-Conversion!$B$16,2020,2050),Report_Scenarios!$A$29:$A$35,1))))))</f>
        <v/>
      </c>
      <c r="F24" s="23">
        <f>IF($D24="Conservative",IF(INDEX(Report_Scenarios!$A$7:$A$13,MIN(MATCH(MEDIAN($B24-Conversion!$B$16,2020,2050),Report_Scenarios!$A$7:$A$13,1)+1,7))=INDEX(Report_Scenarios!$A$7:$A$13,MATCH(MEDIAN($B24-Conversion!$B$16,2020,2050),Report_Scenarios!$A$7:$A$13,1)),INDEX(Report_Scenarios!$C$7:$C$13,MATCH(MEDIAN($B24-Conversion!$B$16,2020,2050),Report_Scenarios!$A$7:$A$13,1)),INDEX(Report_Scenarios!$C$7:$C$13,MATCH(MEDIAN($B24-Conversion!$B$16,2020,2050),Report_Scenarios!$A$7:$A$13,1))+(INDEX(Report_Scenarios!$C$7:$C$13,MIN(MATCH(MEDIAN($B24-Conversion!$B$16,2020,2050),Report_Scenarios!$A$7:$A$13,1)+1,7))-INDEX(Report_Scenarios!$C$7:$C$13,MATCH(MEDIAN($B24-Conversion!$B$16,2020,2050),Report_Scenarios!$A$7:$A$13,1)))*(MEDIAN($B24-Conversion!$B$16,2020,2050)-INDEX(Report_Scenarios!$A$7:$A$13,MATCH(MEDIAN($B24-Conversion!$B$16,2020,2050),Report_Scenarios!$A$7:$A$13,1)))/(INDEX(Report_Scenarios!$A$7:$A$13,MIN(MATCH(MEDIAN($B24-Conversion!$B$16,2020,2050),Report_Scenarios!$A$7:$A$13,1)+1,7))-INDEX(Report_Scenarios!$A$7:$A$13,MATCH(MEDIAN($B24-Conversion!$B$16,2020,2050),Report_Scenarios!$A$7:$A$13,1)))),IF($D24="Central",IF(INDEX(Report_Scenarios!$A$18:$A$24,MIN(MATCH(MEDIAN($B24-Conversion!$B$16,2020,2050),Report_Scenarios!$A$18:$A$24,1)+1,7))=INDEX(Report_Scenarios!$A$18:$A$24,MATCH(MEDIAN($B24-Conversion!$B$16,2020,2050),Report_Scenarios!$A$18:$A$24,1)),INDEX(Report_Scenarios!$C$18:$C$24,MATCH(MEDIAN($B24-Conversion!$B$16,2020,2050),Report_Scenarios!$A$18:$A$24,1)),INDEX(Report_Scenarios!$C$18:$C$24,MATCH(MEDIAN($B24-Conversion!$B$16,2020,2050),Report_Scenarios!$A$18:$A$24,1))+(INDEX(Report_Scenarios!$C$18:$C$24,MIN(MATCH(MEDIAN($B24-Conversion!$B$16,2020,2050),Report_Scenarios!$A$18:$A$24,1)+1,7))-INDEX(Report_Scenarios!$C$18:$C$24,MATCH(MEDIAN($B24-Conversion!$B$16,2020,2050),Report_Scenarios!$A$18:$A$24,1)))*(MEDIAN($B24-Conversion!$B$16,2020,2050)-INDEX(Report_Scenarios!$A$18:$A$24,MATCH(MEDIAN($B24-Conversion!$B$16,2020,2050),Report_Scenarios!$A$18:$A$24,1)))/(INDEX(Report_Scenarios!$A$18:$A$24,MIN(MATCH(MEDIAN($B24-Conversion!$B$16,2020,2050),Report_Scenarios!$A$18:$A$24,1)+1,7))-INDEX(Report_Scenarios!$A$18:$A$24,MATCH(MEDIAN($B24-Conversion!$B$16,2020,2050),Report_Scenarios!$A$18:$A$24,1)))),IF(INDEX(Report_Scenarios!$A$29:$A$35,MIN(MATCH(MEDIAN($B24-Conversion!$B$16,2020,2050),Report_Scenarios!$A$29:$A$35,1)+1,7))=INDEX(Report_Scenarios!$A$29:$A$35,MATCH(MEDIAN($B24-Conversion!$B$16,2020,2050),Report_Scenarios!$A$29:$A$35,1)),INDEX(Report_Scenarios!$C$29:$C$35,MATCH(MEDIAN($B24-Conversion!$B$16,2020,2050),Report_Scenarios!$A$29:$A$35,1)),INDEX(Report_Scenarios!$C$29:$C$35,MATCH(MEDIAN($B24-Conversion!$B$16,2020,2050),Report_Scenarios!$A$29:$A$35,1))+(INDEX(Report_Scenarios!$C$29:$C$35,MIN(MATCH(MEDIAN($B24-Conversion!$B$16,2020,2050),Report_Scenarios!$A$29:$A$35,1)+1,7))-INDEX(Report_Scenarios!$C$29:$C$35,MATCH(MEDIAN($B24-Conversion!$B$16,2020,2050),Report_Scenarios!$A$29:$A$35,1)))*(MEDIAN($B24-Conversion!$B$16,2020,2050)-INDEX(Report_Scenarios!$A$29:$A$35,MATCH(MEDIAN($B24-Conversion!$B$16,2020,2050),Report_Scenarios!$A$29:$A$35,1)))/(INDEX(Report_Scenarios!$A$29:$A$35,MIN(MATCH(MEDIAN($B24-Conversion!$B$16,2020,2050),Report_Scenarios!$A$29:$A$35,1)+1,7))-INDEX(Report_Scenarios!$A$29:$A$35,MATCH(MEDIAN($B24-Conversion!$B$16,2020,2050),Report_Scenarios!$A$29:$A$35,1))))))</f>
        <v/>
      </c>
      <c r="G24" s="23">
        <f>IF($D24="Conservative",IF(INDEX(Report_Scenarios!$A$7:$A$13,MIN(MATCH(MEDIAN($B24-Conversion!$B$16,2020,2050),Report_Scenarios!$A$7:$A$13,1)+1,7))=INDEX(Report_Scenarios!$A$7:$A$13,MATCH(MEDIAN($B24-Conversion!$B$16,2020,2050),Report_Scenarios!$A$7:$A$13,1)),INDEX(Report_Scenarios!$D$7:$D$13,MATCH(MEDIAN($B24-Conversion!$B$16,2020,2050),Report_Scenarios!$A$7:$A$13,1)),INDEX(Report_Scenarios!$D$7:$D$13,MATCH(MEDIAN($B24-Conversion!$B$16,2020,2050),Report_Scenarios!$A$7:$A$13,1))+(INDEX(Report_Scenarios!$D$7:$D$13,MIN(MATCH(MEDIAN($B24-Conversion!$B$16,2020,2050),Report_Scenarios!$A$7:$A$13,1)+1,7))-INDEX(Report_Scenarios!$D$7:$D$13,MATCH(MEDIAN($B24-Conversion!$B$16,2020,2050),Report_Scenarios!$A$7:$A$13,1)))*(MEDIAN($B24-Conversion!$B$16,2020,2050)-INDEX(Report_Scenarios!$A$7:$A$13,MATCH(MEDIAN($B24-Conversion!$B$16,2020,2050),Report_Scenarios!$A$7:$A$13,1)))/(INDEX(Report_Scenarios!$A$7:$A$13,MIN(MATCH(MEDIAN($B24-Conversion!$B$16,2020,2050),Report_Scenarios!$A$7:$A$13,1)+1,7))-INDEX(Report_Scenarios!$A$7:$A$13,MATCH(MEDIAN($B24-Conversion!$B$16,2020,2050),Report_Scenarios!$A$7:$A$13,1)))),IF($D24="Central",IF(INDEX(Report_Scenarios!$A$18:$A$24,MIN(MATCH(MEDIAN($B24-Conversion!$B$16,2020,2050),Report_Scenarios!$A$18:$A$24,1)+1,7))=INDEX(Report_Scenarios!$A$18:$A$24,MATCH(MEDIAN($B24-Conversion!$B$16,2020,2050),Report_Scenarios!$A$18:$A$24,1)),INDEX(Report_Scenarios!$D$18:$D$24,MATCH(MEDIAN($B24-Conversion!$B$16,2020,2050),Report_Scenarios!$A$18:$A$24,1)),INDEX(Report_Scenarios!$D$18:$D$24,MATCH(MEDIAN($B24-Conversion!$B$16,2020,2050),Report_Scenarios!$A$18:$A$24,1))+(INDEX(Report_Scenarios!$D$18:$D$24,MIN(MATCH(MEDIAN($B24-Conversion!$B$16,2020,2050),Report_Scenarios!$A$18:$A$24,1)+1,7))-INDEX(Report_Scenarios!$D$18:$D$24,MATCH(MEDIAN($B24-Conversion!$B$16,2020,2050),Report_Scenarios!$A$18:$A$24,1)))*(MEDIAN($B24-Conversion!$B$16,2020,2050)-INDEX(Report_Scenarios!$A$18:$A$24,MATCH(MEDIAN($B24-Conversion!$B$16,2020,2050),Report_Scenarios!$A$18:$A$24,1)))/(INDEX(Report_Scenarios!$A$18:$A$24,MIN(MATCH(MEDIAN($B24-Conversion!$B$16,2020,2050),Report_Scenarios!$A$18:$A$24,1)+1,7))-INDEX(Report_Scenarios!$A$18:$A$24,MATCH(MEDIAN($B24-Conversion!$B$16,2020,2050),Report_Scenarios!$A$18:$A$24,1)))),IF(INDEX(Report_Scenarios!$A$29:$A$35,MIN(MATCH(MEDIAN($B24-Conversion!$B$16,2020,2050),Report_Scenarios!$A$29:$A$35,1)+1,7))=INDEX(Report_Scenarios!$A$29:$A$35,MATCH(MEDIAN($B24-Conversion!$B$16,2020,2050),Report_Scenarios!$A$29:$A$35,1)),INDEX(Report_Scenarios!$D$29:$D$35,MATCH(MEDIAN($B24-Conversion!$B$16,2020,2050),Report_Scenarios!$A$29:$A$35,1)),INDEX(Report_Scenarios!$D$29:$D$35,MATCH(MEDIAN($B24-Conversion!$B$16,2020,2050),Report_Scenarios!$A$29:$A$35,1))+(INDEX(Report_Scenarios!$D$29:$D$35,MIN(MATCH(MEDIAN($B24-Conversion!$B$16,2020,2050),Report_Scenarios!$A$29:$A$35,1)+1,7))-INDEX(Report_Scenarios!$D$29:$D$35,MATCH(MEDIAN($B24-Conversion!$B$16,2020,2050),Report_Scenarios!$A$29:$A$35,1)))*(MEDIAN($B24-Conversion!$B$16,2020,2050)-INDEX(Report_Scenarios!$A$29:$A$35,MATCH(MEDIAN($B24-Conversion!$B$16,2020,2050),Report_Scenarios!$A$29:$A$35,1)))/(INDEX(Report_Scenarios!$A$29:$A$35,MIN(MATCH(MEDIAN($B24-Conversion!$B$16,2020,2050),Report_Scenarios!$A$29:$A$35,1)+1,7))-INDEX(Report_Scenarios!$A$29:$A$35,MATCH(MEDIAN($B24-Conversion!$B$16,2020,2050),Report_Scenarios!$A$29:$A$35,1))))))</f>
        <v/>
      </c>
      <c r="H24" s="23">
        <f>IF($D24="Conservative",IF(INDEX(Report_Scenarios!$A$7:$A$13,MIN(MATCH(MEDIAN($B24-Conversion!$B$16,2020,2050),Report_Scenarios!$A$7:$A$13,1)+1,7))=INDEX(Report_Scenarios!$A$7:$A$13,MATCH(MEDIAN($B24-Conversion!$B$16,2020,2050),Report_Scenarios!$A$7:$A$13,1)),INDEX(Report_Scenarios!$E$7:$E$13,MATCH(MEDIAN($B24-Conversion!$B$16,2020,2050),Report_Scenarios!$A$7:$A$13,1)),INDEX(Report_Scenarios!$E$7:$E$13,MATCH(MEDIAN($B24-Conversion!$B$16,2020,2050),Report_Scenarios!$A$7:$A$13,1))+(INDEX(Report_Scenarios!$E$7:$E$13,MIN(MATCH(MEDIAN($B24-Conversion!$B$16,2020,2050),Report_Scenarios!$A$7:$A$13,1)+1,7))-INDEX(Report_Scenarios!$E$7:$E$13,MATCH(MEDIAN($B24-Conversion!$B$16,2020,2050),Report_Scenarios!$A$7:$A$13,1)))*(MEDIAN($B24-Conversion!$B$16,2020,2050)-INDEX(Report_Scenarios!$A$7:$A$13,MATCH(MEDIAN($B24-Conversion!$B$16,2020,2050),Report_Scenarios!$A$7:$A$13,1)))/(INDEX(Report_Scenarios!$A$7:$A$13,MIN(MATCH(MEDIAN($B24-Conversion!$B$16,2020,2050),Report_Scenarios!$A$7:$A$13,1)+1,7))-INDEX(Report_Scenarios!$A$7:$A$13,MATCH(MEDIAN($B24-Conversion!$B$16,2020,2050),Report_Scenarios!$A$7:$A$13,1)))),IF($D24="Central",IF(INDEX(Report_Scenarios!$A$18:$A$24,MIN(MATCH(MEDIAN($B24-Conversion!$B$16,2020,2050),Report_Scenarios!$A$18:$A$24,1)+1,7))=INDEX(Report_Scenarios!$A$18:$A$24,MATCH(MEDIAN($B24-Conversion!$B$16,2020,2050),Report_Scenarios!$A$18:$A$24,1)),INDEX(Report_Scenarios!$E$18:$E$24,MATCH(MEDIAN($B24-Conversion!$B$16,2020,2050),Report_Scenarios!$A$18:$A$24,1)),INDEX(Report_Scenarios!$E$18:$E$24,MATCH(MEDIAN($B24-Conversion!$B$16,2020,2050),Report_Scenarios!$A$18:$A$24,1))+(INDEX(Report_Scenarios!$E$18:$E$24,MIN(MATCH(MEDIAN($B24-Conversion!$B$16,2020,2050),Report_Scenarios!$A$18:$A$24,1)+1,7))-INDEX(Report_Scenarios!$E$18:$E$24,MATCH(MEDIAN($B24-Conversion!$B$16,2020,2050),Report_Scenarios!$A$18:$A$24,1)))*(MEDIAN($B24-Conversion!$B$16,2020,2050)-INDEX(Report_Scenarios!$A$18:$A$24,MATCH(MEDIAN($B24-Conversion!$B$16,2020,2050),Report_Scenarios!$A$18:$A$24,1)))/(INDEX(Report_Scenarios!$A$18:$A$24,MIN(MATCH(MEDIAN($B24-Conversion!$B$16,2020,2050),Report_Scenarios!$A$18:$A$24,1)+1,7))-INDEX(Report_Scenarios!$A$18:$A$24,MATCH(MEDIAN($B24-Conversion!$B$16,2020,2050),Report_Scenarios!$A$18:$A$24,1)))),IF(INDEX(Report_Scenarios!$A$29:$A$35,MIN(MATCH(MEDIAN($B24-Conversion!$B$16,2020,2050),Report_Scenarios!$A$29:$A$35,1)+1,7))=INDEX(Report_Scenarios!$A$29:$A$35,MATCH(MEDIAN($B24-Conversion!$B$16,2020,2050),Report_Scenarios!$A$29:$A$35,1)),INDEX(Report_Scenarios!$E$29:$E$35,MATCH(MEDIAN($B24-Conversion!$B$16,2020,2050),Report_Scenarios!$A$29:$A$35,1)),INDEX(Report_Scenarios!$E$29:$E$35,MATCH(MEDIAN($B24-Conversion!$B$16,2020,2050),Report_Scenarios!$A$29:$A$35,1))+(INDEX(Report_Scenarios!$E$29:$E$35,MIN(MATCH(MEDIAN($B24-Conversion!$B$16,2020,2050),Report_Scenarios!$A$29:$A$35,1)+1,7))-INDEX(Report_Scenarios!$E$29:$E$35,MATCH(MEDIAN($B24-Conversion!$B$16,2020,2050),Report_Scenarios!$A$29:$A$35,1)))*(MEDIAN($B24-Conversion!$B$16,2020,2050)-INDEX(Report_Scenarios!$A$29:$A$35,MATCH(MEDIAN($B24-Conversion!$B$16,2020,2050),Report_Scenarios!$A$29:$A$35,1)))/(INDEX(Report_Scenarios!$A$29:$A$35,MIN(MATCH(MEDIAN($B24-Conversion!$B$16,2020,2050),Report_Scenarios!$A$29:$A$35,1)+1,7))-INDEX(Report_Scenarios!$A$29:$A$35,MATCH(MEDIAN($B24-Conversion!$B$16,2020,2050),Report_Scenarios!$A$29:$A$35,1))))))</f>
        <v/>
      </c>
      <c r="I24" s="23">
        <f>IF($D24="Conservative",IF(INDEX(Report_Scenarios!$A$7:$A$13,MIN(MATCH(MEDIAN($B24-Conversion!$B$16,2020,2050),Report_Scenarios!$A$7:$A$13,1)+1,7))=INDEX(Report_Scenarios!$A$7:$A$13,MATCH(MEDIAN($B24-Conversion!$B$16,2020,2050),Report_Scenarios!$A$7:$A$13,1)),INDEX(Report_Scenarios!$F$7:$F$13,MATCH(MEDIAN($B24-Conversion!$B$16,2020,2050),Report_Scenarios!$A$7:$A$13,1)),INDEX(Report_Scenarios!$F$7:$F$13,MATCH(MEDIAN($B24-Conversion!$B$16,2020,2050),Report_Scenarios!$A$7:$A$13,1))+(INDEX(Report_Scenarios!$F$7:$F$13,MIN(MATCH(MEDIAN($B24-Conversion!$B$16,2020,2050),Report_Scenarios!$A$7:$A$13,1)+1,7))-INDEX(Report_Scenarios!$F$7:$F$13,MATCH(MEDIAN($B24-Conversion!$B$16,2020,2050),Report_Scenarios!$A$7:$A$13,1)))*(MEDIAN($B24-Conversion!$B$16,2020,2050)-INDEX(Report_Scenarios!$A$7:$A$13,MATCH(MEDIAN($B24-Conversion!$B$16,2020,2050),Report_Scenarios!$A$7:$A$13,1)))/(INDEX(Report_Scenarios!$A$7:$A$13,MIN(MATCH(MEDIAN($B24-Conversion!$B$16,2020,2050),Report_Scenarios!$A$7:$A$13,1)+1,7))-INDEX(Report_Scenarios!$A$7:$A$13,MATCH(MEDIAN($B24-Conversion!$B$16,2020,2050),Report_Scenarios!$A$7:$A$13,1)))),IF($D24="Central",IF(INDEX(Report_Scenarios!$A$18:$A$24,MIN(MATCH(MEDIAN($B24-Conversion!$B$16,2020,2050),Report_Scenarios!$A$18:$A$24,1)+1,7))=INDEX(Report_Scenarios!$A$18:$A$24,MATCH(MEDIAN($B24-Conversion!$B$16,2020,2050),Report_Scenarios!$A$18:$A$24,1)),INDEX(Report_Scenarios!$F$18:$F$24,MATCH(MEDIAN($B24-Conversion!$B$16,2020,2050),Report_Scenarios!$A$18:$A$24,1)),INDEX(Report_Scenarios!$F$18:$F$24,MATCH(MEDIAN($B24-Conversion!$B$16,2020,2050),Report_Scenarios!$A$18:$A$24,1))+(INDEX(Report_Scenarios!$F$18:$F$24,MIN(MATCH(MEDIAN($B24-Conversion!$B$16,2020,2050),Report_Scenarios!$A$18:$A$24,1)+1,7))-INDEX(Report_Scenarios!$F$18:$F$24,MATCH(MEDIAN($B24-Conversion!$B$16,2020,2050),Report_Scenarios!$A$18:$A$24,1)))*(MEDIAN($B24-Conversion!$B$16,2020,2050)-INDEX(Report_Scenarios!$A$18:$A$24,MATCH(MEDIAN($B24-Conversion!$B$16,2020,2050),Report_Scenarios!$A$18:$A$24,1)))/(INDEX(Report_Scenarios!$A$18:$A$24,MIN(MATCH(MEDIAN($B24-Conversion!$B$16,2020,2050),Report_Scenarios!$A$18:$A$24,1)+1,7))-INDEX(Report_Scenarios!$A$18:$A$24,MATCH(MEDIAN($B24-Conversion!$B$16,2020,2050),Report_Scenarios!$A$18:$A$24,1)))),IF(INDEX(Report_Scenarios!$A$29:$A$35,MIN(MATCH(MEDIAN($B24-Conversion!$B$16,2020,2050),Report_Scenarios!$A$29:$A$35,1)+1,7))=INDEX(Report_Scenarios!$A$29:$A$35,MATCH(MEDIAN($B24-Conversion!$B$16,2020,2050),Report_Scenarios!$A$29:$A$35,1)),INDEX(Report_Scenarios!$F$29:$F$35,MATCH(MEDIAN($B24-Conversion!$B$16,2020,2050),Report_Scenarios!$A$29:$A$35,1)),INDEX(Report_Scenarios!$F$29:$F$35,MATCH(MEDIAN($B24-Conversion!$B$16,2020,2050),Report_Scenarios!$A$29:$A$35,1))+(INDEX(Report_Scenarios!$F$29:$F$35,MIN(MATCH(MEDIAN($B24-Conversion!$B$16,2020,2050),Report_Scenarios!$A$29:$A$35,1)+1,7))-INDEX(Report_Scenarios!$F$29:$F$35,MATCH(MEDIAN($B24-Conversion!$B$16,2020,2050),Report_Scenarios!$A$29:$A$35,1)))*(MEDIAN($B24-Conversion!$B$16,2020,2050)-INDEX(Report_Scenarios!$A$29:$A$35,MATCH(MEDIAN($B24-Conversion!$B$16,2020,2050),Report_Scenarios!$A$29:$A$35,1)))/(INDEX(Report_Scenarios!$A$29:$A$35,MIN(MATCH(MEDIAN($B24-Conversion!$B$16,2020,2050),Report_Scenarios!$A$29:$A$35,1)+1,7))-INDEX(Report_Scenarios!$A$29:$A$35,MATCH(MEDIAN($B24-Conversion!$B$16,2020,2050),Report_Scenarios!$A$29:$A$35,1))))))</f>
        <v/>
      </c>
      <c r="J24" s="23">
        <f>IF($D24="Conservative",IF(INDEX(Report_Scenarios!$A$7:$A$13,MIN(MATCH(MEDIAN($B24-Conversion!$B$16,2020,2050),Report_Scenarios!$A$7:$A$13,1)+1,7))=INDEX(Report_Scenarios!$A$7:$A$13,MATCH(MEDIAN($B24-Conversion!$B$16,2020,2050),Report_Scenarios!$A$7:$A$13,1)),INDEX(Report_Scenarios!$G$7:$G$13,MATCH(MEDIAN($B24-Conversion!$B$16,2020,2050),Report_Scenarios!$A$7:$A$13,1)),INDEX(Report_Scenarios!$G$7:$G$13,MATCH(MEDIAN($B24-Conversion!$B$16,2020,2050),Report_Scenarios!$A$7:$A$13,1))+(INDEX(Report_Scenarios!$G$7:$G$13,MIN(MATCH(MEDIAN($B24-Conversion!$B$16,2020,2050),Report_Scenarios!$A$7:$A$13,1)+1,7))-INDEX(Report_Scenarios!$G$7:$G$13,MATCH(MEDIAN($B24-Conversion!$B$16,2020,2050),Report_Scenarios!$A$7:$A$13,1)))*(MEDIAN($B24-Conversion!$B$16,2020,2050)-INDEX(Report_Scenarios!$A$7:$A$13,MATCH(MEDIAN($B24-Conversion!$B$16,2020,2050),Report_Scenarios!$A$7:$A$13,1)))/(INDEX(Report_Scenarios!$A$7:$A$13,MIN(MATCH(MEDIAN($B24-Conversion!$B$16,2020,2050),Report_Scenarios!$A$7:$A$13,1)+1,7))-INDEX(Report_Scenarios!$A$7:$A$13,MATCH(MEDIAN($B24-Conversion!$B$16,2020,2050),Report_Scenarios!$A$7:$A$13,1)))),IF($D24="Central",IF(INDEX(Report_Scenarios!$A$18:$A$24,MIN(MATCH(MEDIAN($B24-Conversion!$B$16,2020,2050),Report_Scenarios!$A$18:$A$24,1)+1,7))=INDEX(Report_Scenarios!$A$18:$A$24,MATCH(MEDIAN($B24-Conversion!$B$16,2020,2050),Report_Scenarios!$A$18:$A$24,1)),INDEX(Report_Scenarios!$G$18:$G$24,MATCH(MEDIAN($B24-Conversion!$B$16,2020,2050),Report_Scenarios!$A$18:$A$24,1)),INDEX(Report_Scenarios!$G$18:$G$24,MATCH(MEDIAN($B24-Conversion!$B$16,2020,2050),Report_Scenarios!$A$18:$A$24,1))+(INDEX(Report_Scenarios!$G$18:$G$24,MIN(MATCH(MEDIAN($B24-Conversion!$B$16,2020,2050),Report_Scenarios!$A$18:$A$24,1)+1,7))-INDEX(Report_Scenarios!$G$18:$G$24,MATCH(MEDIAN($B24-Conversion!$B$16,2020,2050),Report_Scenarios!$A$18:$A$24,1)))*(MEDIAN($B24-Conversion!$B$16,2020,2050)-INDEX(Report_Scenarios!$A$18:$A$24,MATCH(MEDIAN($B24-Conversion!$B$16,2020,2050),Report_Scenarios!$A$18:$A$24,1)))/(INDEX(Report_Scenarios!$A$18:$A$24,MIN(MATCH(MEDIAN($B24-Conversion!$B$16,2020,2050),Report_Scenarios!$A$18:$A$24,1)+1,7))-INDEX(Report_Scenarios!$A$18:$A$24,MATCH(MEDIAN($B24-Conversion!$B$16,2020,2050),Report_Scenarios!$A$18:$A$24,1)))),IF(INDEX(Report_Scenarios!$A$29:$A$35,MIN(MATCH(MEDIAN($B24-Conversion!$B$16,2020,2050),Report_Scenarios!$A$29:$A$35,1)+1,7))=INDEX(Report_Scenarios!$A$29:$A$35,MATCH(MEDIAN($B24-Conversion!$B$16,2020,2050),Report_Scenarios!$A$29:$A$35,1)),INDEX(Report_Scenarios!$G$29:$G$35,MATCH(MEDIAN($B24-Conversion!$B$16,2020,2050),Report_Scenarios!$A$29:$A$35,1)),INDEX(Report_Scenarios!$G$29:$G$35,MATCH(MEDIAN($B24-Conversion!$B$16,2020,2050),Report_Scenarios!$A$29:$A$35,1))+(INDEX(Report_Scenarios!$G$29:$G$35,MIN(MATCH(MEDIAN($B24-Conversion!$B$16,2020,2050),Report_Scenarios!$A$29:$A$35,1)+1,7))-INDEX(Report_Scenarios!$G$29:$G$35,MATCH(MEDIAN($B24-Conversion!$B$16,2020,2050),Report_Scenarios!$A$29:$A$35,1)))*(MEDIAN($B24-Conversion!$B$16,2020,2050)-INDEX(Report_Scenarios!$A$29:$A$35,MATCH(MEDIAN($B24-Conversion!$B$16,2020,2050),Report_Scenarios!$A$29:$A$35,1)))/(INDEX(Report_Scenarios!$A$29:$A$35,MIN(MATCH(MEDIAN($B24-Conversion!$B$16,2020,2050),Report_Scenarios!$A$29:$A$35,1)+1,7))-INDEX(Report_Scenarios!$A$29:$A$35,MATCH(MEDIAN($B24-Conversion!$B$16,2020,2050),Report_Scenarios!$A$29:$A$35,1))))))</f>
        <v/>
      </c>
      <c r="K24" s="23">
        <f>SUM(E24:J24)</f>
        <v/>
      </c>
      <c r="L24" s="23">
        <f>IF(R24&lt;&gt;"",R24,IF($K24=0,0,E24/$K24))</f>
        <v/>
      </c>
      <c r="M24" s="23">
        <f>IF(S24&lt;&gt;"",S24,IF($K24=0,0,F24/$K24))</f>
        <v/>
      </c>
      <c r="N24" s="23">
        <f>IF(T24&lt;&gt;"",T24,IF($K24=0,0,G24/$K24))</f>
        <v/>
      </c>
      <c r="O24" s="23">
        <f>IF(U24&lt;&gt;"",U24,IF($K24=0,0,H24/$K24))</f>
        <v/>
      </c>
      <c r="P24" s="23">
        <f>IF(V24&lt;&gt;"",V24,IF($K24=0,0,I24/$K24))</f>
        <v/>
      </c>
      <c r="Q24" s="23">
        <f>IF(W24&lt;&gt;"",W24,IF($K24=0,0,J24/$K24))</f>
        <v/>
      </c>
      <c r="R24" s="24" t="n"/>
      <c r="S24" s="24" t="n"/>
      <c r="T24" s="24" t="n"/>
      <c r="U24" s="24" t="n"/>
      <c r="V24" s="24" t="n"/>
      <c r="W24" s="24" t="n"/>
    </row>
    <row r="25">
      <c r="A25" s="4" t="inlineStr">
        <is>
          <t>AB</t>
        </is>
      </c>
      <c r="B25" s="4" t="n">
        <v>2050</v>
      </c>
      <c r="C25" s="4" t="inlineStr">
        <is>
          <t>Share_Max</t>
        </is>
      </c>
      <c r="D25" s="4">
        <f>Conversion!$B$20</f>
        <v/>
      </c>
      <c r="E25" s="23">
        <f>IF($D25="Conservative",IF(INDEX(Report_Scenarios!$A$7:$A$13,MIN(MATCH(MEDIAN($B25-Conversion!$B$16,2020,2050),Report_Scenarios!$A$7:$A$13,1)+1,7))=INDEX(Report_Scenarios!$A$7:$A$13,MATCH(MEDIAN($B25-Conversion!$B$16,2020,2050),Report_Scenarios!$A$7:$A$13,1)),INDEX(Report_Scenarios!$B$7:$B$13,MATCH(MEDIAN($B25-Conversion!$B$16,2020,2050),Report_Scenarios!$A$7:$A$13,1)),INDEX(Report_Scenarios!$B$7:$B$13,MATCH(MEDIAN($B25-Conversion!$B$16,2020,2050),Report_Scenarios!$A$7:$A$13,1))+(INDEX(Report_Scenarios!$B$7:$B$13,MIN(MATCH(MEDIAN($B25-Conversion!$B$16,2020,2050),Report_Scenarios!$A$7:$A$13,1)+1,7))-INDEX(Report_Scenarios!$B$7:$B$13,MATCH(MEDIAN($B25-Conversion!$B$16,2020,2050),Report_Scenarios!$A$7:$A$13,1)))*(MEDIAN($B25-Conversion!$B$16,2020,2050)-INDEX(Report_Scenarios!$A$7:$A$13,MATCH(MEDIAN($B25-Conversion!$B$16,2020,2050),Report_Scenarios!$A$7:$A$13,1)))/(INDEX(Report_Scenarios!$A$7:$A$13,MIN(MATCH(MEDIAN($B25-Conversion!$B$16,2020,2050),Report_Scenarios!$A$7:$A$13,1)+1,7))-INDEX(Report_Scenarios!$A$7:$A$13,MATCH(MEDIAN($B25-Conversion!$B$16,2020,2050),Report_Scenarios!$A$7:$A$13,1)))),IF($D25="Central",IF(INDEX(Report_Scenarios!$A$18:$A$24,MIN(MATCH(MEDIAN($B25-Conversion!$B$16,2020,2050),Report_Scenarios!$A$18:$A$24,1)+1,7))=INDEX(Report_Scenarios!$A$18:$A$24,MATCH(MEDIAN($B25-Conversion!$B$16,2020,2050),Report_Scenarios!$A$18:$A$24,1)),INDEX(Report_Scenarios!$B$18:$B$24,MATCH(MEDIAN($B25-Conversion!$B$16,2020,2050),Report_Scenarios!$A$18:$A$24,1)),INDEX(Report_Scenarios!$B$18:$B$24,MATCH(MEDIAN($B25-Conversion!$B$16,2020,2050),Report_Scenarios!$A$18:$A$24,1))+(INDEX(Report_Scenarios!$B$18:$B$24,MIN(MATCH(MEDIAN($B25-Conversion!$B$16,2020,2050),Report_Scenarios!$A$18:$A$24,1)+1,7))-INDEX(Report_Scenarios!$B$18:$B$24,MATCH(MEDIAN($B25-Conversion!$B$16,2020,2050),Report_Scenarios!$A$18:$A$24,1)))*(MEDIAN($B25-Conversion!$B$16,2020,2050)-INDEX(Report_Scenarios!$A$18:$A$24,MATCH(MEDIAN($B25-Conversion!$B$16,2020,2050),Report_Scenarios!$A$18:$A$24,1)))/(INDEX(Report_Scenarios!$A$18:$A$24,MIN(MATCH(MEDIAN($B25-Conversion!$B$16,2020,2050),Report_Scenarios!$A$18:$A$24,1)+1,7))-INDEX(Report_Scenarios!$A$18:$A$24,MATCH(MEDIAN($B25-Conversion!$B$16,2020,2050),Report_Scenarios!$A$18:$A$24,1)))),IF(INDEX(Report_Scenarios!$A$29:$A$35,MIN(MATCH(MEDIAN($B25-Conversion!$B$16,2020,2050),Report_Scenarios!$A$29:$A$35,1)+1,7))=INDEX(Report_Scenarios!$A$29:$A$35,MATCH(MEDIAN($B25-Conversion!$B$16,2020,2050),Report_Scenarios!$A$29:$A$35,1)),INDEX(Report_Scenarios!$B$29:$B$35,MATCH(MEDIAN($B25-Conversion!$B$16,2020,2050),Report_Scenarios!$A$29:$A$35,1)),INDEX(Report_Scenarios!$B$29:$B$35,MATCH(MEDIAN($B25-Conversion!$B$16,2020,2050),Report_Scenarios!$A$29:$A$35,1))+(INDEX(Report_Scenarios!$B$29:$B$35,MIN(MATCH(MEDIAN($B25-Conversion!$B$16,2020,2050),Report_Scenarios!$A$29:$A$35,1)+1,7))-INDEX(Report_Scenarios!$B$29:$B$35,MATCH(MEDIAN($B25-Conversion!$B$16,2020,2050),Report_Scenarios!$A$29:$A$35,1)))*(MEDIAN($B25-Conversion!$B$16,2020,2050)-INDEX(Report_Scenarios!$A$29:$A$35,MATCH(MEDIAN($B25-Conversion!$B$16,2020,2050),Report_Scenarios!$A$29:$A$35,1)))/(INDEX(Report_Scenarios!$A$29:$A$35,MIN(MATCH(MEDIAN($B25-Conversion!$B$16,2020,2050),Report_Scenarios!$A$29:$A$35,1)+1,7))-INDEX(Report_Scenarios!$A$29:$A$35,MATCH(MEDIAN($B25-Conversion!$B$16,2020,2050),Report_Scenarios!$A$29:$A$35,1))))))</f>
        <v/>
      </c>
      <c r="F25" s="23">
        <f>IF($D25="Conservative",IF(INDEX(Report_Scenarios!$A$7:$A$13,MIN(MATCH(MEDIAN($B25-Conversion!$B$16,2020,2050),Report_Scenarios!$A$7:$A$13,1)+1,7))=INDEX(Report_Scenarios!$A$7:$A$13,MATCH(MEDIAN($B25-Conversion!$B$16,2020,2050),Report_Scenarios!$A$7:$A$13,1)),INDEX(Report_Scenarios!$C$7:$C$13,MATCH(MEDIAN($B25-Conversion!$B$16,2020,2050),Report_Scenarios!$A$7:$A$13,1)),INDEX(Report_Scenarios!$C$7:$C$13,MATCH(MEDIAN($B25-Conversion!$B$16,2020,2050),Report_Scenarios!$A$7:$A$13,1))+(INDEX(Report_Scenarios!$C$7:$C$13,MIN(MATCH(MEDIAN($B25-Conversion!$B$16,2020,2050),Report_Scenarios!$A$7:$A$13,1)+1,7))-INDEX(Report_Scenarios!$C$7:$C$13,MATCH(MEDIAN($B25-Conversion!$B$16,2020,2050),Report_Scenarios!$A$7:$A$13,1)))*(MEDIAN($B25-Conversion!$B$16,2020,2050)-INDEX(Report_Scenarios!$A$7:$A$13,MATCH(MEDIAN($B25-Conversion!$B$16,2020,2050),Report_Scenarios!$A$7:$A$13,1)))/(INDEX(Report_Scenarios!$A$7:$A$13,MIN(MATCH(MEDIAN($B25-Conversion!$B$16,2020,2050),Report_Scenarios!$A$7:$A$13,1)+1,7))-INDEX(Report_Scenarios!$A$7:$A$13,MATCH(MEDIAN($B25-Conversion!$B$16,2020,2050),Report_Scenarios!$A$7:$A$13,1)))),IF($D25="Central",IF(INDEX(Report_Scenarios!$A$18:$A$24,MIN(MATCH(MEDIAN($B25-Conversion!$B$16,2020,2050),Report_Scenarios!$A$18:$A$24,1)+1,7))=INDEX(Report_Scenarios!$A$18:$A$24,MATCH(MEDIAN($B25-Conversion!$B$16,2020,2050),Report_Scenarios!$A$18:$A$24,1)),INDEX(Report_Scenarios!$C$18:$C$24,MATCH(MEDIAN($B25-Conversion!$B$16,2020,2050),Report_Scenarios!$A$18:$A$24,1)),INDEX(Report_Scenarios!$C$18:$C$24,MATCH(MEDIAN($B25-Conversion!$B$16,2020,2050),Report_Scenarios!$A$18:$A$24,1))+(INDEX(Report_Scenarios!$C$18:$C$24,MIN(MATCH(MEDIAN($B25-Conversion!$B$16,2020,2050),Report_Scenarios!$A$18:$A$24,1)+1,7))-INDEX(Report_Scenarios!$C$18:$C$24,MATCH(MEDIAN($B25-Conversion!$B$16,2020,2050),Report_Scenarios!$A$18:$A$24,1)))*(MEDIAN($B25-Conversion!$B$16,2020,2050)-INDEX(Report_Scenarios!$A$18:$A$24,MATCH(MEDIAN($B25-Conversion!$B$16,2020,2050),Report_Scenarios!$A$18:$A$24,1)))/(INDEX(Report_Scenarios!$A$18:$A$24,MIN(MATCH(MEDIAN($B25-Conversion!$B$16,2020,2050),Report_Scenarios!$A$18:$A$24,1)+1,7))-INDEX(Report_Scenarios!$A$18:$A$24,MATCH(MEDIAN($B25-Conversion!$B$16,2020,2050),Report_Scenarios!$A$18:$A$24,1)))),IF(INDEX(Report_Scenarios!$A$29:$A$35,MIN(MATCH(MEDIAN($B25-Conversion!$B$16,2020,2050),Report_Scenarios!$A$29:$A$35,1)+1,7))=INDEX(Report_Scenarios!$A$29:$A$35,MATCH(MEDIAN($B25-Conversion!$B$16,2020,2050),Report_Scenarios!$A$29:$A$35,1)),INDEX(Report_Scenarios!$C$29:$C$35,MATCH(MEDIAN($B25-Conversion!$B$16,2020,2050),Report_Scenarios!$A$29:$A$35,1)),INDEX(Report_Scenarios!$C$29:$C$35,MATCH(MEDIAN($B25-Conversion!$B$16,2020,2050),Report_Scenarios!$A$29:$A$35,1))+(INDEX(Report_Scenarios!$C$29:$C$35,MIN(MATCH(MEDIAN($B25-Conversion!$B$16,2020,2050),Report_Scenarios!$A$29:$A$35,1)+1,7))-INDEX(Report_Scenarios!$C$29:$C$35,MATCH(MEDIAN($B25-Conversion!$B$16,2020,2050),Report_Scenarios!$A$29:$A$35,1)))*(MEDIAN($B25-Conversion!$B$16,2020,2050)-INDEX(Report_Scenarios!$A$29:$A$35,MATCH(MEDIAN($B25-Conversion!$B$16,2020,2050),Report_Scenarios!$A$29:$A$35,1)))/(INDEX(Report_Scenarios!$A$29:$A$35,MIN(MATCH(MEDIAN($B25-Conversion!$B$16,2020,2050),Report_Scenarios!$A$29:$A$35,1)+1,7))-INDEX(Report_Scenarios!$A$29:$A$35,MATCH(MEDIAN($B25-Conversion!$B$16,2020,2050),Report_Scenarios!$A$29:$A$35,1))))))</f>
        <v/>
      </c>
      <c r="G25" s="23">
        <f>IF($D25="Conservative",IF(INDEX(Report_Scenarios!$A$7:$A$13,MIN(MATCH(MEDIAN($B25-Conversion!$B$16,2020,2050),Report_Scenarios!$A$7:$A$13,1)+1,7))=INDEX(Report_Scenarios!$A$7:$A$13,MATCH(MEDIAN($B25-Conversion!$B$16,2020,2050),Report_Scenarios!$A$7:$A$13,1)),INDEX(Report_Scenarios!$D$7:$D$13,MATCH(MEDIAN($B25-Conversion!$B$16,2020,2050),Report_Scenarios!$A$7:$A$13,1)),INDEX(Report_Scenarios!$D$7:$D$13,MATCH(MEDIAN($B25-Conversion!$B$16,2020,2050),Report_Scenarios!$A$7:$A$13,1))+(INDEX(Report_Scenarios!$D$7:$D$13,MIN(MATCH(MEDIAN($B25-Conversion!$B$16,2020,2050),Report_Scenarios!$A$7:$A$13,1)+1,7))-INDEX(Report_Scenarios!$D$7:$D$13,MATCH(MEDIAN($B25-Conversion!$B$16,2020,2050),Report_Scenarios!$A$7:$A$13,1)))*(MEDIAN($B25-Conversion!$B$16,2020,2050)-INDEX(Report_Scenarios!$A$7:$A$13,MATCH(MEDIAN($B25-Conversion!$B$16,2020,2050),Report_Scenarios!$A$7:$A$13,1)))/(INDEX(Report_Scenarios!$A$7:$A$13,MIN(MATCH(MEDIAN($B25-Conversion!$B$16,2020,2050),Report_Scenarios!$A$7:$A$13,1)+1,7))-INDEX(Report_Scenarios!$A$7:$A$13,MATCH(MEDIAN($B25-Conversion!$B$16,2020,2050),Report_Scenarios!$A$7:$A$13,1)))),IF($D25="Central",IF(INDEX(Report_Scenarios!$A$18:$A$24,MIN(MATCH(MEDIAN($B25-Conversion!$B$16,2020,2050),Report_Scenarios!$A$18:$A$24,1)+1,7))=INDEX(Report_Scenarios!$A$18:$A$24,MATCH(MEDIAN($B25-Conversion!$B$16,2020,2050),Report_Scenarios!$A$18:$A$24,1)),INDEX(Report_Scenarios!$D$18:$D$24,MATCH(MEDIAN($B25-Conversion!$B$16,2020,2050),Report_Scenarios!$A$18:$A$24,1)),INDEX(Report_Scenarios!$D$18:$D$24,MATCH(MEDIAN($B25-Conversion!$B$16,2020,2050),Report_Scenarios!$A$18:$A$24,1))+(INDEX(Report_Scenarios!$D$18:$D$24,MIN(MATCH(MEDIAN($B25-Conversion!$B$16,2020,2050),Report_Scenarios!$A$18:$A$24,1)+1,7))-INDEX(Report_Scenarios!$D$18:$D$24,MATCH(MEDIAN($B25-Conversion!$B$16,2020,2050),Report_Scenarios!$A$18:$A$24,1)))*(MEDIAN($B25-Conversion!$B$16,2020,2050)-INDEX(Report_Scenarios!$A$18:$A$24,MATCH(MEDIAN($B25-Conversion!$B$16,2020,2050),Report_Scenarios!$A$18:$A$24,1)))/(INDEX(Report_Scenarios!$A$18:$A$24,MIN(MATCH(MEDIAN($B25-Conversion!$B$16,2020,2050),Report_Scenarios!$A$18:$A$24,1)+1,7))-INDEX(Report_Scenarios!$A$18:$A$24,MATCH(MEDIAN($B25-Conversion!$B$16,2020,2050),Report_Scenarios!$A$18:$A$24,1)))),IF(INDEX(Report_Scenarios!$A$29:$A$35,MIN(MATCH(MEDIAN($B25-Conversion!$B$16,2020,2050),Report_Scenarios!$A$29:$A$35,1)+1,7))=INDEX(Report_Scenarios!$A$29:$A$35,MATCH(MEDIAN($B25-Conversion!$B$16,2020,2050),Report_Scenarios!$A$29:$A$35,1)),INDEX(Report_Scenarios!$D$29:$D$35,MATCH(MEDIAN($B25-Conversion!$B$16,2020,2050),Report_Scenarios!$A$29:$A$35,1)),INDEX(Report_Scenarios!$D$29:$D$35,MATCH(MEDIAN($B25-Conversion!$B$16,2020,2050),Report_Scenarios!$A$29:$A$35,1))+(INDEX(Report_Scenarios!$D$29:$D$35,MIN(MATCH(MEDIAN($B25-Conversion!$B$16,2020,2050),Report_Scenarios!$A$29:$A$35,1)+1,7))-INDEX(Report_Scenarios!$D$29:$D$35,MATCH(MEDIAN($B25-Conversion!$B$16,2020,2050),Report_Scenarios!$A$29:$A$35,1)))*(MEDIAN($B25-Conversion!$B$16,2020,2050)-INDEX(Report_Scenarios!$A$29:$A$35,MATCH(MEDIAN($B25-Conversion!$B$16,2020,2050),Report_Scenarios!$A$29:$A$35,1)))/(INDEX(Report_Scenarios!$A$29:$A$35,MIN(MATCH(MEDIAN($B25-Conversion!$B$16,2020,2050),Report_Scenarios!$A$29:$A$35,1)+1,7))-INDEX(Report_Scenarios!$A$29:$A$35,MATCH(MEDIAN($B25-Conversion!$B$16,2020,2050),Report_Scenarios!$A$29:$A$35,1))))))</f>
        <v/>
      </c>
      <c r="H25" s="23">
        <f>IF($D25="Conservative",IF(INDEX(Report_Scenarios!$A$7:$A$13,MIN(MATCH(MEDIAN($B25-Conversion!$B$16,2020,2050),Report_Scenarios!$A$7:$A$13,1)+1,7))=INDEX(Report_Scenarios!$A$7:$A$13,MATCH(MEDIAN($B25-Conversion!$B$16,2020,2050),Report_Scenarios!$A$7:$A$13,1)),INDEX(Report_Scenarios!$E$7:$E$13,MATCH(MEDIAN($B25-Conversion!$B$16,2020,2050),Report_Scenarios!$A$7:$A$13,1)),INDEX(Report_Scenarios!$E$7:$E$13,MATCH(MEDIAN($B25-Conversion!$B$16,2020,2050),Report_Scenarios!$A$7:$A$13,1))+(INDEX(Report_Scenarios!$E$7:$E$13,MIN(MATCH(MEDIAN($B25-Conversion!$B$16,2020,2050),Report_Scenarios!$A$7:$A$13,1)+1,7))-INDEX(Report_Scenarios!$E$7:$E$13,MATCH(MEDIAN($B25-Conversion!$B$16,2020,2050),Report_Scenarios!$A$7:$A$13,1)))*(MEDIAN($B25-Conversion!$B$16,2020,2050)-INDEX(Report_Scenarios!$A$7:$A$13,MATCH(MEDIAN($B25-Conversion!$B$16,2020,2050),Report_Scenarios!$A$7:$A$13,1)))/(INDEX(Report_Scenarios!$A$7:$A$13,MIN(MATCH(MEDIAN($B25-Conversion!$B$16,2020,2050),Report_Scenarios!$A$7:$A$13,1)+1,7))-INDEX(Report_Scenarios!$A$7:$A$13,MATCH(MEDIAN($B25-Conversion!$B$16,2020,2050),Report_Scenarios!$A$7:$A$13,1)))),IF($D25="Central",IF(INDEX(Report_Scenarios!$A$18:$A$24,MIN(MATCH(MEDIAN($B25-Conversion!$B$16,2020,2050),Report_Scenarios!$A$18:$A$24,1)+1,7))=INDEX(Report_Scenarios!$A$18:$A$24,MATCH(MEDIAN($B25-Conversion!$B$16,2020,2050),Report_Scenarios!$A$18:$A$24,1)),INDEX(Report_Scenarios!$E$18:$E$24,MATCH(MEDIAN($B25-Conversion!$B$16,2020,2050),Report_Scenarios!$A$18:$A$24,1)),INDEX(Report_Scenarios!$E$18:$E$24,MATCH(MEDIAN($B25-Conversion!$B$16,2020,2050),Report_Scenarios!$A$18:$A$24,1))+(INDEX(Report_Scenarios!$E$18:$E$24,MIN(MATCH(MEDIAN($B25-Conversion!$B$16,2020,2050),Report_Scenarios!$A$18:$A$24,1)+1,7))-INDEX(Report_Scenarios!$E$18:$E$24,MATCH(MEDIAN($B25-Conversion!$B$16,2020,2050),Report_Scenarios!$A$18:$A$24,1)))*(MEDIAN($B25-Conversion!$B$16,2020,2050)-INDEX(Report_Scenarios!$A$18:$A$24,MATCH(MEDIAN($B25-Conversion!$B$16,2020,2050),Report_Scenarios!$A$18:$A$24,1)))/(INDEX(Report_Scenarios!$A$18:$A$24,MIN(MATCH(MEDIAN($B25-Conversion!$B$16,2020,2050),Report_Scenarios!$A$18:$A$24,1)+1,7))-INDEX(Report_Scenarios!$A$18:$A$24,MATCH(MEDIAN($B25-Conversion!$B$16,2020,2050),Report_Scenarios!$A$18:$A$24,1)))),IF(INDEX(Report_Scenarios!$A$29:$A$35,MIN(MATCH(MEDIAN($B25-Conversion!$B$16,2020,2050),Report_Scenarios!$A$29:$A$35,1)+1,7))=INDEX(Report_Scenarios!$A$29:$A$35,MATCH(MEDIAN($B25-Conversion!$B$16,2020,2050),Report_Scenarios!$A$29:$A$35,1)),INDEX(Report_Scenarios!$E$29:$E$35,MATCH(MEDIAN($B25-Conversion!$B$16,2020,2050),Report_Scenarios!$A$29:$A$35,1)),INDEX(Report_Scenarios!$E$29:$E$35,MATCH(MEDIAN($B25-Conversion!$B$16,2020,2050),Report_Scenarios!$A$29:$A$35,1))+(INDEX(Report_Scenarios!$E$29:$E$35,MIN(MATCH(MEDIAN($B25-Conversion!$B$16,2020,2050),Report_Scenarios!$A$29:$A$35,1)+1,7))-INDEX(Report_Scenarios!$E$29:$E$35,MATCH(MEDIAN($B25-Conversion!$B$16,2020,2050),Report_Scenarios!$A$29:$A$35,1)))*(MEDIAN($B25-Conversion!$B$16,2020,2050)-INDEX(Report_Scenarios!$A$29:$A$35,MATCH(MEDIAN($B25-Conversion!$B$16,2020,2050),Report_Scenarios!$A$29:$A$35,1)))/(INDEX(Report_Scenarios!$A$29:$A$35,MIN(MATCH(MEDIAN($B25-Conversion!$B$16,2020,2050),Report_Scenarios!$A$29:$A$35,1)+1,7))-INDEX(Report_Scenarios!$A$29:$A$35,MATCH(MEDIAN($B25-Conversion!$B$16,2020,2050),Report_Scenarios!$A$29:$A$35,1))))))</f>
        <v/>
      </c>
      <c r="I25" s="23">
        <f>IF($D25="Conservative",IF(INDEX(Report_Scenarios!$A$7:$A$13,MIN(MATCH(MEDIAN($B25-Conversion!$B$16,2020,2050),Report_Scenarios!$A$7:$A$13,1)+1,7))=INDEX(Report_Scenarios!$A$7:$A$13,MATCH(MEDIAN($B25-Conversion!$B$16,2020,2050),Report_Scenarios!$A$7:$A$13,1)),INDEX(Report_Scenarios!$F$7:$F$13,MATCH(MEDIAN($B25-Conversion!$B$16,2020,2050),Report_Scenarios!$A$7:$A$13,1)),INDEX(Report_Scenarios!$F$7:$F$13,MATCH(MEDIAN($B25-Conversion!$B$16,2020,2050),Report_Scenarios!$A$7:$A$13,1))+(INDEX(Report_Scenarios!$F$7:$F$13,MIN(MATCH(MEDIAN($B25-Conversion!$B$16,2020,2050),Report_Scenarios!$A$7:$A$13,1)+1,7))-INDEX(Report_Scenarios!$F$7:$F$13,MATCH(MEDIAN($B25-Conversion!$B$16,2020,2050),Report_Scenarios!$A$7:$A$13,1)))*(MEDIAN($B25-Conversion!$B$16,2020,2050)-INDEX(Report_Scenarios!$A$7:$A$13,MATCH(MEDIAN($B25-Conversion!$B$16,2020,2050),Report_Scenarios!$A$7:$A$13,1)))/(INDEX(Report_Scenarios!$A$7:$A$13,MIN(MATCH(MEDIAN($B25-Conversion!$B$16,2020,2050),Report_Scenarios!$A$7:$A$13,1)+1,7))-INDEX(Report_Scenarios!$A$7:$A$13,MATCH(MEDIAN($B25-Conversion!$B$16,2020,2050),Report_Scenarios!$A$7:$A$13,1)))),IF($D25="Central",IF(INDEX(Report_Scenarios!$A$18:$A$24,MIN(MATCH(MEDIAN($B25-Conversion!$B$16,2020,2050),Report_Scenarios!$A$18:$A$24,1)+1,7))=INDEX(Report_Scenarios!$A$18:$A$24,MATCH(MEDIAN($B25-Conversion!$B$16,2020,2050),Report_Scenarios!$A$18:$A$24,1)),INDEX(Report_Scenarios!$F$18:$F$24,MATCH(MEDIAN($B25-Conversion!$B$16,2020,2050),Report_Scenarios!$A$18:$A$24,1)),INDEX(Report_Scenarios!$F$18:$F$24,MATCH(MEDIAN($B25-Conversion!$B$16,2020,2050),Report_Scenarios!$A$18:$A$24,1))+(INDEX(Report_Scenarios!$F$18:$F$24,MIN(MATCH(MEDIAN($B25-Conversion!$B$16,2020,2050),Report_Scenarios!$A$18:$A$24,1)+1,7))-INDEX(Report_Scenarios!$F$18:$F$24,MATCH(MEDIAN($B25-Conversion!$B$16,2020,2050),Report_Scenarios!$A$18:$A$24,1)))*(MEDIAN($B25-Conversion!$B$16,2020,2050)-INDEX(Report_Scenarios!$A$18:$A$24,MATCH(MEDIAN($B25-Conversion!$B$16,2020,2050),Report_Scenarios!$A$18:$A$24,1)))/(INDEX(Report_Scenarios!$A$18:$A$24,MIN(MATCH(MEDIAN($B25-Conversion!$B$16,2020,2050),Report_Scenarios!$A$18:$A$24,1)+1,7))-INDEX(Report_Scenarios!$A$18:$A$24,MATCH(MEDIAN($B25-Conversion!$B$16,2020,2050),Report_Scenarios!$A$18:$A$24,1)))),IF(INDEX(Report_Scenarios!$A$29:$A$35,MIN(MATCH(MEDIAN($B25-Conversion!$B$16,2020,2050),Report_Scenarios!$A$29:$A$35,1)+1,7))=INDEX(Report_Scenarios!$A$29:$A$35,MATCH(MEDIAN($B25-Conversion!$B$16,2020,2050),Report_Scenarios!$A$29:$A$35,1)),INDEX(Report_Scenarios!$F$29:$F$35,MATCH(MEDIAN($B25-Conversion!$B$16,2020,2050),Report_Scenarios!$A$29:$A$35,1)),INDEX(Report_Scenarios!$F$29:$F$35,MATCH(MEDIAN($B25-Conversion!$B$16,2020,2050),Report_Scenarios!$A$29:$A$35,1))+(INDEX(Report_Scenarios!$F$29:$F$35,MIN(MATCH(MEDIAN($B25-Conversion!$B$16,2020,2050),Report_Scenarios!$A$29:$A$35,1)+1,7))-INDEX(Report_Scenarios!$F$29:$F$35,MATCH(MEDIAN($B25-Conversion!$B$16,2020,2050),Report_Scenarios!$A$29:$A$35,1)))*(MEDIAN($B25-Conversion!$B$16,2020,2050)-INDEX(Report_Scenarios!$A$29:$A$35,MATCH(MEDIAN($B25-Conversion!$B$16,2020,2050),Report_Scenarios!$A$29:$A$35,1)))/(INDEX(Report_Scenarios!$A$29:$A$35,MIN(MATCH(MEDIAN($B25-Conversion!$B$16,2020,2050),Report_Scenarios!$A$29:$A$35,1)+1,7))-INDEX(Report_Scenarios!$A$29:$A$35,MATCH(MEDIAN($B25-Conversion!$B$16,2020,2050),Report_Scenarios!$A$29:$A$35,1))))))</f>
        <v/>
      </c>
      <c r="J25" s="23">
        <f>IF($D25="Conservative",IF(INDEX(Report_Scenarios!$A$7:$A$13,MIN(MATCH(MEDIAN($B25-Conversion!$B$16,2020,2050),Report_Scenarios!$A$7:$A$13,1)+1,7))=INDEX(Report_Scenarios!$A$7:$A$13,MATCH(MEDIAN($B25-Conversion!$B$16,2020,2050),Report_Scenarios!$A$7:$A$13,1)),INDEX(Report_Scenarios!$G$7:$G$13,MATCH(MEDIAN($B25-Conversion!$B$16,2020,2050),Report_Scenarios!$A$7:$A$13,1)),INDEX(Report_Scenarios!$G$7:$G$13,MATCH(MEDIAN($B25-Conversion!$B$16,2020,2050),Report_Scenarios!$A$7:$A$13,1))+(INDEX(Report_Scenarios!$G$7:$G$13,MIN(MATCH(MEDIAN($B25-Conversion!$B$16,2020,2050),Report_Scenarios!$A$7:$A$13,1)+1,7))-INDEX(Report_Scenarios!$G$7:$G$13,MATCH(MEDIAN($B25-Conversion!$B$16,2020,2050),Report_Scenarios!$A$7:$A$13,1)))*(MEDIAN($B25-Conversion!$B$16,2020,2050)-INDEX(Report_Scenarios!$A$7:$A$13,MATCH(MEDIAN($B25-Conversion!$B$16,2020,2050),Report_Scenarios!$A$7:$A$13,1)))/(INDEX(Report_Scenarios!$A$7:$A$13,MIN(MATCH(MEDIAN($B25-Conversion!$B$16,2020,2050),Report_Scenarios!$A$7:$A$13,1)+1,7))-INDEX(Report_Scenarios!$A$7:$A$13,MATCH(MEDIAN($B25-Conversion!$B$16,2020,2050),Report_Scenarios!$A$7:$A$13,1)))),IF($D25="Central",IF(INDEX(Report_Scenarios!$A$18:$A$24,MIN(MATCH(MEDIAN($B25-Conversion!$B$16,2020,2050),Report_Scenarios!$A$18:$A$24,1)+1,7))=INDEX(Report_Scenarios!$A$18:$A$24,MATCH(MEDIAN($B25-Conversion!$B$16,2020,2050),Report_Scenarios!$A$18:$A$24,1)),INDEX(Report_Scenarios!$G$18:$G$24,MATCH(MEDIAN($B25-Conversion!$B$16,2020,2050),Report_Scenarios!$A$18:$A$24,1)),INDEX(Report_Scenarios!$G$18:$G$24,MATCH(MEDIAN($B25-Conversion!$B$16,2020,2050),Report_Scenarios!$A$18:$A$24,1))+(INDEX(Report_Scenarios!$G$18:$G$24,MIN(MATCH(MEDIAN($B25-Conversion!$B$16,2020,2050),Report_Scenarios!$A$18:$A$24,1)+1,7))-INDEX(Report_Scenarios!$G$18:$G$24,MATCH(MEDIAN($B25-Conversion!$B$16,2020,2050),Report_Scenarios!$A$18:$A$24,1)))*(MEDIAN($B25-Conversion!$B$16,2020,2050)-INDEX(Report_Scenarios!$A$18:$A$24,MATCH(MEDIAN($B25-Conversion!$B$16,2020,2050),Report_Scenarios!$A$18:$A$24,1)))/(INDEX(Report_Scenarios!$A$18:$A$24,MIN(MATCH(MEDIAN($B25-Conversion!$B$16,2020,2050),Report_Scenarios!$A$18:$A$24,1)+1,7))-INDEX(Report_Scenarios!$A$18:$A$24,MATCH(MEDIAN($B25-Conversion!$B$16,2020,2050),Report_Scenarios!$A$18:$A$24,1)))),IF(INDEX(Report_Scenarios!$A$29:$A$35,MIN(MATCH(MEDIAN($B25-Conversion!$B$16,2020,2050),Report_Scenarios!$A$29:$A$35,1)+1,7))=INDEX(Report_Scenarios!$A$29:$A$35,MATCH(MEDIAN($B25-Conversion!$B$16,2020,2050),Report_Scenarios!$A$29:$A$35,1)),INDEX(Report_Scenarios!$G$29:$G$35,MATCH(MEDIAN($B25-Conversion!$B$16,2020,2050),Report_Scenarios!$A$29:$A$35,1)),INDEX(Report_Scenarios!$G$29:$G$35,MATCH(MEDIAN($B25-Conversion!$B$16,2020,2050),Report_Scenarios!$A$29:$A$35,1))+(INDEX(Report_Scenarios!$G$29:$G$35,MIN(MATCH(MEDIAN($B25-Conversion!$B$16,2020,2050),Report_Scenarios!$A$29:$A$35,1)+1,7))-INDEX(Report_Scenarios!$G$29:$G$35,MATCH(MEDIAN($B25-Conversion!$B$16,2020,2050),Report_Scenarios!$A$29:$A$35,1)))*(MEDIAN($B25-Conversion!$B$16,2020,2050)-INDEX(Report_Scenarios!$A$29:$A$35,MATCH(MEDIAN($B25-Conversion!$B$16,2020,2050),Report_Scenarios!$A$29:$A$35,1)))/(INDEX(Report_Scenarios!$A$29:$A$35,MIN(MATCH(MEDIAN($B25-Conversion!$B$16,2020,2050),Report_Scenarios!$A$29:$A$35,1)+1,7))-INDEX(Report_Scenarios!$A$29:$A$35,MATCH(MEDIAN($B25-Conversion!$B$16,2020,2050),Report_Scenarios!$A$29:$A$35,1))))))</f>
        <v/>
      </c>
      <c r="K25" s="23">
        <f>SUM(E25:J25)</f>
        <v/>
      </c>
      <c r="L25" s="23">
        <f>IF(R25&lt;&gt;"",R25,IF($K25=0,0,E25/$K25))</f>
        <v/>
      </c>
      <c r="M25" s="23">
        <f>IF(S25&lt;&gt;"",S25,IF($K25=0,0,F25/$K25))</f>
        <v/>
      </c>
      <c r="N25" s="23">
        <f>IF(T25&lt;&gt;"",T25,IF($K25=0,0,G25/$K25))</f>
        <v/>
      </c>
      <c r="O25" s="23">
        <f>IF(U25&lt;&gt;"",U25,IF($K25=0,0,H25/$K25))</f>
        <v/>
      </c>
      <c r="P25" s="23">
        <f>IF(V25&lt;&gt;"",V25,IF($K25=0,0,I25/$K25))</f>
        <v/>
      </c>
      <c r="Q25" s="23">
        <f>IF(W25&lt;&gt;"",W25,IF($K25=0,0,J25/$K25))</f>
        <v/>
      </c>
      <c r="R25" s="24" t="n"/>
      <c r="S25" s="24" t="n"/>
      <c r="T25" s="24" t="n"/>
      <c r="U25" s="24" t="n"/>
      <c r="V25" s="24" t="n"/>
      <c r="W25" s="24" t="n"/>
    </row>
    <row r="26">
      <c r="A26" s="4" t="inlineStr">
        <is>
          <t>AB</t>
        </is>
      </c>
      <c r="B26" s="4" t="n">
        <v>2055</v>
      </c>
      <c r="C26" s="4" t="inlineStr">
        <is>
          <t>Share_Min</t>
        </is>
      </c>
      <c r="D26" s="4">
        <f>Conversion!$B$18</f>
        <v/>
      </c>
      <c r="E26" s="23">
        <f>IF($D26="Conservative",IF(INDEX(Report_Scenarios!$A$7:$A$13,MIN(MATCH(MEDIAN($B26-Conversion!$B$16,2020,2050),Report_Scenarios!$A$7:$A$13,1)+1,7))=INDEX(Report_Scenarios!$A$7:$A$13,MATCH(MEDIAN($B26-Conversion!$B$16,2020,2050),Report_Scenarios!$A$7:$A$13,1)),INDEX(Report_Scenarios!$B$7:$B$13,MATCH(MEDIAN($B26-Conversion!$B$16,2020,2050),Report_Scenarios!$A$7:$A$13,1)),INDEX(Report_Scenarios!$B$7:$B$13,MATCH(MEDIAN($B26-Conversion!$B$16,2020,2050),Report_Scenarios!$A$7:$A$13,1))+(INDEX(Report_Scenarios!$B$7:$B$13,MIN(MATCH(MEDIAN($B26-Conversion!$B$16,2020,2050),Report_Scenarios!$A$7:$A$13,1)+1,7))-INDEX(Report_Scenarios!$B$7:$B$13,MATCH(MEDIAN($B26-Conversion!$B$16,2020,2050),Report_Scenarios!$A$7:$A$13,1)))*(MEDIAN($B26-Conversion!$B$16,2020,2050)-INDEX(Report_Scenarios!$A$7:$A$13,MATCH(MEDIAN($B26-Conversion!$B$16,2020,2050),Report_Scenarios!$A$7:$A$13,1)))/(INDEX(Report_Scenarios!$A$7:$A$13,MIN(MATCH(MEDIAN($B26-Conversion!$B$16,2020,2050),Report_Scenarios!$A$7:$A$13,1)+1,7))-INDEX(Report_Scenarios!$A$7:$A$13,MATCH(MEDIAN($B26-Conversion!$B$16,2020,2050),Report_Scenarios!$A$7:$A$13,1)))),IF($D26="Central",IF(INDEX(Report_Scenarios!$A$18:$A$24,MIN(MATCH(MEDIAN($B26-Conversion!$B$16,2020,2050),Report_Scenarios!$A$18:$A$24,1)+1,7))=INDEX(Report_Scenarios!$A$18:$A$24,MATCH(MEDIAN($B26-Conversion!$B$16,2020,2050),Report_Scenarios!$A$18:$A$24,1)),INDEX(Report_Scenarios!$B$18:$B$24,MATCH(MEDIAN($B26-Conversion!$B$16,2020,2050),Report_Scenarios!$A$18:$A$24,1)),INDEX(Report_Scenarios!$B$18:$B$24,MATCH(MEDIAN($B26-Conversion!$B$16,2020,2050),Report_Scenarios!$A$18:$A$24,1))+(INDEX(Report_Scenarios!$B$18:$B$24,MIN(MATCH(MEDIAN($B26-Conversion!$B$16,2020,2050),Report_Scenarios!$A$18:$A$24,1)+1,7))-INDEX(Report_Scenarios!$B$18:$B$24,MATCH(MEDIAN($B26-Conversion!$B$16,2020,2050),Report_Scenarios!$A$18:$A$24,1)))*(MEDIAN($B26-Conversion!$B$16,2020,2050)-INDEX(Report_Scenarios!$A$18:$A$24,MATCH(MEDIAN($B26-Conversion!$B$16,2020,2050),Report_Scenarios!$A$18:$A$24,1)))/(INDEX(Report_Scenarios!$A$18:$A$24,MIN(MATCH(MEDIAN($B26-Conversion!$B$16,2020,2050),Report_Scenarios!$A$18:$A$24,1)+1,7))-INDEX(Report_Scenarios!$A$18:$A$24,MATCH(MEDIAN($B26-Conversion!$B$16,2020,2050),Report_Scenarios!$A$18:$A$24,1)))),IF(INDEX(Report_Scenarios!$A$29:$A$35,MIN(MATCH(MEDIAN($B26-Conversion!$B$16,2020,2050),Report_Scenarios!$A$29:$A$35,1)+1,7))=INDEX(Report_Scenarios!$A$29:$A$35,MATCH(MEDIAN($B26-Conversion!$B$16,2020,2050),Report_Scenarios!$A$29:$A$35,1)),INDEX(Report_Scenarios!$B$29:$B$35,MATCH(MEDIAN($B26-Conversion!$B$16,2020,2050),Report_Scenarios!$A$29:$A$35,1)),INDEX(Report_Scenarios!$B$29:$B$35,MATCH(MEDIAN($B26-Conversion!$B$16,2020,2050),Report_Scenarios!$A$29:$A$35,1))+(INDEX(Report_Scenarios!$B$29:$B$35,MIN(MATCH(MEDIAN($B26-Conversion!$B$16,2020,2050),Report_Scenarios!$A$29:$A$35,1)+1,7))-INDEX(Report_Scenarios!$B$29:$B$35,MATCH(MEDIAN($B26-Conversion!$B$16,2020,2050),Report_Scenarios!$A$29:$A$35,1)))*(MEDIAN($B26-Conversion!$B$16,2020,2050)-INDEX(Report_Scenarios!$A$29:$A$35,MATCH(MEDIAN($B26-Conversion!$B$16,2020,2050),Report_Scenarios!$A$29:$A$35,1)))/(INDEX(Report_Scenarios!$A$29:$A$35,MIN(MATCH(MEDIAN($B26-Conversion!$B$16,2020,2050),Report_Scenarios!$A$29:$A$35,1)+1,7))-INDEX(Report_Scenarios!$A$29:$A$35,MATCH(MEDIAN($B26-Conversion!$B$16,2020,2050),Report_Scenarios!$A$29:$A$35,1))))))</f>
        <v/>
      </c>
      <c r="F26" s="23">
        <f>IF($D26="Conservative",IF(INDEX(Report_Scenarios!$A$7:$A$13,MIN(MATCH(MEDIAN($B26-Conversion!$B$16,2020,2050),Report_Scenarios!$A$7:$A$13,1)+1,7))=INDEX(Report_Scenarios!$A$7:$A$13,MATCH(MEDIAN($B26-Conversion!$B$16,2020,2050),Report_Scenarios!$A$7:$A$13,1)),INDEX(Report_Scenarios!$C$7:$C$13,MATCH(MEDIAN($B26-Conversion!$B$16,2020,2050),Report_Scenarios!$A$7:$A$13,1)),INDEX(Report_Scenarios!$C$7:$C$13,MATCH(MEDIAN($B26-Conversion!$B$16,2020,2050),Report_Scenarios!$A$7:$A$13,1))+(INDEX(Report_Scenarios!$C$7:$C$13,MIN(MATCH(MEDIAN($B26-Conversion!$B$16,2020,2050),Report_Scenarios!$A$7:$A$13,1)+1,7))-INDEX(Report_Scenarios!$C$7:$C$13,MATCH(MEDIAN($B26-Conversion!$B$16,2020,2050),Report_Scenarios!$A$7:$A$13,1)))*(MEDIAN($B26-Conversion!$B$16,2020,2050)-INDEX(Report_Scenarios!$A$7:$A$13,MATCH(MEDIAN($B26-Conversion!$B$16,2020,2050),Report_Scenarios!$A$7:$A$13,1)))/(INDEX(Report_Scenarios!$A$7:$A$13,MIN(MATCH(MEDIAN($B26-Conversion!$B$16,2020,2050),Report_Scenarios!$A$7:$A$13,1)+1,7))-INDEX(Report_Scenarios!$A$7:$A$13,MATCH(MEDIAN($B26-Conversion!$B$16,2020,2050),Report_Scenarios!$A$7:$A$13,1)))),IF($D26="Central",IF(INDEX(Report_Scenarios!$A$18:$A$24,MIN(MATCH(MEDIAN($B26-Conversion!$B$16,2020,2050),Report_Scenarios!$A$18:$A$24,1)+1,7))=INDEX(Report_Scenarios!$A$18:$A$24,MATCH(MEDIAN($B26-Conversion!$B$16,2020,2050),Report_Scenarios!$A$18:$A$24,1)),INDEX(Report_Scenarios!$C$18:$C$24,MATCH(MEDIAN($B26-Conversion!$B$16,2020,2050),Report_Scenarios!$A$18:$A$24,1)),INDEX(Report_Scenarios!$C$18:$C$24,MATCH(MEDIAN($B26-Conversion!$B$16,2020,2050),Report_Scenarios!$A$18:$A$24,1))+(INDEX(Report_Scenarios!$C$18:$C$24,MIN(MATCH(MEDIAN($B26-Conversion!$B$16,2020,2050),Report_Scenarios!$A$18:$A$24,1)+1,7))-INDEX(Report_Scenarios!$C$18:$C$24,MATCH(MEDIAN($B26-Conversion!$B$16,2020,2050),Report_Scenarios!$A$18:$A$24,1)))*(MEDIAN($B26-Conversion!$B$16,2020,2050)-INDEX(Report_Scenarios!$A$18:$A$24,MATCH(MEDIAN($B26-Conversion!$B$16,2020,2050),Report_Scenarios!$A$18:$A$24,1)))/(INDEX(Report_Scenarios!$A$18:$A$24,MIN(MATCH(MEDIAN($B26-Conversion!$B$16,2020,2050),Report_Scenarios!$A$18:$A$24,1)+1,7))-INDEX(Report_Scenarios!$A$18:$A$24,MATCH(MEDIAN($B26-Conversion!$B$16,2020,2050),Report_Scenarios!$A$18:$A$24,1)))),IF(INDEX(Report_Scenarios!$A$29:$A$35,MIN(MATCH(MEDIAN($B26-Conversion!$B$16,2020,2050),Report_Scenarios!$A$29:$A$35,1)+1,7))=INDEX(Report_Scenarios!$A$29:$A$35,MATCH(MEDIAN($B26-Conversion!$B$16,2020,2050),Report_Scenarios!$A$29:$A$35,1)),INDEX(Report_Scenarios!$C$29:$C$35,MATCH(MEDIAN($B26-Conversion!$B$16,2020,2050),Report_Scenarios!$A$29:$A$35,1)),INDEX(Report_Scenarios!$C$29:$C$35,MATCH(MEDIAN($B26-Conversion!$B$16,2020,2050),Report_Scenarios!$A$29:$A$35,1))+(INDEX(Report_Scenarios!$C$29:$C$35,MIN(MATCH(MEDIAN($B26-Conversion!$B$16,2020,2050),Report_Scenarios!$A$29:$A$35,1)+1,7))-INDEX(Report_Scenarios!$C$29:$C$35,MATCH(MEDIAN($B26-Conversion!$B$16,2020,2050),Report_Scenarios!$A$29:$A$35,1)))*(MEDIAN($B26-Conversion!$B$16,2020,2050)-INDEX(Report_Scenarios!$A$29:$A$35,MATCH(MEDIAN($B26-Conversion!$B$16,2020,2050),Report_Scenarios!$A$29:$A$35,1)))/(INDEX(Report_Scenarios!$A$29:$A$35,MIN(MATCH(MEDIAN($B26-Conversion!$B$16,2020,2050),Report_Scenarios!$A$29:$A$35,1)+1,7))-INDEX(Report_Scenarios!$A$29:$A$35,MATCH(MEDIAN($B26-Conversion!$B$16,2020,2050),Report_Scenarios!$A$29:$A$35,1))))))</f>
        <v/>
      </c>
      <c r="G26" s="23">
        <f>IF($D26="Conservative",IF(INDEX(Report_Scenarios!$A$7:$A$13,MIN(MATCH(MEDIAN($B26-Conversion!$B$16,2020,2050),Report_Scenarios!$A$7:$A$13,1)+1,7))=INDEX(Report_Scenarios!$A$7:$A$13,MATCH(MEDIAN($B26-Conversion!$B$16,2020,2050),Report_Scenarios!$A$7:$A$13,1)),INDEX(Report_Scenarios!$D$7:$D$13,MATCH(MEDIAN($B26-Conversion!$B$16,2020,2050),Report_Scenarios!$A$7:$A$13,1)),INDEX(Report_Scenarios!$D$7:$D$13,MATCH(MEDIAN($B26-Conversion!$B$16,2020,2050),Report_Scenarios!$A$7:$A$13,1))+(INDEX(Report_Scenarios!$D$7:$D$13,MIN(MATCH(MEDIAN($B26-Conversion!$B$16,2020,2050),Report_Scenarios!$A$7:$A$13,1)+1,7))-INDEX(Report_Scenarios!$D$7:$D$13,MATCH(MEDIAN($B26-Conversion!$B$16,2020,2050),Report_Scenarios!$A$7:$A$13,1)))*(MEDIAN($B26-Conversion!$B$16,2020,2050)-INDEX(Report_Scenarios!$A$7:$A$13,MATCH(MEDIAN($B26-Conversion!$B$16,2020,2050),Report_Scenarios!$A$7:$A$13,1)))/(INDEX(Report_Scenarios!$A$7:$A$13,MIN(MATCH(MEDIAN($B26-Conversion!$B$16,2020,2050),Report_Scenarios!$A$7:$A$13,1)+1,7))-INDEX(Report_Scenarios!$A$7:$A$13,MATCH(MEDIAN($B26-Conversion!$B$16,2020,2050),Report_Scenarios!$A$7:$A$13,1)))),IF($D26="Central",IF(INDEX(Report_Scenarios!$A$18:$A$24,MIN(MATCH(MEDIAN($B26-Conversion!$B$16,2020,2050),Report_Scenarios!$A$18:$A$24,1)+1,7))=INDEX(Report_Scenarios!$A$18:$A$24,MATCH(MEDIAN($B26-Conversion!$B$16,2020,2050),Report_Scenarios!$A$18:$A$24,1)),INDEX(Report_Scenarios!$D$18:$D$24,MATCH(MEDIAN($B26-Conversion!$B$16,2020,2050),Report_Scenarios!$A$18:$A$24,1)),INDEX(Report_Scenarios!$D$18:$D$24,MATCH(MEDIAN($B26-Conversion!$B$16,2020,2050),Report_Scenarios!$A$18:$A$24,1))+(INDEX(Report_Scenarios!$D$18:$D$24,MIN(MATCH(MEDIAN($B26-Conversion!$B$16,2020,2050),Report_Scenarios!$A$18:$A$24,1)+1,7))-INDEX(Report_Scenarios!$D$18:$D$24,MATCH(MEDIAN($B26-Conversion!$B$16,2020,2050),Report_Scenarios!$A$18:$A$24,1)))*(MEDIAN($B26-Conversion!$B$16,2020,2050)-INDEX(Report_Scenarios!$A$18:$A$24,MATCH(MEDIAN($B26-Conversion!$B$16,2020,2050),Report_Scenarios!$A$18:$A$24,1)))/(INDEX(Report_Scenarios!$A$18:$A$24,MIN(MATCH(MEDIAN($B26-Conversion!$B$16,2020,2050),Report_Scenarios!$A$18:$A$24,1)+1,7))-INDEX(Report_Scenarios!$A$18:$A$24,MATCH(MEDIAN($B26-Conversion!$B$16,2020,2050),Report_Scenarios!$A$18:$A$24,1)))),IF(INDEX(Report_Scenarios!$A$29:$A$35,MIN(MATCH(MEDIAN($B26-Conversion!$B$16,2020,2050),Report_Scenarios!$A$29:$A$35,1)+1,7))=INDEX(Report_Scenarios!$A$29:$A$35,MATCH(MEDIAN($B26-Conversion!$B$16,2020,2050),Report_Scenarios!$A$29:$A$35,1)),INDEX(Report_Scenarios!$D$29:$D$35,MATCH(MEDIAN($B26-Conversion!$B$16,2020,2050),Report_Scenarios!$A$29:$A$35,1)),INDEX(Report_Scenarios!$D$29:$D$35,MATCH(MEDIAN($B26-Conversion!$B$16,2020,2050),Report_Scenarios!$A$29:$A$35,1))+(INDEX(Report_Scenarios!$D$29:$D$35,MIN(MATCH(MEDIAN($B26-Conversion!$B$16,2020,2050),Report_Scenarios!$A$29:$A$35,1)+1,7))-INDEX(Report_Scenarios!$D$29:$D$35,MATCH(MEDIAN($B26-Conversion!$B$16,2020,2050),Report_Scenarios!$A$29:$A$35,1)))*(MEDIAN($B26-Conversion!$B$16,2020,2050)-INDEX(Report_Scenarios!$A$29:$A$35,MATCH(MEDIAN($B26-Conversion!$B$16,2020,2050),Report_Scenarios!$A$29:$A$35,1)))/(INDEX(Report_Scenarios!$A$29:$A$35,MIN(MATCH(MEDIAN($B26-Conversion!$B$16,2020,2050),Report_Scenarios!$A$29:$A$35,1)+1,7))-INDEX(Report_Scenarios!$A$29:$A$35,MATCH(MEDIAN($B26-Conversion!$B$16,2020,2050),Report_Scenarios!$A$29:$A$35,1))))))</f>
        <v/>
      </c>
      <c r="H26" s="23">
        <f>IF($D26="Conservative",IF(INDEX(Report_Scenarios!$A$7:$A$13,MIN(MATCH(MEDIAN($B26-Conversion!$B$16,2020,2050),Report_Scenarios!$A$7:$A$13,1)+1,7))=INDEX(Report_Scenarios!$A$7:$A$13,MATCH(MEDIAN($B26-Conversion!$B$16,2020,2050),Report_Scenarios!$A$7:$A$13,1)),INDEX(Report_Scenarios!$E$7:$E$13,MATCH(MEDIAN($B26-Conversion!$B$16,2020,2050),Report_Scenarios!$A$7:$A$13,1)),INDEX(Report_Scenarios!$E$7:$E$13,MATCH(MEDIAN($B26-Conversion!$B$16,2020,2050),Report_Scenarios!$A$7:$A$13,1))+(INDEX(Report_Scenarios!$E$7:$E$13,MIN(MATCH(MEDIAN($B26-Conversion!$B$16,2020,2050),Report_Scenarios!$A$7:$A$13,1)+1,7))-INDEX(Report_Scenarios!$E$7:$E$13,MATCH(MEDIAN($B26-Conversion!$B$16,2020,2050),Report_Scenarios!$A$7:$A$13,1)))*(MEDIAN($B26-Conversion!$B$16,2020,2050)-INDEX(Report_Scenarios!$A$7:$A$13,MATCH(MEDIAN($B26-Conversion!$B$16,2020,2050),Report_Scenarios!$A$7:$A$13,1)))/(INDEX(Report_Scenarios!$A$7:$A$13,MIN(MATCH(MEDIAN($B26-Conversion!$B$16,2020,2050),Report_Scenarios!$A$7:$A$13,1)+1,7))-INDEX(Report_Scenarios!$A$7:$A$13,MATCH(MEDIAN($B26-Conversion!$B$16,2020,2050),Report_Scenarios!$A$7:$A$13,1)))),IF($D26="Central",IF(INDEX(Report_Scenarios!$A$18:$A$24,MIN(MATCH(MEDIAN($B26-Conversion!$B$16,2020,2050),Report_Scenarios!$A$18:$A$24,1)+1,7))=INDEX(Report_Scenarios!$A$18:$A$24,MATCH(MEDIAN($B26-Conversion!$B$16,2020,2050),Report_Scenarios!$A$18:$A$24,1)),INDEX(Report_Scenarios!$E$18:$E$24,MATCH(MEDIAN($B26-Conversion!$B$16,2020,2050),Report_Scenarios!$A$18:$A$24,1)),INDEX(Report_Scenarios!$E$18:$E$24,MATCH(MEDIAN($B26-Conversion!$B$16,2020,2050),Report_Scenarios!$A$18:$A$24,1))+(INDEX(Report_Scenarios!$E$18:$E$24,MIN(MATCH(MEDIAN($B26-Conversion!$B$16,2020,2050),Report_Scenarios!$A$18:$A$24,1)+1,7))-INDEX(Report_Scenarios!$E$18:$E$24,MATCH(MEDIAN($B26-Conversion!$B$16,2020,2050),Report_Scenarios!$A$18:$A$24,1)))*(MEDIAN($B26-Conversion!$B$16,2020,2050)-INDEX(Report_Scenarios!$A$18:$A$24,MATCH(MEDIAN($B26-Conversion!$B$16,2020,2050),Report_Scenarios!$A$18:$A$24,1)))/(INDEX(Report_Scenarios!$A$18:$A$24,MIN(MATCH(MEDIAN($B26-Conversion!$B$16,2020,2050),Report_Scenarios!$A$18:$A$24,1)+1,7))-INDEX(Report_Scenarios!$A$18:$A$24,MATCH(MEDIAN($B26-Conversion!$B$16,2020,2050),Report_Scenarios!$A$18:$A$24,1)))),IF(INDEX(Report_Scenarios!$A$29:$A$35,MIN(MATCH(MEDIAN($B26-Conversion!$B$16,2020,2050),Report_Scenarios!$A$29:$A$35,1)+1,7))=INDEX(Report_Scenarios!$A$29:$A$35,MATCH(MEDIAN($B26-Conversion!$B$16,2020,2050),Report_Scenarios!$A$29:$A$35,1)),INDEX(Report_Scenarios!$E$29:$E$35,MATCH(MEDIAN($B26-Conversion!$B$16,2020,2050),Report_Scenarios!$A$29:$A$35,1)),INDEX(Report_Scenarios!$E$29:$E$35,MATCH(MEDIAN($B26-Conversion!$B$16,2020,2050),Report_Scenarios!$A$29:$A$35,1))+(INDEX(Report_Scenarios!$E$29:$E$35,MIN(MATCH(MEDIAN($B26-Conversion!$B$16,2020,2050),Report_Scenarios!$A$29:$A$35,1)+1,7))-INDEX(Report_Scenarios!$E$29:$E$35,MATCH(MEDIAN($B26-Conversion!$B$16,2020,2050),Report_Scenarios!$A$29:$A$35,1)))*(MEDIAN($B26-Conversion!$B$16,2020,2050)-INDEX(Report_Scenarios!$A$29:$A$35,MATCH(MEDIAN($B26-Conversion!$B$16,2020,2050),Report_Scenarios!$A$29:$A$35,1)))/(INDEX(Report_Scenarios!$A$29:$A$35,MIN(MATCH(MEDIAN($B26-Conversion!$B$16,2020,2050),Report_Scenarios!$A$29:$A$35,1)+1,7))-INDEX(Report_Scenarios!$A$29:$A$35,MATCH(MEDIAN($B26-Conversion!$B$16,2020,2050),Report_Scenarios!$A$29:$A$35,1))))))</f>
        <v/>
      </c>
      <c r="I26" s="23">
        <f>IF($D26="Conservative",IF(INDEX(Report_Scenarios!$A$7:$A$13,MIN(MATCH(MEDIAN($B26-Conversion!$B$16,2020,2050),Report_Scenarios!$A$7:$A$13,1)+1,7))=INDEX(Report_Scenarios!$A$7:$A$13,MATCH(MEDIAN($B26-Conversion!$B$16,2020,2050),Report_Scenarios!$A$7:$A$13,1)),INDEX(Report_Scenarios!$F$7:$F$13,MATCH(MEDIAN($B26-Conversion!$B$16,2020,2050),Report_Scenarios!$A$7:$A$13,1)),INDEX(Report_Scenarios!$F$7:$F$13,MATCH(MEDIAN($B26-Conversion!$B$16,2020,2050),Report_Scenarios!$A$7:$A$13,1))+(INDEX(Report_Scenarios!$F$7:$F$13,MIN(MATCH(MEDIAN($B26-Conversion!$B$16,2020,2050),Report_Scenarios!$A$7:$A$13,1)+1,7))-INDEX(Report_Scenarios!$F$7:$F$13,MATCH(MEDIAN($B26-Conversion!$B$16,2020,2050),Report_Scenarios!$A$7:$A$13,1)))*(MEDIAN($B26-Conversion!$B$16,2020,2050)-INDEX(Report_Scenarios!$A$7:$A$13,MATCH(MEDIAN($B26-Conversion!$B$16,2020,2050),Report_Scenarios!$A$7:$A$13,1)))/(INDEX(Report_Scenarios!$A$7:$A$13,MIN(MATCH(MEDIAN($B26-Conversion!$B$16,2020,2050),Report_Scenarios!$A$7:$A$13,1)+1,7))-INDEX(Report_Scenarios!$A$7:$A$13,MATCH(MEDIAN($B26-Conversion!$B$16,2020,2050),Report_Scenarios!$A$7:$A$13,1)))),IF($D26="Central",IF(INDEX(Report_Scenarios!$A$18:$A$24,MIN(MATCH(MEDIAN($B26-Conversion!$B$16,2020,2050),Report_Scenarios!$A$18:$A$24,1)+1,7))=INDEX(Report_Scenarios!$A$18:$A$24,MATCH(MEDIAN($B26-Conversion!$B$16,2020,2050),Report_Scenarios!$A$18:$A$24,1)),INDEX(Report_Scenarios!$F$18:$F$24,MATCH(MEDIAN($B26-Conversion!$B$16,2020,2050),Report_Scenarios!$A$18:$A$24,1)),INDEX(Report_Scenarios!$F$18:$F$24,MATCH(MEDIAN($B26-Conversion!$B$16,2020,2050),Report_Scenarios!$A$18:$A$24,1))+(INDEX(Report_Scenarios!$F$18:$F$24,MIN(MATCH(MEDIAN($B26-Conversion!$B$16,2020,2050),Report_Scenarios!$A$18:$A$24,1)+1,7))-INDEX(Report_Scenarios!$F$18:$F$24,MATCH(MEDIAN($B26-Conversion!$B$16,2020,2050),Report_Scenarios!$A$18:$A$24,1)))*(MEDIAN($B26-Conversion!$B$16,2020,2050)-INDEX(Report_Scenarios!$A$18:$A$24,MATCH(MEDIAN($B26-Conversion!$B$16,2020,2050),Report_Scenarios!$A$18:$A$24,1)))/(INDEX(Report_Scenarios!$A$18:$A$24,MIN(MATCH(MEDIAN($B26-Conversion!$B$16,2020,2050),Report_Scenarios!$A$18:$A$24,1)+1,7))-INDEX(Report_Scenarios!$A$18:$A$24,MATCH(MEDIAN($B26-Conversion!$B$16,2020,2050),Report_Scenarios!$A$18:$A$24,1)))),IF(INDEX(Report_Scenarios!$A$29:$A$35,MIN(MATCH(MEDIAN($B26-Conversion!$B$16,2020,2050),Report_Scenarios!$A$29:$A$35,1)+1,7))=INDEX(Report_Scenarios!$A$29:$A$35,MATCH(MEDIAN($B26-Conversion!$B$16,2020,2050),Report_Scenarios!$A$29:$A$35,1)),INDEX(Report_Scenarios!$F$29:$F$35,MATCH(MEDIAN($B26-Conversion!$B$16,2020,2050),Report_Scenarios!$A$29:$A$35,1)),INDEX(Report_Scenarios!$F$29:$F$35,MATCH(MEDIAN($B26-Conversion!$B$16,2020,2050),Report_Scenarios!$A$29:$A$35,1))+(INDEX(Report_Scenarios!$F$29:$F$35,MIN(MATCH(MEDIAN($B26-Conversion!$B$16,2020,2050),Report_Scenarios!$A$29:$A$35,1)+1,7))-INDEX(Report_Scenarios!$F$29:$F$35,MATCH(MEDIAN($B26-Conversion!$B$16,2020,2050),Report_Scenarios!$A$29:$A$35,1)))*(MEDIAN($B26-Conversion!$B$16,2020,2050)-INDEX(Report_Scenarios!$A$29:$A$35,MATCH(MEDIAN($B26-Conversion!$B$16,2020,2050),Report_Scenarios!$A$29:$A$35,1)))/(INDEX(Report_Scenarios!$A$29:$A$35,MIN(MATCH(MEDIAN($B26-Conversion!$B$16,2020,2050),Report_Scenarios!$A$29:$A$35,1)+1,7))-INDEX(Report_Scenarios!$A$29:$A$35,MATCH(MEDIAN($B26-Conversion!$B$16,2020,2050),Report_Scenarios!$A$29:$A$35,1))))))</f>
        <v/>
      </c>
      <c r="J26" s="23">
        <f>IF($D26="Conservative",IF(INDEX(Report_Scenarios!$A$7:$A$13,MIN(MATCH(MEDIAN($B26-Conversion!$B$16,2020,2050),Report_Scenarios!$A$7:$A$13,1)+1,7))=INDEX(Report_Scenarios!$A$7:$A$13,MATCH(MEDIAN($B26-Conversion!$B$16,2020,2050),Report_Scenarios!$A$7:$A$13,1)),INDEX(Report_Scenarios!$G$7:$G$13,MATCH(MEDIAN($B26-Conversion!$B$16,2020,2050),Report_Scenarios!$A$7:$A$13,1)),INDEX(Report_Scenarios!$G$7:$G$13,MATCH(MEDIAN($B26-Conversion!$B$16,2020,2050),Report_Scenarios!$A$7:$A$13,1))+(INDEX(Report_Scenarios!$G$7:$G$13,MIN(MATCH(MEDIAN($B26-Conversion!$B$16,2020,2050),Report_Scenarios!$A$7:$A$13,1)+1,7))-INDEX(Report_Scenarios!$G$7:$G$13,MATCH(MEDIAN($B26-Conversion!$B$16,2020,2050),Report_Scenarios!$A$7:$A$13,1)))*(MEDIAN($B26-Conversion!$B$16,2020,2050)-INDEX(Report_Scenarios!$A$7:$A$13,MATCH(MEDIAN($B26-Conversion!$B$16,2020,2050),Report_Scenarios!$A$7:$A$13,1)))/(INDEX(Report_Scenarios!$A$7:$A$13,MIN(MATCH(MEDIAN($B26-Conversion!$B$16,2020,2050),Report_Scenarios!$A$7:$A$13,1)+1,7))-INDEX(Report_Scenarios!$A$7:$A$13,MATCH(MEDIAN($B26-Conversion!$B$16,2020,2050),Report_Scenarios!$A$7:$A$13,1)))),IF($D26="Central",IF(INDEX(Report_Scenarios!$A$18:$A$24,MIN(MATCH(MEDIAN($B26-Conversion!$B$16,2020,2050),Report_Scenarios!$A$18:$A$24,1)+1,7))=INDEX(Report_Scenarios!$A$18:$A$24,MATCH(MEDIAN($B26-Conversion!$B$16,2020,2050),Report_Scenarios!$A$18:$A$24,1)),INDEX(Report_Scenarios!$G$18:$G$24,MATCH(MEDIAN($B26-Conversion!$B$16,2020,2050),Report_Scenarios!$A$18:$A$24,1)),INDEX(Report_Scenarios!$G$18:$G$24,MATCH(MEDIAN($B26-Conversion!$B$16,2020,2050),Report_Scenarios!$A$18:$A$24,1))+(INDEX(Report_Scenarios!$G$18:$G$24,MIN(MATCH(MEDIAN($B26-Conversion!$B$16,2020,2050),Report_Scenarios!$A$18:$A$24,1)+1,7))-INDEX(Report_Scenarios!$G$18:$G$24,MATCH(MEDIAN($B26-Conversion!$B$16,2020,2050),Report_Scenarios!$A$18:$A$24,1)))*(MEDIAN($B26-Conversion!$B$16,2020,2050)-INDEX(Report_Scenarios!$A$18:$A$24,MATCH(MEDIAN($B26-Conversion!$B$16,2020,2050),Report_Scenarios!$A$18:$A$24,1)))/(INDEX(Report_Scenarios!$A$18:$A$24,MIN(MATCH(MEDIAN($B26-Conversion!$B$16,2020,2050),Report_Scenarios!$A$18:$A$24,1)+1,7))-INDEX(Report_Scenarios!$A$18:$A$24,MATCH(MEDIAN($B26-Conversion!$B$16,2020,2050),Report_Scenarios!$A$18:$A$24,1)))),IF(INDEX(Report_Scenarios!$A$29:$A$35,MIN(MATCH(MEDIAN($B26-Conversion!$B$16,2020,2050),Report_Scenarios!$A$29:$A$35,1)+1,7))=INDEX(Report_Scenarios!$A$29:$A$35,MATCH(MEDIAN($B26-Conversion!$B$16,2020,2050),Report_Scenarios!$A$29:$A$35,1)),INDEX(Report_Scenarios!$G$29:$G$35,MATCH(MEDIAN($B26-Conversion!$B$16,2020,2050),Report_Scenarios!$A$29:$A$35,1)),INDEX(Report_Scenarios!$G$29:$G$35,MATCH(MEDIAN($B26-Conversion!$B$16,2020,2050),Report_Scenarios!$A$29:$A$35,1))+(INDEX(Report_Scenarios!$G$29:$G$35,MIN(MATCH(MEDIAN($B26-Conversion!$B$16,2020,2050),Report_Scenarios!$A$29:$A$35,1)+1,7))-INDEX(Report_Scenarios!$G$29:$G$35,MATCH(MEDIAN($B26-Conversion!$B$16,2020,2050),Report_Scenarios!$A$29:$A$35,1)))*(MEDIAN($B26-Conversion!$B$16,2020,2050)-INDEX(Report_Scenarios!$A$29:$A$35,MATCH(MEDIAN($B26-Conversion!$B$16,2020,2050),Report_Scenarios!$A$29:$A$35,1)))/(INDEX(Report_Scenarios!$A$29:$A$35,MIN(MATCH(MEDIAN($B26-Conversion!$B$16,2020,2050),Report_Scenarios!$A$29:$A$35,1)+1,7))-INDEX(Report_Scenarios!$A$29:$A$35,MATCH(MEDIAN($B26-Conversion!$B$16,2020,2050),Report_Scenarios!$A$29:$A$35,1))))))</f>
        <v/>
      </c>
      <c r="K26" s="23">
        <f>SUM(E26:J26)</f>
        <v/>
      </c>
      <c r="L26" s="23">
        <f>IF(R26&lt;&gt;"",R26,IF($K26=0,0,E26/$K26))</f>
        <v/>
      </c>
      <c r="M26" s="23">
        <f>IF(S26&lt;&gt;"",S26,IF($K26=0,0,F26/$K26))</f>
        <v/>
      </c>
      <c r="N26" s="23">
        <f>IF(T26&lt;&gt;"",T26,IF($K26=0,0,G26/$K26))</f>
        <v/>
      </c>
      <c r="O26" s="23">
        <f>IF(U26&lt;&gt;"",U26,IF($K26=0,0,H26/$K26))</f>
        <v/>
      </c>
      <c r="P26" s="23">
        <f>IF(V26&lt;&gt;"",V26,IF($K26=0,0,I26/$K26))</f>
        <v/>
      </c>
      <c r="Q26" s="23">
        <f>IF(W26&lt;&gt;"",W26,IF($K26=0,0,J26/$K26))</f>
        <v/>
      </c>
      <c r="R26" s="24" t="n"/>
      <c r="S26" s="24" t="n"/>
      <c r="T26" s="24" t="n"/>
      <c r="U26" s="24" t="n"/>
      <c r="V26" s="24" t="n"/>
      <c r="W26" s="24" t="n"/>
    </row>
    <row r="27">
      <c r="A27" s="4" t="inlineStr">
        <is>
          <t>AB</t>
        </is>
      </c>
      <c r="B27" s="4" t="n">
        <v>2055</v>
      </c>
      <c r="C27" s="4" t="inlineStr">
        <is>
          <t>Share_Mode</t>
        </is>
      </c>
      <c r="D27" s="4">
        <f>Conversion!$B$19</f>
        <v/>
      </c>
      <c r="E27" s="23">
        <f>IF($D27="Conservative",IF(INDEX(Report_Scenarios!$A$7:$A$13,MIN(MATCH(MEDIAN($B27-Conversion!$B$16,2020,2050),Report_Scenarios!$A$7:$A$13,1)+1,7))=INDEX(Report_Scenarios!$A$7:$A$13,MATCH(MEDIAN($B27-Conversion!$B$16,2020,2050),Report_Scenarios!$A$7:$A$13,1)),INDEX(Report_Scenarios!$B$7:$B$13,MATCH(MEDIAN($B27-Conversion!$B$16,2020,2050),Report_Scenarios!$A$7:$A$13,1)),INDEX(Report_Scenarios!$B$7:$B$13,MATCH(MEDIAN($B27-Conversion!$B$16,2020,2050),Report_Scenarios!$A$7:$A$13,1))+(INDEX(Report_Scenarios!$B$7:$B$13,MIN(MATCH(MEDIAN($B27-Conversion!$B$16,2020,2050),Report_Scenarios!$A$7:$A$13,1)+1,7))-INDEX(Report_Scenarios!$B$7:$B$13,MATCH(MEDIAN($B27-Conversion!$B$16,2020,2050),Report_Scenarios!$A$7:$A$13,1)))*(MEDIAN($B27-Conversion!$B$16,2020,2050)-INDEX(Report_Scenarios!$A$7:$A$13,MATCH(MEDIAN($B27-Conversion!$B$16,2020,2050),Report_Scenarios!$A$7:$A$13,1)))/(INDEX(Report_Scenarios!$A$7:$A$13,MIN(MATCH(MEDIAN($B27-Conversion!$B$16,2020,2050),Report_Scenarios!$A$7:$A$13,1)+1,7))-INDEX(Report_Scenarios!$A$7:$A$13,MATCH(MEDIAN($B27-Conversion!$B$16,2020,2050),Report_Scenarios!$A$7:$A$13,1)))),IF($D27="Central",IF(INDEX(Report_Scenarios!$A$18:$A$24,MIN(MATCH(MEDIAN($B27-Conversion!$B$16,2020,2050),Report_Scenarios!$A$18:$A$24,1)+1,7))=INDEX(Report_Scenarios!$A$18:$A$24,MATCH(MEDIAN($B27-Conversion!$B$16,2020,2050),Report_Scenarios!$A$18:$A$24,1)),INDEX(Report_Scenarios!$B$18:$B$24,MATCH(MEDIAN($B27-Conversion!$B$16,2020,2050),Report_Scenarios!$A$18:$A$24,1)),INDEX(Report_Scenarios!$B$18:$B$24,MATCH(MEDIAN($B27-Conversion!$B$16,2020,2050),Report_Scenarios!$A$18:$A$24,1))+(INDEX(Report_Scenarios!$B$18:$B$24,MIN(MATCH(MEDIAN($B27-Conversion!$B$16,2020,2050),Report_Scenarios!$A$18:$A$24,1)+1,7))-INDEX(Report_Scenarios!$B$18:$B$24,MATCH(MEDIAN($B27-Conversion!$B$16,2020,2050),Report_Scenarios!$A$18:$A$24,1)))*(MEDIAN($B27-Conversion!$B$16,2020,2050)-INDEX(Report_Scenarios!$A$18:$A$24,MATCH(MEDIAN($B27-Conversion!$B$16,2020,2050),Report_Scenarios!$A$18:$A$24,1)))/(INDEX(Report_Scenarios!$A$18:$A$24,MIN(MATCH(MEDIAN($B27-Conversion!$B$16,2020,2050),Report_Scenarios!$A$18:$A$24,1)+1,7))-INDEX(Report_Scenarios!$A$18:$A$24,MATCH(MEDIAN($B27-Conversion!$B$16,2020,2050),Report_Scenarios!$A$18:$A$24,1)))),IF(INDEX(Report_Scenarios!$A$29:$A$35,MIN(MATCH(MEDIAN($B27-Conversion!$B$16,2020,2050),Report_Scenarios!$A$29:$A$35,1)+1,7))=INDEX(Report_Scenarios!$A$29:$A$35,MATCH(MEDIAN($B27-Conversion!$B$16,2020,2050),Report_Scenarios!$A$29:$A$35,1)),INDEX(Report_Scenarios!$B$29:$B$35,MATCH(MEDIAN($B27-Conversion!$B$16,2020,2050),Report_Scenarios!$A$29:$A$35,1)),INDEX(Report_Scenarios!$B$29:$B$35,MATCH(MEDIAN($B27-Conversion!$B$16,2020,2050),Report_Scenarios!$A$29:$A$35,1))+(INDEX(Report_Scenarios!$B$29:$B$35,MIN(MATCH(MEDIAN($B27-Conversion!$B$16,2020,2050),Report_Scenarios!$A$29:$A$35,1)+1,7))-INDEX(Report_Scenarios!$B$29:$B$35,MATCH(MEDIAN($B27-Conversion!$B$16,2020,2050),Report_Scenarios!$A$29:$A$35,1)))*(MEDIAN($B27-Conversion!$B$16,2020,2050)-INDEX(Report_Scenarios!$A$29:$A$35,MATCH(MEDIAN($B27-Conversion!$B$16,2020,2050),Report_Scenarios!$A$29:$A$35,1)))/(INDEX(Report_Scenarios!$A$29:$A$35,MIN(MATCH(MEDIAN($B27-Conversion!$B$16,2020,2050),Report_Scenarios!$A$29:$A$35,1)+1,7))-INDEX(Report_Scenarios!$A$29:$A$35,MATCH(MEDIAN($B27-Conversion!$B$16,2020,2050),Report_Scenarios!$A$29:$A$35,1))))))</f>
        <v/>
      </c>
      <c r="F27" s="23">
        <f>IF($D27="Conservative",IF(INDEX(Report_Scenarios!$A$7:$A$13,MIN(MATCH(MEDIAN($B27-Conversion!$B$16,2020,2050),Report_Scenarios!$A$7:$A$13,1)+1,7))=INDEX(Report_Scenarios!$A$7:$A$13,MATCH(MEDIAN($B27-Conversion!$B$16,2020,2050),Report_Scenarios!$A$7:$A$13,1)),INDEX(Report_Scenarios!$C$7:$C$13,MATCH(MEDIAN($B27-Conversion!$B$16,2020,2050),Report_Scenarios!$A$7:$A$13,1)),INDEX(Report_Scenarios!$C$7:$C$13,MATCH(MEDIAN($B27-Conversion!$B$16,2020,2050),Report_Scenarios!$A$7:$A$13,1))+(INDEX(Report_Scenarios!$C$7:$C$13,MIN(MATCH(MEDIAN($B27-Conversion!$B$16,2020,2050),Report_Scenarios!$A$7:$A$13,1)+1,7))-INDEX(Report_Scenarios!$C$7:$C$13,MATCH(MEDIAN($B27-Conversion!$B$16,2020,2050),Report_Scenarios!$A$7:$A$13,1)))*(MEDIAN($B27-Conversion!$B$16,2020,2050)-INDEX(Report_Scenarios!$A$7:$A$13,MATCH(MEDIAN($B27-Conversion!$B$16,2020,2050),Report_Scenarios!$A$7:$A$13,1)))/(INDEX(Report_Scenarios!$A$7:$A$13,MIN(MATCH(MEDIAN($B27-Conversion!$B$16,2020,2050),Report_Scenarios!$A$7:$A$13,1)+1,7))-INDEX(Report_Scenarios!$A$7:$A$13,MATCH(MEDIAN($B27-Conversion!$B$16,2020,2050),Report_Scenarios!$A$7:$A$13,1)))),IF($D27="Central",IF(INDEX(Report_Scenarios!$A$18:$A$24,MIN(MATCH(MEDIAN($B27-Conversion!$B$16,2020,2050),Report_Scenarios!$A$18:$A$24,1)+1,7))=INDEX(Report_Scenarios!$A$18:$A$24,MATCH(MEDIAN($B27-Conversion!$B$16,2020,2050),Report_Scenarios!$A$18:$A$24,1)),INDEX(Report_Scenarios!$C$18:$C$24,MATCH(MEDIAN($B27-Conversion!$B$16,2020,2050),Report_Scenarios!$A$18:$A$24,1)),INDEX(Report_Scenarios!$C$18:$C$24,MATCH(MEDIAN($B27-Conversion!$B$16,2020,2050),Report_Scenarios!$A$18:$A$24,1))+(INDEX(Report_Scenarios!$C$18:$C$24,MIN(MATCH(MEDIAN($B27-Conversion!$B$16,2020,2050),Report_Scenarios!$A$18:$A$24,1)+1,7))-INDEX(Report_Scenarios!$C$18:$C$24,MATCH(MEDIAN($B27-Conversion!$B$16,2020,2050),Report_Scenarios!$A$18:$A$24,1)))*(MEDIAN($B27-Conversion!$B$16,2020,2050)-INDEX(Report_Scenarios!$A$18:$A$24,MATCH(MEDIAN($B27-Conversion!$B$16,2020,2050),Report_Scenarios!$A$18:$A$24,1)))/(INDEX(Report_Scenarios!$A$18:$A$24,MIN(MATCH(MEDIAN($B27-Conversion!$B$16,2020,2050),Report_Scenarios!$A$18:$A$24,1)+1,7))-INDEX(Report_Scenarios!$A$18:$A$24,MATCH(MEDIAN($B27-Conversion!$B$16,2020,2050),Report_Scenarios!$A$18:$A$24,1)))),IF(INDEX(Report_Scenarios!$A$29:$A$35,MIN(MATCH(MEDIAN($B27-Conversion!$B$16,2020,2050),Report_Scenarios!$A$29:$A$35,1)+1,7))=INDEX(Report_Scenarios!$A$29:$A$35,MATCH(MEDIAN($B27-Conversion!$B$16,2020,2050),Report_Scenarios!$A$29:$A$35,1)),INDEX(Report_Scenarios!$C$29:$C$35,MATCH(MEDIAN($B27-Conversion!$B$16,2020,2050),Report_Scenarios!$A$29:$A$35,1)),INDEX(Report_Scenarios!$C$29:$C$35,MATCH(MEDIAN($B27-Conversion!$B$16,2020,2050),Report_Scenarios!$A$29:$A$35,1))+(INDEX(Report_Scenarios!$C$29:$C$35,MIN(MATCH(MEDIAN($B27-Conversion!$B$16,2020,2050),Report_Scenarios!$A$29:$A$35,1)+1,7))-INDEX(Report_Scenarios!$C$29:$C$35,MATCH(MEDIAN($B27-Conversion!$B$16,2020,2050),Report_Scenarios!$A$29:$A$35,1)))*(MEDIAN($B27-Conversion!$B$16,2020,2050)-INDEX(Report_Scenarios!$A$29:$A$35,MATCH(MEDIAN($B27-Conversion!$B$16,2020,2050),Report_Scenarios!$A$29:$A$35,1)))/(INDEX(Report_Scenarios!$A$29:$A$35,MIN(MATCH(MEDIAN($B27-Conversion!$B$16,2020,2050),Report_Scenarios!$A$29:$A$35,1)+1,7))-INDEX(Report_Scenarios!$A$29:$A$35,MATCH(MEDIAN($B27-Conversion!$B$16,2020,2050),Report_Scenarios!$A$29:$A$35,1))))))</f>
        <v/>
      </c>
      <c r="G27" s="23">
        <f>IF($D27="Conservative",IF(INDEX(Report_Scenarios!$A$7:$A$13,MIN(MATCH(MEDIAN($B27-Conversion!$B$16,2020,2050),Report_Scenarios!$A$7:$A$13,1)+1,7))=INDEX(Report_Scenarios!$A$7:$A$13,MATCH(MEDIAN($B27-Conversion!$B$16,2020,2050),Report_Scenarios!$A$7:$A$13,1)),INDEX(Report_Scenarios!$D$7:$D$13,MATCH(MEDIAN($B27-Conversion!$B$16,2020,2050),Report_Scenarios!$A$7:$A$13,1)),INDEX(Report_Scenarios!$D$7:$D$13,MATCH(MEDIAN($B27-Conversion!$B$16,2020,2050),Report_Scenarios!$A$7:$A$13,1))+(INDEX(Report_Scenarios!$D$7:$D$13,MIN(MATCH(MEDIAN($B27-Conversion!$B$16,2020,2050),Report_Scenarios!$A$7:$A$13,1)+1,7))-INDEX(Report_Scenarios!$D$7:$D$13,MATCH(MEDIAN($B27-Conversion!$B$16,2020,2050),Report_Scenarios!$A$7:$A$13,1)))*(MEDIAN($B27-Conversion!$B$16,2020,2050)-INDEX(Report_Scenarios!$A$7:$A$13,MATCH(MEDIAN($B27-Conversion!$B$16,2020,2050),Report_Scenarios!$A$7:$A$13,1)))/(INDEX(Report_Scenarios!$A$7:$A$13,MIN(MATCH(MEDIAN($B27-Conversion!$B$16,2020,2050),Report_Scenarios!$A$7:$A$13,1)+1,7))-INDEX(Report_Scenarios!$A$7:$A$13,MATCH(MEDIAN($B27-Conversion!$B$16,2020,2050),Report_Scenarios!$A$7:$A$13,1)))),IF($D27="Central",IF(INDEX(Report_Scenarios!$A$18:$A$24,MIN(MATCH(MEDIAN($B27-Conversion!$B$16,2020,2050),Report_Scenarios!$A$18:$A$24,1)+1,7))=INDEX(Report_Scenarios!$A$18:$A$24,MATCH(MEDIAN($B27-Conversion!$B$16,2020,2050),Report_Scenarios!$A$18:$A$24,1)),INDEX(Report_Scenarios!$D$18:$D$24,MATCH(MEDIAN($B27-Conversion!$B$16,2020,2050),Report_Scenarios!$A$18:$A$24,1)),INDEX(Report_Scenarios!$D$18:$D$24,MATCH(MEDIAN($B27-Conversion!$B$16,2020,2050),Report_Scenarios!$A$18:$A$24,1))+(INDEX(Report_Scenarios!$D$18:$D$24,MIN(MATCH(MEDIAN($B27-Conversion!$B$16,2020,2050),Report_Scenarios!$A$18:$A$24,1)+1,7))-INDEX(Report_Scenarios!$D$18:$D$24,MATCH(MEDIAN($B27-Conversion!$B$16,2020,2050),Report_Scenarios!$A$18:$A$24,1)))*(MEDIAN($B27-Conversion!$B$16,2020,2050)-INDEX(Report_Scenarios!$A$18:$A$24,MATCH(MEDIAN($B27-Conversion!$B$16,2020,2050),Report_Scenarios!$A$18:$A$24,1)))/(INDEX(Report_Scenarios!$A$18:$A$24,MIN(MATCH(MEDIAN($B27-Conversion!$B$16,2020,2050),Report_Scenarios!$A$18:$A$24,1)+1,7))-INDEX(Report_Scenarios!$A$18:$A$24,MATCH(MEDIAN($B27-Conversion!$B$16,2020,2050),Report_Scenarios!$A$18:$A$24,1)))),IF(INDEX(Report_Scenarios!$A$29:$A$35,MIN(MATCH(MEDIAN($B27-Conversion!$B$16,2020,2050),Report_Scenarios!$A$29:$A$35,1)+1,7))=INDEX(Report_Scenarios!$A$29:$A$35,MATCH(MEDIAN($B27-Conversion!$B$16,2020,2050),Report_Scenarios!$A$29:$A$35,1)),INDEX(Report_Scenarios!$D$29:$D$35,MATCH(MEDIAN($B27-Conversion!$B$16,2020,2050),Report_Scenarios!$A$29:$A$35,1)),INDEX(Report_Scenarios!$D$29:$D$35,MATCH(MEDIAN($B27-Conversion!$B$16,2020,2050),Report_Scenarios!$A$29:$A$35,1))+(INDEX(Report_Scenarios!$D$29:$D$35,MIN(MATCH(MEDIAN($B27-Conversion!$B$16,2020,2050),Report_Scenarios!$A$29:$A$35,1)+1,7))-INDEX(Report_Scenarios!$D$29:$D$35,MATCH(MEDIAN($B27-Conversion!$B$16,2020,2050),Report_Scenarios!$A$29:$A$35,1)))*(MEDIAN($B27-Conversion!$B$16,2020,2050)-INDEX(Report_Scenarios!$A$29:$A$35,MATCH(MEDIAN($B27-Conversion!$B$16,2020,2050),Report_Scenarios!$A$29:$A$35,1)))/(INDEX(Report_Scenarios!$A$29:$A$35,MIN(MATCH(MEDIAN($B27-Conversion!$B$16,2020,2050),Report_Scenarios!$A$29:$A$35,1)+1,7))-INDEX(Report_Scenarios!$A$29:$A$35,MATCH(MEDIAN($B27-Conversion!$B$16,2020,2050),Report_Scenarios!$A$29:$A$35,1))))))</f>
        <v/>
      </c>
      <c r="H27" s="23">
        <f>IF($D27="Conservative",IF(INDEX(Report_Scenarios!$A$7:$A$13,MIN(MATCH(MEDIAN($B27-Conversion!$B$16,2020,2050),Report_Scenarios!$A$7:$A$13,1)+1,7))=INDEX(Report_Scenarios!$A$7:$A$13,MATCH(MEDIAN($B27-Conversion!$B$16,2020,2050),Report_Scenarios!$A$7:$A$13,1)),INDEX(Report_Scenarios!$E$7:$E$13,MATCH(MEDIAN($B27-Conversion!$B$16,2020,2050),Report_Scenarios!$A$7:$A$13,1)),INDEX(Report_Scenarios!$E$7:$E$13,MATCH(MEDIAN($B27-Conversion!$B$16,2020,2050),Report_Scenarios!$A$7:$A$13,1))+(INDEX(Report_Scenarios!$E$7:$E$13,MIN(MATCH(MEDIAN($B27-Conversion!$B$16,2020,2050),Report_Scenarios!$A$7:$A$13,1)+1,7))-INDEX(Report_Scenarios!$E$7:$E$13,MATCH(MEDIAN($B27-Conversion!$B$16,2020,2050),Report_Scenarios!$A$7:$A$13,1)))*(MEDIAN($B27-Conversion!$B$16,2020,2050)-INDEX(Report_Scenarios!$A$7:$A$13,MATCH(MEDIAN($B27-Conversion!$B$16,2020,2050),Report_Scenarios!$A$7:$A$13,1)))/(INDEX(Report_Scenarios!$A$7:$A$13,MIN(MATCH(MEDIAN($B27-Conversion!$B$16,2020,2050),Report_Scenarios!$A$7:$A$13,1)+1,7))-INDEX(Report_Scenarios!$A$7:$A$13,MATCH(MEDIAN($B27-Conversion!$B$16,2020,2050),Report_Scenarios!$A$7:$A$13,1)))),IF($D27="Central",IF(INDEX(Report_Scenarios!$A$18:$A$24,MIN(MATCH(MEDIAN($B27-Conversion!$B$16,2020,2050),Report_Scenarios!$A$18:$A$24,1)+1,7))=INDEX(Report_Scenarios!$A$18:$A$24,MATCH(MEDIAN($B27-Conversion!$B$16,2020,2050),Report_Scenarios!$A$18:$A$24,1)),INDEX(Report_Scenarios!$E$18:$E$24,MATCH(MEDIAN($B27-Conversion!$B$16,2020,2050),Report_Scenarios!$A$18:$A$24,1)),INDEX(Report_Scenarios!$E$18:$E$24,MATCH(MEDIAN($B27-Conversion!$B$16,2020,2050),Report_Scenarios!$A$18:$A$24,1))+(INDEX(Report_Scenarios!$E$18:$E$24,MIN(MATCH(MEDIAN($B27-Conversion!$B$16,2020,2050),Report_Scenarios!$A$18:$A$24,1)+1,7))-INDEX(Report_Scenarios!$E$18:$E$24,MATCH(MEDIAN($B27-Conversion!$B$16,2020,2050),Report_Scenarios!$A$18:$A$24,1)))*(MEDIAN($B27-Conversion!$B$16,2020,2050)-INDEX(Report_Scenarios!$A$18:$A$24,MATCH(MEDIAN($B27-Conversion!$B$16,2020,2050),Report_Scenarios!$A$18:$A$24,1)))/(INDEX(Report_Scenarios!$A$18:$A$24,MIN(MATCH(MEDIAN($B27-Conversion!$B$16,2020,2050),Report_Scenarios!$A$18:$A$24,1)+1,7))-INDEX(Report_Scenarios!$A$18:$A$24,MATCH(MEDIAN($B27-Conversion!$B$16,2020,2050),Report_Scenarios!$A$18:$A$24,1)))),IF(INDEX(Report_Scenarios!$A$29:$A$35,MIN(MATCH(MEDIAN($B27-Conversion!$B$16,2020,2050),Report_Scenarios!$A$29:$A$35,1)+1,7))=INDEX(Report_Scenarios!$A$29:$A$35,MATCH(MEDIAN($B27-Conversion!$B$16,2020,2050),Report_Scenarios!$A$29:$A$35,1)),INDEX(Report_Scenarios!$E$29:$E$35,MATCH(MEDIAN($B27-Conversion!$B$16,2020,2050),Report_Scenarios!$A$29:$A$35,1)),INDEX(Report_Scenarios!$E$29:$E$35,MATCH(MEDIAN($B27-Conversion!$B$16,2020,2050),Report_Scenarios!$A$29:$A$35,1))+(INDEX(Report_Scenarios!$E$29:$E$35,MIN(MATCH(MEDIAN($B27-Conversion!$B$16,2020,2050),Report_Scenarios!$A$29:$A$35,1)+1,7))-INDEX(Report_Scenarios!$E$29:$E$35,MATCH(MEDIAN($B27-Conversion!$B$16,2020,2050),Report_Scenarios!$A$29:$A$35,1)))*(MEDIAN($B27-Conversion!$B$16,2020,2050)-INDEX(Report_Scenarios!$A$29:$A$35,MATCH(MEDIAN($B27-Conversion!$B$16,2020,2050),Report_Scenarios!$A$29:$A$35,1)))/(INDEX(Report_Scenarios!$A$29:$A$35,MIN(MATCH(MEDIAN($B27-Conversion!$B$16,2020,2050),Report_Scenarios!$A$29:$A$35,1)+1,7))-INDEX(Report_Scenarios!$A$29:$A$35,MATCH(MEDIAN($B27-Conversion!$B$16,2020,2050),Report_Scenarios!$A$29:$A$35,1))))))</f>
        <v/>
      </c>
      <c r="I27" s="23">
        <f>IF($D27="Conservative",IF(INDEX(Report_Scenarios!$A$7:$A$13,MIN(MATCH(MEDIAN($B27-Conversion!$B$16,2020,2050),Report_Scenarios!$A$7:$A$13,1)+1,7))=INDEX(Report_Scenarios!$A$7:$A$13,MATCH(MEDIAN($B27-Conversion!$B$16,2020,2050),Report_Scenarios!$A$7:$A$13,1)),INDEX(Report_Scenarios!$F$7:$F$13,MATCH(MEDIAN($B27-Conversion!$B$16,2020,2050),Report_Scenarios!$A$7:$A$13,1)),INDEX(Report_Scenarios!$F$7:$F$13,MATCH(MEDIAN($B27-Conversion!$B$16,2020,2050),Report_Scenarios!$A$7:$A$13,1))+(INDEX(Report_Scenarios!$F$7:$F$13,MIN(MATCH(MEDIAN($B27-Conversion!$B$16,2020,2050),Report_Scenarios!$A$7:$A$13,1)+1,7))-INDEX(Report_Scenarios!$F$7:$F$13,MATCH(MEDIAN($B27-Conversion!$B$16,2020,2050),Report_Scenarios!$A$7:$A$13,1)))*(MEDIAN($B27-Conversion!$B$16,2020,2050)-INDEX(Report_Scenarios!$A$7:$A$13,MATCH(MEDIAN($B27-Conversion!$B$16,2020,2050),Report_Scenarios!$A$7:$A$13,1)))/(INDEX(Report_Scenarios!$A$7:$A$13,MIN(MATCH(MEDIAN($B27-Conversion!$B$16,2020,2050),Report_Scenarios!$A$7:$A$13,1)+1,7))-INDEX(Report_Scenarios!$A$7:$A$13,MATCH(MEDIAN($B27-Conversion!$B$16,2020,2050),Report_Scenarios!$A$7:$A$13,1)))),IF($D27="Central",IF(INDEX(Report_Scenarios!$A$18:$A$24,MIN(MATCH(MEDIAN($B27-Conversion!$B$16,2020,2050),Report_Scenarios!$A$18:$A$24,1)+1,7))=INDEX(Report_Scenarios!$A$18:$A$24,MATCH(MEDIAN($B27-Conversion!$B$16,2020,2050),Report_Scenarios!$A$18:$A$24,1)),INDEX(Report_Scenarios!$F$18:$F$24,MATCH(MEDIAN($B27-Conversion!$B$16,2020,2050),Report_Scenarios!$A$18:$A$24,1)),INDEX(Report_Scenarios!$F$18:$F$24,MATCH(MEDIAN($B27-Conversion!$B$16,2020,2050),Report_Scenarios!$A$18:$A$24,1))+(INDEX(Report_Scenarios!$F$18:$F$24,MIN(MATCH(MEDIAN($B27-Conversion!$B$16,2020,2050),Report_Scenarios!$A$18:$A$24,1)+1,7))-INDEX(Report_Scenarios!$F$18:$F$24,MATCH(MEDIAN($B27-Conversion!$B$16,2020,2050),Report_Scenarios!$A$18:$A$24,1)))*(MEDIAN($B27-Conversion!$B$16,2020,2050)-INDEX(Report_Scenarios!$A$18:$A$24,MATCH(MEDIAN($B27-Conversion!$B$16,2020,2050),Report_Scenarios!$A$18:$A$24,1)))/(INDEX(Report_Scenarios!$A$18:$A$24,MIN(MATCH(MEDIAN($B27-Conversion!$B$16,2020,2050),Report_Scenarios!$A$18:$A$24,1)+1,7))-INDEX(Report_Scenarios!$A$18:$A$24,MATCH(MEDIAN($B27-Conversion!$B$16,2020,2050),Report_Scenarios!$A$18:$A$24,1)))),IF(INDEX(Report_Scenarios!$A$29:$A$35,MIN(MATCH(MEDIAN($B27-Conversion!$B$16,2020,2050),Report_Scenarios!$A$29:$A$35,1)+1,7))=INDEX(Report_Scenarios!$A$29:$A$35,MATCH(MEDIAN($B27-Conversion!$B$16,2020,2050),Report_Scenarios!$A$29:$A$35,1)),INDEX(Report_Scenarios!$F$29:$F$35,MATCH(MEDIAN($B27-Conversion!$B$16,2020,2050),Report_Scenarios!$A$29:$A$35,1)),INDEX(Report_Scenarios!$F$29:$F$35,MATCH(MEDIAN($B27-Conversion!$B$16,2020,2050),Report_Scenarios!$A$29:$A$35,1))+(INDEX(Report_Scenarios!$F$29:$F$35,MIN(MATCH(MEDIAN($B27-Conversion!$B$16,2020,2050),Report_Scenarios!$A$29:$A$35,1)+1,7))-INDEX(Report_Scenarios!$F$29:$F$35,MATCH(MEDIAN($B27-Conversion!$B$16,2020,2050),Report_Scenarios!$A$29:$A$35,1)))*(MEDIAN($B27-Conversion!$B$16,2020,2050)-INDEX(Report_Scenarios!$A$29:$A$35,MATCH(MEDIAN($B27-Conversion!$B$16,2020,2050),Report_Scenarios!$A$29:$A$35,1)))/(INDEX(Report_Scenarios!$A$29:$A$35,MIN(MATCH(MEDIAN($B27-Conversion!$B$16,2020,2050),Report_Scenarios!$A$29:$A$35,1)+1,7))-INDEX(Report_Scenarios!$A$29:$A$35,MATCH(MEDIAN($B27-Conversion!$B$16,2020,2050),Report_Scenarios!$A$29:$A$35,1))))))</f>
        <v/>
      </c>
      <c r="J27" s="23">
        <f>IF($D27="Conservative",IF(INDEX(Report_Scenarios!$A$7:$A$13,MIN(MATCH(MEDIAN($B27-Conversion!$B$16,2020,2050),Report_Scenarios!$A$7:$A$13,1)+1,7))=INDEX(Report_Scenarios!$A$7:$A$13,MATCH(MEDIAN($B27-Conversion!$B$16,2020,2050),Report_Scenarios!$A$7:$A$13,1)),INDEX(Report_Scenarios!$G$7:$G$13,MATCH(MEDIAN($B27-Conversion!$B$16,2020,2050),Report_Scenarios!$A$7:$A$13,1)),INDEX(Report_Scenarios!$G$7:$G$13,MATCH(MEDIAN($B27-Conversion!$B$16,2020,2050),Report_Scenarios!$A$7:$A$13,1))+(INDEX(Report_Scenarios!$G$7:$G$13,MIN(MATCH(MEDIAN($B27-Conversion!$B$16,2020,2050),Report_Scenarios!$A$7:$A$13,1)+1,7))-INDEX(Report_Scenarios!$G$7:$G$13,MATCH(MEDIAN($B27-Conversion!$B$16,2020,2050),Report_Scenarios!$A$7:$A$13,1)))*(MEDIAN($B27-Conversion!$B$16,2020,2050)-INDEX(Report_Scenarios!$A$7:$A$13,MATCH(MEDIAN($B27-Conversion!$B$16,2020,2050),Report_Scenarios!$A$7:$A$13,1)))/(INDEX(Report_Scenarios!$A$7:$A$13,MIN(MATCH(MEDIAN($B27-Conversion!$B$16,2020,2050),Report_Scenarios!$A$7:$A$13,1)+1,7))-INDEX(Report_Scenarios!$A$7:$A$13,MATCH(MEDIAN($B27-Conversion!$B$16,2020,2050),Report_Scenarios!$A$7:$A$13,1)))),IF($D27="Central",IF(INDEX(Report_Scenarios!$A$18:$A$24,MIN(MATCH(MEDIAN($B27-Conversion!$B$16,2020,2050),Report_Scenarios!$A$18:$A$24,1)+1,7))=INDEX(Report_Scenarios!$A$18:$A$24,MATCH(MEDIAN($B27-Conversion!$B$16,2020,2050),Report_Scenarios!$A$18:$A$24,1)),INDEX(Report_Scenarios!$G$18:$G$24,MATCH(MEDIAN($B27-Conversion!$B$16,2020,2050),Report_Scenarios!$A$18:$A$24,1)),INDEX(Report_Scenarios!$G$18:$G$24,MATCH(MEDIAN($B27-Conversion!$B$16,2020,2050),Report_Scenarios!$A$18:$A$24,1))+(INDEX(Report_Scenarios!$G$18:$G$24,MIN(MATCH(MEDIAN($B27-Conversion!$B$16,2020,2050),Report_Scenarios!$A$18:$A$24,1)+1,7))-INDEX(Report_Scenarios!$G$18:$G$24,MATCH(MEDIAN($B27-Conversion!$B$16,2020,2050),Report_Scenarios!$A$18:$A$24,1)))*(MEDIAN($B27-Conversion!$B$16,2020,2050)-INDEX(Report_Scenarios!$A$18:$A$24,MATCH(MEDIAN($B27-Conversion!$B$16,2020,2050),Report_Scenarios!$A$18:$A$24,1)))/(INDEX(Report_Scenarios!$A$18:$A$24,MIN(MATCH(MEDIAN($B27-Conversion!$B$16,2020,2050),Report_Scenarios!$A$18:$A$24,1)+1,7))-INDEX(Report_Scenarios!$A$18:$A$24,MATCH(MEDIAN($B27-Conversion!$B$16,2020,2050),Report_Scenarios!$A$18:$A$24,1)))),IF(INDEX(Report_Scenarios!$A$29:$A$35,MIN(MATCH(MEDIAN($B27-Conversion!$B$16,2020,2050),Report_Scenarios!$A$29:$A$35,1)+1,7))=INDEX(Report_Scenarios!$A$29:$A$35,MATCH(MEDIAN($B27-Conversion!$B$16,2020,2050),Report_Scenarios!$A$29:$A$35,1)),INDEX(Report_Scenarios!$G$29:$G$35,MATCH(MEDIAN($B27-Conversion!$B$16,2020,2050),Report_Scenarios!$A$29:$A$35,1)),INDEX(Report_Scenarios!$G$29:$G$35,MATCH(MEDIAN($B27-Conversion!$B$16,2020,2050),Report_Scenarios!$A$29:$A$35,1))+(INDEX(Report_Scenarios!$G$29:$G$35,MIN(MATCH(MEDIAN($B27-Conversion!$B$16,2020,2050),Report_Scenarios!$A$29:$A$35,1)+1,7))-INDEX(Report_Scenarios!$G$29:$G$35,MATCH(MEDIAN($B27-Conversion!$B$16,2020,2050),Report_Scenarios!$A$29:$A$35,1)))*(MEDIAN($B27-Conversion!$B$16,2020,2050)-INDEX(Report_Scenarios!$A$29:$A$35,MATCH(MEDIAN($B27-Conversion!$B$16,2020,2050),Report_Scenarios!$A$29:$A$35,1)))/(INDEX(Report_Scenarios!$A$29:$A$35,MIN(MATCH(MEDIAN($B27-Conversion!$B$16,2020,2050),Report_Scenarios!$A$29:$A$35,1)+1,7))-INDEX(Report_Scenarios!$A$29:$A$35,MATCH(MEDIAN($B27-Conversion!$B$16,2020,2050),Report_Scenarios!$A$29:$A$35,1))))))</f>
        <v/>
      </c>
      <c r="K27" s="23">
        <f>SUM(E27:J27)</f>
        <v/>
      </c>
      <c r="L27" s="23">
        <f>IF(R27&lt;&gt;"",R27,IF($K27=0,0,E27/$K27))</f>
        <v/>
      </c>
      <c r="M27" s="23">
        <f>IF(S27&lt;&gt;"",S27,IF($K27=0,0,F27/$K27))</f>
        <v/>
      </c>
      <c r="N27" s="23">
        <f>IF(T27&lt;&gt;"",T27,IF($K27=0,0,G27/$K27))</f>
        <v/>
      </c>
      <c r="O27" s="23">
        <f>IF(U27&lt;&gt;"",U27,IF($K27=0,0,H27/$K27))</f>
        <v/>
      </c>
      <c r="P27" s="23">
        <f>IF(V27&lt;&gt;"",V27,IF($K27=0,0,I27/$K27))</f>
        <v/>
      </c>
      <c r="Q27" s="23">
        <f>IF(W27&lt;&gt;"",W27,IF($K27=0,0,J27/$K27))</f>
        <v/>
      </c>
      <c r="R27" s="24" t="n"/>
      <c r="S27" s="24" t="n"/>
      <c r="T27" s="24" t="n"/>
      <c r="U27" s="24" t="n"/>
      <c r="V27" s="24" t="n"/>
      <c r="W27" s="24" t="n"/>
    </row>
    <row r="28">
      <c r="A28" s="4" t="inlineStr">
        <is>
          <t>AB</t>
        </is>
      </c>
      <c r="B28" s="4" t="n">
        <v>2055</v>
      </c>
      <c r="C28" s="4" t="inlineStr">
        <is>
          <t>Share_Max</t>
        </is>
      </c>
      <c r="D28" s="4">
        <f>Conversion!$B$20</f>
        <v/>
      </c>
      <c r="E28" s="23">
        <f>IF($D28="Conservative",IF(INDEX(Report_Scenarios!$A$7:$A$13,MIN(MATCH(MEDIAN($B28-Conversion!$B$16,2020,2050),Report_Scenarios!$A$7:$A$13,1)+1,7))=INDEX(Report_Scenarios!$A$7:$A$13,MATCH(MEDIAN($B28-Conversion!$B$16,2020,2050),Report_Scenarios!$A$7:$A$13,1)),INDEX(Report_Scenarios!$B$7:$B$13,MATCH(MEDIAN($B28-Conversion!$B$16,2020,2050),Report_Scenarios!$A$7:$A$13,1)),INDEX(Report_Scenarios!$B$7:$B$13,MATCH(MEDIAN($B28-Conversion!$B$16,2020,2050),Report_Scenarios!$A$7:$A$13,1))+(INDEX(Report_Scenarios!$B$7:$B$13,MIN(MATCH(MEDIAN($B28-Conversion!$B$16,2020,2050),Report_Scenarios!$A$7:$A$13,1)+1,7))-INDEX(Report_Scenarios!$B$7:$B$13,MATCH(MEDIAN($B28-Conversion!$B$16,2020,2050),Report_Scenarios!$A$7:$A$13,1)))*(MEDIAN($B28-Conversion!$B$16,2020,2050)-INDEX(Report_Scenarios!$A$7:$A$13,MATCH(MEDIAN($B28-Conversion!$B$16,2020,2050),Report_Scenarios!$A$7:$A$13,1)))/(INDEX(Report_Scenarios!$A$7:$A$13,MIN(MATCH(MEDIAN($B28-Conversion!$B$16,2020,2050),Report_Scenarios!$A$7:$A$13,1)+1,7))-INDEX(Report_Scenarios!$A$7:$A$13,MATCH(MEDIAN($B28-Conversion!$B$16,2020,2050),Report_Scenarios!$A$7:$A$13,1)))),IF($D28="Central",IF(INDEX(Report_Scenarios!$A$18:$A$24,MIN(MATCH(MEDIAN($B28-Conversion!$B$16,2020,2050),Report_Scenarios!$A$18:$A$24,1)+1,7))=INDEX(Report_Scenarios!$A$18:$A$24,MATCH(MEDIAN($B28-Conversion!$B$16,2020,2050),Report_Scenarios!$A$18:$A$24,1)),INDEX(Report_Scenarios!$B$18:$B$24,MATCH(MEDIAN($B28-Conversion!$B$16,2020,2050),Report_Scenarios!$A$18:$A$24,1)),INDEX(Report_Scenarios!$B$18:$B$24,MATCH(MEDIAN($B28-Conversion!$B$16,2020,2050),Report_Scenarios!$A$18:$A$24,1))+(INDEX(Report_Scenarios!$B$18:$B$24,MIN(MATCH(MEDIAN($B28-Conversion!$B$16,2020,2050),Report_Scenarios!$A$18:$A$24,1)+1,7))-INDEX(Report_Scenarios!$B$18:$B$24,MATCH(MEDIAN($B28-Conversion!$B$16,2020,2050),Report_Scenarios!$A$18:$A$24,1)))*(MEDIAN($B28-Conversion!$B$16,2020,2050)-INDEX(Report_Scenarios!$A$18:$A$24,MATCH(MEDIAN($B28-Conversion!$B$16,2020,2050),Report_Scenarios!$A$18:$A$24,1)))/(INDEX(Report_Scenarios!$A$18:$A$24,MIN(MATCH(MEDIAN($B28-Conversion!$B$16,2020,2050),Report_Scenarios!$A$18:$A$24,1)+1,7))-INDEX(Report_Scenarios!$A$18:$A$24,MATCH(MEDIAN($B28-Conversion!$B$16,2020,2050),Report_Scenarios!$A$18:$A$24,1)))),IF(INDEX(Report_Scenarios!$A$29:$A$35,MIN(MATCH(MEDIAN($B28-Conversion!$B$16,2020,2050),Report_Scenarios!$A$29:$A$35,1)+1,7))=INDEX(Report_Scenarios!$A$29:$A$35,MATCH(MEDIAN($B28-Conversion!$B$16,2020,2050),Report_Scenarios!$A$29:$A$35,1)),INDEX(Report_Scenarios!$B$29:$B$35,MATCH(MEDIAN($B28-Conversion!$B$16,2020,2050),Report_Scenarios!$A$29:$A$35,1)),INDEX(Report_Scenarios!$B$29:$B$35,MATCH(MEDIAN($B28-Conversion!$B$16,2020,2050),Report_Scenarios!$A$29:$A$35,1))+(INDEX(Report_Scenarios!$B$29:$B$35,MIN(MATCH(MEDIAN($B28-Conversion!$B$16,2020,2050),Report_Scenarios!$A$29:$A$35,1)+1,7))-INDEX(Report_Scenarios!$B$29:$B$35,MATCH(MEDIAN($B28-Conversion!$B$16,2020,2050),Report_Scenarios!$A$29:$A$35,1)))*(MEDIAN($B28-Conversion!$B$16,2020,2050)-INDEX(Report_Scenarios!$A$29:$A$35,MATCH(MEDIAN($B28-Conversion!$B$16,2020,2050),Report_Scenarios!$A$29:$A$35,1)))/(INDEX(Report_Scenarios!$A$29:$A$35,MIN(MATCH(MEDIAN($B28-Conversion!$B$16,2020,2050),Report_Scenarios!$A$29:$A$35,1)+1,7))-INDEX(Report_Scenarios!$A$29:$A$35,MATCH(MEDIAN($B28-Conversion!$B$16,2020,2050),Report_Scenarios!$A$29:$A$35,1))))))</f>
        <v/>
      </c>
      <c r="F28" s="23">
        <f>IF($D28="Conservative",IF(INDEX(Report_Scenarios!$A$7:$A$13,MIN(MATCH(MEDIAN($B28-Conversion!$B$16,2020,2050),Report_Scenarios!$A$7:$A$13,1)+1,7))=INDEX(Report_Scenarios!$A$7:$A$13,MATCH(MEDIAN($B28-Conversion!$B$16,2020,2050),Report_Scenarios!$A$7:$A$13,1)),INDEX(Report_Scenarios!$C$7:$C$13,MATCH(MEDIAN($B28-Conversion!$B$16,2020,2050),Report_Scenarios!$A$7:$A$13,1)),INDEX(Report_Scenarios!$C$7:$C$13,MATCH(MEDIAN($B28-Conversion!$B$16,2020,2050),Report_Scenarios!$A$7:$A$13,1))+(INDEX(Report_Scenarios!$C$7:$C$13,MIN(MATCH(MEDIAN($B28-Conversion!$B$16,2020,2050),Report_Scenarios!$A$7:$A$13,1)+1,7))-INDEX(Report_Scenarios!$C$7:$C$13,MATCH(MEDIAN($B28-Conversion!$B$16,2020,2050),Report_Scenarios!$A$7:$A$13,1)))*(MEDIAN($B28-Conversion!$B$16,2020,2050)-INDEX(Report_Scenarios!$A$7:$A$13,MATCH(MEDIAN($B28-Conversion!$B$16,2020,2050),Report_Scenarios!$A$7:$A$13,1)))/(INDEX(Report_Scenarios!$A$7:$A$13,MIN(MATCH(MEDIAN($B28-Conversion!$B$16,2020,2050),Report_Scenarios!$A$7:$A$13,1)+1,7))-INDEX(Report_Scenarios!$A$7:$A$13,MATCH(MEDIAN($B28-Conversion!$B$16,2020,2050),Report_Scenarios!$A$7:$A$13,1)))),IF($D28="Central",IF(INDEX(Report_Scenarios!$A$18:$A$24,MIN(MATCH(MEDIAN($B28-Conversion!$B$16,2020,2050),Report_Scenarios!$A$18:$A$24,1)+1,7))=INDEX(Report_Scenarios!$A$18:$A$24,MATCH(MEDIAN($B28-Conversion!$B$16,2020,2050),Report_Scenarios!$A$18:$A$24,1)),INDEX(Report_Scenarios!$C$18:$C$24,MATCH(MEDIAN($B28-Conversion!$B$16,2020,2050),Report_Scenarios!$A$18:$A$24,1)),INDEX(Report_Scenarios!$C$18:$C$24,MATCH(MEDIAN($B28-Conversion!$B$16,2020,2050),Report_Scenarios!$A$18:$A$24,1))+(INDEX(Report_Scenarios!$C$18:$C$24,MIN(MATCH(MEDIAN($B28-Conversion!$B$16,2020,2050),Report_Scenarios!$A$18:$A$24,1)+1,7))-INDEX(Report_Scenarios!$C$18:$C$24,MATCH(MEDIAN($B28-Conversion!$B$16,2020,2050),Report_Scenarios!$A$18:$A$24,1)))*(MEDIAN($B28-Conversion!$B$16,2020,2050)-INDEX(Report_Scenarios!$A$18:$A$24,MATCH(MEDIAN($B28-Conversion!$B$16,2020,2050),Report_Scenarios!$A$18:$A$24,1)))/(INDEX(Report_Scenarios!$A$18:$A$24,MIN(MATCH(MEDIAN($B28-Conversion!$B$16,2020,2050),Report_Scenarios!$A$18:$A$24,1)+1,7))-INDEX(Report_Scenarios!$A$18:$A$24,MATCH(MEDIAN($B28-Conversion!$B$16,2020,2050),Report_Scenarios!$A$18:$A$24,1)))),IF(INDEX(Report_Scenarios!$A$29:$A$35,MIN(MATCH(MEDIAN($B28-Conversion!$B$16,2020,2050),Report_Scenarios!$A$29:$A$35,1)+1,7))=INDEX(Report_Scenarios!$A$29:$A$35,MATCH(MEDIAN($B28-Conversion!$B$16,2020,2050),Report_Scenarios!$A$29:$A$35,1)),INDEX(Report_Scenarios!$C$29:$C$35,MATCH(MEDIAN($B28-Conversion!$B$16,2020,2050),Report_Scenarios!$A$29:$A$35,1)),INDEX(Report_Scenarios!$C$29:$C$35,MATCH(MEDIAN($B28-Conversion!$B$16,2020,2050),Report_Scenarios!$A$29:$A$35,1))+(INDEX(Report_Scenarios!$C$29:$C$35,MIN(MATCH(MEDIAN($B28-Conversion!$B$16,2020,2050),Report_Scenarios!$A$29:$A$35,1)+1,7))-INDEX(Report_Scenarios!$C$29:$C$35,MATCH(MEDIAN($B28-Conversion!$B$16,2020,2050),Report_Scenarios!$A$29:$A$35,1)))*(MEDIAN($B28-Conversion!$B$16,2020,2050)-INDEX(Report_Scenarios!$A$29:$A$35,MATCH(MEDIAN($B28-Conversion!$B$16,2020,2050),Report_Scenarios!$A$29:$A$35,1)))/(INDEX(Report_Scenarios!$A$29:$A$35,MIN(MATCH(MEDIAN($B28-Conversion!$B$16,2020,2050),Report_Scenarios!$A$29:$A$35,1)+1,7))-INDEX(Report_Scenarios!$A$29:$A$35,MATCH(MEDIAN($B28-Conversion!$B$16,2020,2050),Report_Scenarios!$A$29:$A$35,1))))))</f>
        <v/>
      </c>
      <c r="G28" s="23">
        <f>IF($D28="Conservative",IF(INDEX(Report_Scenarios!$A$7:$A$13,MIN(MATCH(MEDIAN($B28-Conversion!$B$16,2020,2050),Report_Scenarios!$A$7:$A$13,1)+1,7))=INDEX(Report_Scenarios!$A$7:$A$13,MATCH(MEDIAN($B28-Conversion!$B$16,2020,2050),Report_Scenarios!$A$7:$A$13,1)),INDEX(Report_Scenarios!$D$7:$D$13,MATCH(MEDIAN($B28-Conversion!$B$16,2020,2050),Report_Scenarios!$A$7:$A$13,1)),INDEX(Report_Scenarios!$D$7:$D$13,MATCH(MEDIAN($B28-Conversion!$B$16,2020,2050),Report_Scenarios!$A$7:$A$13,1))+(INDEX(Report_Scenarios!$D$7:$D$13,MIN(MATCH(MEDIAN($B28-Conversion!$B$16,2020,2050),Report_Scenarios!$A$7:$A$13,1)+1,7))-INDEX(Report_Scenarios!$D$7:$D$13,MATCH(MEDIAN($B28-Conversion!$B$16,2020,2050),Report_Scenarios!$A$7:$A$13,1)))*(MEDIAN($B28-Conversion!$B$16,2020,2050)-INDEX(Report_Scenarios!$A$7:$A$13,MATCH(MEDIAN($B28-Conversion!$B$16,2020,2050),Report_Scenarios!$A$7:$A$13,1)))/(INDEX(Report_Scenarios!$A$7:$A$13,MIN(MATCH(MEDIAN($B28-Conversion!$B$16,2020,2050),Report_Scenarios!$A$7:$A$13,1)+1,7))-INDEX(Report_Scenarios!$A$7:$A$13,MATCH(MEDIAN($B28-Conversion!$B$16,2020,2050),Report_Scenarios!$A$7:$A$13,1)))),IF($D28="Central",IF(INDEX(Report_Scenarios!$A$18:$A$24,MIN(MATCH(MEDIAN($B28-Conversion!$B$16,2020,2050),Report_Scenarios!$A$18:$A$24,1)+1,7))=INDEX(Report_Scenarios!$A$18:$A$24,MATCH(MEDIAN($B28-Conversion!$B$16,2020,2050),Report_Scenarios!$A$18:$A$24,1)),INDEX(Report_Scenarios!$D$18:$D$24,MATCH(MEDIAN($B28-Conversion!$B$16,2020,2050),Report_Scenarios!$A$18:$A$24,1)),INDEX(Report_Scenarios!$D$18:$D$24,MATCH(MEDIAN($B28-Conversion!$B$16,2020,2050),Report_Scenarios!$A$18:$A$24,1))+(INDEX(Report_Scenarios!$D$18:$D$24,MIN(MATCH(MEDIAN($B28-Conversion!$B$16,2020,2050),Report_Scenarios!$A$18:$A$24,1)+1,7))-INDEX(Report_Scenarios!$D$18:$D$24,MATCH(MEDIAN($B28-Conversion!$B$16,2020,2050),Report_Scenarios!$A$18:$A$24,1)))*(MEDIAN($B28-Conversion!$B$16,2020,2050)-INDEX(Report_Scenarios!$A$18:$A$24,MATCH(MEDIAN($B28-Conversion!$B$16,2020,2050),Report_Scenarios!$A$18:$A$24,1)))/(INDEX(Report_Scenarios!$A$18:$A$24,MIN(MATCH(MEDIAN($B28-Conversion!$B$16,2020,2050),Report_Scenarios!$A$18:$A$24,1)+1,7))-INDEX(Report_Scenarios!$A$18:$A$24,MATCH(MEDIAN($B28-Conversion!$B$16,2020,2050),Report_Scenarios!$A$18:$A$24,1)))),IF(INDEX(Report_Scenarios!$A$29:$A$35,MIN(MATCH(MEDIAN($B28-Conversion!$B$16,2020,2050),Report_Scenarios!$A$29:$A$35,1)+1,7))=INDEX(Report_Scenarios!$A$29:$A$35,MATCH(MEDIAN($B28-Conversion!$B$16,2020,2050),Report_Scenarios!$A$29:$A$35,1)),INDEX(Report_Scenarios!$D$29:$D$35,MATCH(MEDIAN($B28-Conversion!$B$16,2020,2050),Report_Scenarios!$A$29:$A$35,1)),INDEX(Report_Scenarios!$D$29:$D$35,MATCH(MEDIAN($B28-Conversion!$B$16,2020,2050),Report_Scenarios!$A$29:$A$35,1))+(INDEX(Report_Scenarios!$D$29:$D$35,MIN(MATCH(MEDIAN($B28-Conversion!$B$16,2020,2050),Report_Scenarios!$A$29:$A$35,1)+1,7))-INDEX(Report_Scenarios!$D$29:$D$35,MATCH(MEDIAN($B28-Conversion!$B$16,2020,2050),Report_Scenarios!$A$29:$A$35,1)))*(MEDIAN($B28-Conversion!$B$16,2020,2050)-INDEX(Report_Scenarios!$A$29:$A$35,MATCH(MEDIAN($B28-Conversion!$B$16,2020,2050),Report_Scenarios!$A$29:$A$35,1)))/(INDEX(Report_Scenarios!$A$29:$A$35,MIN(MATCH(MEDIAN($B28-Conversion!$B$16,2020,2050),Report_Scenarios!$A$29:$A$35,1)+1,7))-INDEX(Report_Scenarios!$A$29:$A$35,MATCH(MEDIAN($B28-Conversion!$B$16,2020,2050),Report_Scenarios!$A$29:$A$35,1))))))</f>
        <v/>
      </c>
      <c r="H28" s="23">
        <f>IF($D28="Conservative",IF(INDEX(Report_Scenarios!$A$7:$A$13,MIN(MATCH(MEDIAN($B28-Conversion!$B$16,2020,2050),Report_Scenarios!$A$7:$A$13,1)+1,7))=INDEX(Report_Scenarios!$A$7:$A$13,MATCH(MEDIAN($B28-Conversion!$B$16,2020,2050),Report_Scenarios!$A$7:$A$13,1)),INDEX(Report_Scenarios!$E$7:$E$13,MATCH(MEDIAN($B28-Conversion!$B$16,2020,2050),Report_Scenarios!$A$7:$A$13,1)),INDEX(Report_Scenarios!$E$7:$E$13,MATCH(MEDIAN($B28-Conversion!$B$16,2020,2050),Report_Scenarios!$A$7:$A$13,1))+(INDEX(Report_Scenarios!$E$7:$E$13,MIN(MATCH(MEDIAN($B28-Conversion!$B$16,2020,2050),Report_Scenarios!$A$7:$A$13,1)+1,7))-INDEX(Report_Scenarios!$E$7:$E$13,MATCH(MEDIAN($B28-Conversion!$B$16,2020,2050),Report_Scenarios!$A$7:$A$13,1)))*(MEDIAN($B28-Conversion!$B$16,2020,2050)-INDEX(Report_Scenarios!$A$7:$A$13,MATCH(MEDIAN($B28-Conversion!$B$16,2020,2050),Report_Scenarios!$A$7:$A$13,1)))/(INDEX(Report_Scenarios!$A$7:$A$13,MIN(MATCH(MEDIAN($B28-Conversion!$B$16,2020,2050),Report_Scenarios!$A$7:$A$13,1)+1,7))-INDEX(Report_Scenarios!$A$7:$A$13,MATCH(MEDIAN($B28-Conversion!$B$16,2020,2050),Report_Scenarios!$A$7:$A$13,1)))),IF($D28="Central",IF(INDEX(Report_Scenarios!$A$18:$A$24,MIN(MATCH(MEDIAN($B28-Conversion!$B$16,2020,2050),Report_Scenarios!$A$18:$A$24,1)+1,7))=INDEX(Report_Scenarios!$A$18:$A$24,MATCH(MEDIAN($B28-Conversion!$B$16,2020,2050),Report_Scenarios!$A$18:$A$24,1)),INDEX(Report_Scenarios!$E$18:$E$24,MATCH(MEDIAN($B28-Conversion!$B$16,2020,2050),Report_Scenarios!$A$18:$A$24,1)),INDEX(Report_Scenarios!$E$18:$E$24,MATCH(MEDIAN($B28-Conversion!$B$16,2020,2050),Report_Scenarios!$A$18:$A$24,1))+(INDEX(Report_Scenarios!$E$18:$E$24,MIN(MATCH(MEDIAN($B28-Conversion!$B$16,2020,2050),Report_Scenarios!$A$18:$A$24,1)+1,7))-INDEX(Report_Scenarios!$E$18:$E$24,MATCH(MEDIAN($B28-Conversion!$B$16,2020,2050),Report_Scenarios!$A$18:$A$24,1)))*(MEDIAN($B28-Conversion!$B$16,2020,2050)-INDEX(Report_Scenarios!$A$18:$A$24,MATCH(MEDIAN($B28-Conversion!$B$16,2020,2050),Report_Scenarios!$A$18:$A$24,1)))/(INDEX(Report_Scenarios!$A$18:$A$24,MIN(MATCH(MEDIAN($B28-Conversion!$B$16,2020,2050),Report_Scenarios!$A$18:$A$24,1)+1,7))-INDEX(Report_Scenarios!$A$18:$A$24,MATCH(MEDIAN($B28-Conversion!$B$16,2020,2050),Report_Scenarios!$A$18:$A$24,1)))),IF(INDEX(Report_Scenarios!$A$29:$A$35,MIN(MATCH(MEDIAN($B28-Conversion!$B$16,2020,2050),Report_Scenarios!$A$29:$A$35,1)+1,7))=INDEX(Report_Scenarios!$A$29:$A$35,MATCH(MEDIAN($B28-Conversion!$B$16,2020,2050),Report_Scenarios!$A$29:$A$35,1)),INDEX(Report_Scenarios!$E$29:$E$35,MATCH(MEDIAN($B28-Conversion!$B$16,2020,2050),Report_Scenarios!$A$29:$A$35,1)),INDEX(Report_Scenarios!$E$29:$E$35,MATCH(MEDIAN($B28-Conversion!$B$16,2020,2050),Report_Scenarios!$A$29:$A$35,1))+(INDEX(Report_Scenarios!$E$29:$E$35,MIN(MATCH(MEDIAN($B28-Conversion!$B$16,2020,2050),Report_Scenarios!$A$29:$A$35,1)+1,7))-INDEX(Report_Scenarios!$E$29:$E$35,MATCH(MEDIAN($B28-Conversion!$B$16,2020,2050),Report_Scenarios!$A$29:$A$35,1)))*(MEDIAN($B28-Conversion!$B$16,2020,2050)-INDEX(Report_Scenarios!$A$29:$A$35,MATCH(MEDIAN($B28-Conversion!$B$16,2020,2050),Report_Scenarios!$A$29:$A$35,1)))/(INDEX(Report_Scenarios!$A$29:$A$35,MIN(MATCH(MEDIAN($B28-Conversion!$B$16,2020,2050),Report_Scenarios!$A$29:$A$35,1)+1,7))-INDEX(Report_Scenarios!$A$29:$A$35,MATCH(MEDIAN($B28-Conversion!$B$16,2020,2050),Report_Scenarios!$A$29:$A$35,1))))))</f>
        <v/>
      </c>
      <c r="I28" s="23">
        <f>IF($D28="Conservative",IF(INDEX(Report_Scenarios!$A$7:$A$13,MIN(MATCH(MEDIAN($B28-Conversion!$B$16,2020,2050),Report_Scenarios!$A$7:$A$13,1)+1,7))=INDEX(Report_Scenarios!$A$7:$A$13,MATCH(MEDIAN($B28-Conversion!$B$16,2020,2050),Report_Scenarios!$A$7:$A$13,1)),INDEX(Report_Scenarios!$F$7:$F$13,MATCH(MEDIAN($B28-Conversion!$B$16,2020,2050),Report_Scenarios!$A$7:$A$13,1)),INDEX(Report_Scenarios!$F$7:$F$13,MATCH(MEDIAN($B28-Conversion!$B$16,2020,2050),Report_Scenarios!$A$7:$A$13,1))+(INDEX(Report_Scenarios!$F$7:$F$13,MIN(MATCH(MEDIAN($B28-Conversion!$B$16,2020,2050),Report_Scenarios!$A$7:$A$13,1)+1,7))-INDEX(Report_Scenarios!$F$7:$F$13,MATCH(MEDIAN($B28-Conversion!$B$16,2020,2050),Report_Scenarios!$A$7:$A$13,1)))*(MEDIAN($B28-Conversion!$B$16,2020,2050)-INDEX(Report_Scenarios!$A$7:$A$13,MATCH(MEDIAN($B28-Conversion!$B$16,2020,2050),Report_Scenarios!$A$7:$A$13,1)))/(INDEX(Report_Scenarios!$A$7:$A$13,MIN(MATCH(MEDIAN($B28-Conversion!$B$16,2020,2050),Report_Scenarios!$A$7:$A$13,1)+1,7))-INDEX(Report_Scenarios!$A$7:$A$13,MATCH(MEDIAN($B28-Conversion!$B$16,2020,2050),Report_Scenarios!$A$7:$A$13,1)))),IF($D28="Central",IF(INDEX(Report_Scenarios!$A$18:$A$24,MIN(MATCH(MEDIAN($B28-Conversion!$B$16,2020,2050),Report_Scenarios!$A$18:$A$24,1)+1,7))=INDEX(Report_Scenarios!$A$18:$A$24,MATCH(MEDIAN($B28-Conversion!$B$16,2020,2050),Report_Scenarios!$A$18:$A$24,1)),INDEX(Report_Scenarios!$F$18:$F$24,MATCH(MEDIAN($B28-Conversion!$B$16,2020,2050),Report_Scenarios!$A$18:$A$24,1)),INDEX(Report_Scenarios!$F$18:$F$24,MATCH(MEDIAN($B28-Conversion!$B$16,2020,2050),Report_Scenarios!$A$18:$A$24,1))+(INDEX(Report_Scenarios!$F$18:$F$24,MIN(MATCH(MEDIAN($B28-Conversion!$B$16,2020,2050),Report_Scenarios!$A$18:$A$24,1)+1,7))-INDEX(Report_Scenarios!$F$18:$F$24,MATCH(MEDIAN($B28-Conversion!$B$16,2020,2050),Report_Scenarios!$A$18:$A$24,1)))*(MEDIAN($B28-Conversion!$B$16,2020,2050)-INDEX(Report_Scenarios!$A$18:$A$24,MATCH(MEDIAN($B28-Conversion!$B$16,2020,2050),Report_Scenarios!$A$18:$A$24,1)))/(INDEX(Report_Scenarios!$A$18:$A$24,MIN(MATCH(MEDIAN($B28-Conversion!$B$16,2020,2050),Report_Scenarios!$A$18:$A$24,1)+1,7))-INDEX(Report_Scenarios!$A$18:$A$24,MATCH(MEDIAN($B28-Conversion!$B$16,2020,2050),Report_Scenarios!$A$18:$A$24,1)))),IF(INDEX(Report_Scenarios!$A$29:$A$35,MIN(MATCH(MEDIAN($B28-Conversion!$B$16,2020,2050),Report_Scenarios!$A$29:$A$35,1)+1,7))=INDEX(Report_Scenarios!$A$29:$A$35,MATCH(MEDIAN($B28-Conversion!$B$16,2020,2050),Report_Scenarios!$A$29:$A$35,1)),INDEX(Report_Scenarios!$F$29:$F$35,MATCH(MEDIAN($B28-Conversion!$B$16,2020,2050),Report_Scenarios!$A$29:$A$35,1)),INDEX(Report_Scenarios!$F$29:$F$35,MATCH(MEDIAN($B28-Conversion!$B$16,2020,2050),Report_Scenarios!$A$29:$A$35,1))+(INDEX(Report_Scenarios!$F$29:$F$35,MIN(MATCH(MEDIAN($B28-Conversion!$B$16,2020,2050),Report_Scenarios!$A$29:$A$35,1)+1,7))-INDEX(Report_Scenarios!$F$29:$F$35,MATCH(MEDIAN($B28-Conversion!$B$16,2020,2050),Report_Scenarios!$A$29:$A$35,1)))*(MEDIAN($B28-Conversion!$B$16,2020,2050)-INDEX(Report_Scenarios!$A$29:$A$35,MATCH(MEDIAN($B28-Conversion!$B$16,2020,2050),Report_Scenarios!$A$29:$A$35,1)))/(INDEX(Report_Scenarios!$A$29:$A$35,MIN(MATCH(MEDIAN($B28-Conversion!$B$16,2020,2050),Report_Scenarios!$A$29:$A$35,1)+1,7))-INDEX(Report_Scenarios!$A$29:$A$35,MATCH(MEDIAN($B28-Conversion!$B$16,2020,2050),Report_Scenarios!$A$29:$A$35,1))))))</f>
        <v/>
      </c>
      <c r="J28" s="23">
        <f>IF($D28="Conservative",IF(INDEX(Report_Scenarios!$A$7:$A$13,MIN(MATCH(MEDIAN($B28-Conversion!$B$16,2020,2050),Report_Scenarios!$A$7:$A$13,1)+1,7))=INDEX(Report_Scenarios!$A$7:$A$13,MATCH(MEDIAN($B28-Conversion!$B$16,2020,2050),Report_Scenarios!$A$7:$A$13,1)),INDEX(Report_Scenarios!$G$7:$G$13,MATCH(MEDIAN($B28-Conversion!$B$16,2020,2050),Report_Scenarios!$A$7:$A$13,1)),INDEX(Report_Scenarios!$G$7:$G$13,MATCH(MEDIAN($B28-Conversion!$B$16,2020,2050),Report_Scenarios!$A$7:$A$13,1))+(INDEX(Report_Scenarios!$G$7:$G$13,MIN(MATCH(MEDIAN($B28-Conversion!$B$16,2020,2050),Report_Scenarios!$A$7:$A$13,1)+1,7))-INDEX(Report_Scenarios!$G$7:$G$13,MATCH(MEDIAN($B28-Conversion!$B$16,2020,2050),Report_Scenarios!$A$7:$A$13,1)))*(MEDIAN($B28-Conversion!$B$16,2020,2050)-INDEX(Report_Scenarios!$A$7:$A$13,MATCH(MEDIAN($B28-Conversion!$B$16,2020,2050),Report_Scenarios!$A$7:$A$13,1)))/(INDEX(Report_Scenarios!$A$7:$A$13,MIN(MATCH(MEDIAN($B28-Conversion!$B$16,2020,2050),Report_Scenarios!$A$7:$A$13,1)+1,7))-INDEX(Report_Scenarios!$A$7:$A$13,MATCH(MEDIAN($B28-Conversion!$B$16,2020,2050),Report_Scenarios!$A$7:$A$13,1)))),IF($D28="Central",IF(INDEX(Report_Scenarios!$A$18:$A$24,MIN(MATCH(MEDIAN($B28-Conversion!$B$16,2020,2050),Report_Scenarios!$A$18:$A$24,1)+1,7))=INDEX(Report_Scenarios!$A$18:$A$24,MATCH(MEDIAN($B28-Conversion!$B$16,2020,2050),Report_Scenarios!$A$18:$A$24,1)),INDEX(Report_Scenarios!$G$18:$G$24,MATCH(MEDIAN($B28-Conversion!$B$16,2020,2050),Report_Scenarios!$A$18:$A$24,1)),INDEX(Report_Scenarios!$G$18:$G$24,MATCH(MEDIAN($B28-Conversion!$B$16,2020,2050),Report_Scenarios!$A$18:$A$24,1))+(INDEX(Report_Scenarios!$G$18:$G$24,MIN(MATCH(MEDIAN($B28-Conversion!$B$16,2020,2050),Report_Scenarios!$A$18:$A$24,1)+1,7))-INDEX(Report_Scenarios!$G$18:$G$24,MATCH(MEDIAN($B28-Conversion!$B$16,2020,2050),Report_Scenarios!$A$18:$A$24,1)))*(MEDIAN($B28-Conversion!$B$16,2020,2050)-INDEX(Report_Scenarios!$A$18:$A$24,MATCH(MEDIAN($B28-Conversion!$B$16,2020,2050),Report_Scenarios!$A$18:$A$24,1)))/(INDEX(Report_Scenarios!$A$18:$A$24,MIN(MATCH(MEDIAN($B28-Conversion!$B$16,2020,2050),Report_Scenarios!$A$18:$A$24,1)+1,7))-INDEX(Report_Scenarios!$A$18:$A$24,MATCH(MEDIAN($B28-Conversion!$B$16,2020,2050),Report_Scenarios!$A$18:$A$24,1)))),IF(INDEX(Report_Scenarios!$A$29:$A$35,MIN(MATCH(MEDIAN($B28-Conversion!$B$16,2020,2050),Report_Scenarios!$A$29:$A$35,1)+1,7))=INDEX(Report_Scenarios!$A$29:$A$35,MATCH(MEDIAN($B28-Conversion!$B$16,2020,2050),Report_Scenarios!$A$29:$A$35,1)),INDEX(Report_Scenarios!$G$29:$G$35,MATCH(MEDIAN($B28-Conversion!$B$16,2020,2050),Report_Scenarios!$A$29:$A$35,1)),INDEX(Report_Scenarios!$G$29:$G$35,MATCH(MEDIAN($B28-Conversion!$B$16,2020,2050),Report_Scenarios!$A$29:$A$35,1))+(INDEX(Report_Scenarios!$G$29:$G$35,MIN(MATCH(MEDIAN($B28-Conversion!$B$16,2020,2050),Report_Scenarios!$A$29:$A$35,1)+1,7))-INDEX(Report_Scenarios!$G$29:$G$35,MATCH(MEDIAN($B28-Conversion!$B$16,2020,2050),Report_Scenarios!$A$29:$A$35,1)))*(MEDIAN($B28-Conversion!$B$16,2020,2050)-INDEX(Report_Scenarios!$A$29:$A$35,MATCH(MEDIAN($B28-Conversion!$B$16,2020,2050),Report_Scenarios!$A$29:$A$35,1)))/(INDEX(Report_Scenarios!$A$29:$A$35,MIN(MATCH(MEDIAN($B28-Conversion!$B$16,2020,2050),Report_Scenarios!$A$29:$A$35,1)+1,7))-INDEX(Report_Scenarios!$A$29:$A$35,MATCH(MEDIAN($B28-Conversion!$B$16,2020,2050),Report_Scenarios!$A$29:$A$35,1))))))</f>
        <v/>
      </c>
      <c r="K28" s="23">
        <f>SUM(E28:J28)</f>
        <v/>
      </c>
      <c r="L28" s="23">
        <f>IF(R28&lt;&gt;"",R28,IF($K28=0,0,E28/$K28))</f>
        <v/>
      </c>
      <c r="M28" s="23">
        <f>IF(S28&lt;&gt;"",S28,IF($K28=0,0,F28/$K28))</f>
        <v/>
      </c>
      <c r="N28" s="23">
        <f>IF(T28&lt;&gt;"",T28,IF($K28=0,0,G28/$K28))</f>
        <v/>
      </c>
      <c r="O28" s="23">
        <f>IF(U28&lt;&gt;"",U28,IF($K28=0,0,H28/$K28))</f>
        <v/>
      </c>
      <c r="P28" s="23">
        <f>IF(V28&lt;&gt;"",V28,IF($K28=0,0,I28/$K28))</f>
        <v/>
      </c>
      <c r="Q28" s="23">
        <f>IF(W28&lt;&gt;"",W28,IF($K28=0,0,J28/$K28))</f>
        <v/>
      </c>
      <c r="R28" s="24" t="n"/>
      <c r="S28" s="24" t="n"/>
      <c r="T28" s="24" t="n"/>
      <c r="U28" s="24" t="n"/>
      <c r="V28" s="24" t="n"/>
      <c r="W28" s="24" t="n"/>
    </row>
    <row r="29">
      <c r="A29" s="4" t="inlineStr">
        <is>
          <t>AB</t>
        </is>
      </c>
      <c r="B29" s="4" t="n">
        <v>2060</v>
      </c>
      <c r="C29" s="4" t="inlineStr">
        <is>
          <t>Share_Min</t>
        </is>
      </c>
      <c r="D29" s="4">
        <f>Conversion!$B$18</f>
        <v/>
      </c>
      <c r="E29" s="23">
        <f>IF($D29="Conservative",IF(INDEX(Report_Scenarios!$A$7:$A$13,MIN(MATCH(MEDIAN($B29-Conversion!$B$16,2020,2050),Report_Scenarios!$A$7:$A$13,1)+1,7))=INDEX(Report_Scenarios!$A$7:$A$13,MATCH(MEDIAN($B29-Conversion!$B$16,2020,2050),Report_Scenarios!$A$7:$A$13,1)),INDEX(Report_Scenarios!$B$7:$B$13,MATCH(MEDIAN($B29-Conversion!$B$16,2020,2050),Report_Scenarios!$A$7:$A$13,1)),INDEX(Report_Scenarios!$B$7:$B$13,MATCH(MEDIAN($B29-Conversion!$B$16,2020,2050),Report_Scenarios!$A$7:$A$13,1))+(INDEX(Report_Scenarios!$B$7:$B$13,MIN(MATCH(MEDIAN($B29-Conversion!$B$16,2020,2050),Report_Scenarios!$A$7:$A$13,1)+1,7))-INDEX(Report_Scenarios!$B$7:$B$13,MATCH(MEDIAN($B29-Conversion!$B$16,2020,2050),Report_Scenarios!$A$7:$A$13,1)))*(MEDIAN($B29-Conversion!$B$16,2020,2050)-INDEX(Report_Scenarios!$A$7:$A$13,MATCH(MEDIAN($B29-Conversion!$B$16,2020,2050),Report_Scenarios!$A$7:$A$13,1)))/(INDEX(Report_Scenarios!$A$7:$A$13,MIN(MATCH(MEDIAN($B29-Conversion!$B$16,2020,2050),Report_Scenarios!$A$7:$A$13,1)+1,7))-INDEX(Report_Scenarios!$A$7:$A$13,MATCH(MEDIAN($B29-Conversion!$B$16,2020,2050),Report_Scenarios!$A$7:$A$13,1)))),IF($D29="Central",IF(INDEX(Report_Scenarios!$A$18:$A$24,MIN(MATCH(MEDIAN($B29-Conversion!$B$16,2020,2050),Report_Scenarios!$A$18:$A$24,1)+1,7))=INDEX(Report_Scenarios!$A$18:$A$24,MATCH(MEDIAN($B29-Conversion!$B$16,2020,2050),Report_Scenarios!$A$18:$A$24,1)),INDEX(Report_Scenarios!$B$18:$B$24,MATCH(MEDIAN($B29-Conversion!$B$16,2020,2050),Report_Scenarios!$A$18:$A$24,1)),INDEX(Report_Scenarios!$B$18:$B$24,MATCH(MEDIAN($B29-Conversion!$B$16,2020,2050),Report_Scenarios!$A$18:$A$24,1))+(INDEX(Report_Scenarios!$B$18:$B$24,MIN(MATCH(MEDIAN($B29-Conversion!$B$16,2020,2050),Report_Scenarios!$A$18:$A$24,1)+1,7))-INDEX(Report_Scenarios!$B$18:$B$24,MATCH(MEDIAN($B29-Conversion!$B$16,2020,2050),Report_Scenarios!$A$18:$A$24,1)))*(MEDIAN($B29-Conversion!$B$16,2020,2050)-INDEX(Report_Scenarios!$A$18:$A$24,MATCH(MEDIAN($B29-Conversion!$B$16,2020,2050),Report_Scenarios!$A$18:$A$24,1)))/(INDEX(Report_Scenarios!$A$18:$A$24,MIN(MATCH(MEDIAN($B29-Conversion!$B$16,2020,2050),Report_Scenarios!$A$18:$A$24,1)+1,7))-INDEX(Report_Scenarios!$A$18:$A$24,MATCH(MEDIAN($B29-Conversion!$B$16,2020,2050),Report_Scenarios!$A$18:$A$24,1)))),IF(INDEX(Report_Scenarios!$A$29:$A$35,MIN(MATCH(MEDIAN($B29-Conversion!$B$16,2020,2050),Report_Scenarios!$A$29:$A$35,1)+1,7))=INDEX(Report_Scenarios!$A$29:$A$35,MATCH(MEDIAN($B29-Conversion!$B$16,2020,2050),Report_Scenarios!$A$29:$A$35,1)),INDEX(Report_Scenarios!$B$29:$B$35,MATCH(MEDIAN($B29-Conversion!$B$16,2020,2050),Report_Scenarios!$A$29:$A$35,1)),INDEX(Report_Scenarios!$B$29:$B$35,MATCH(MEDIAN($B29-Conversion!$B$16,2020,2050),Report_Scenarios!$A$29:$A$35,1))+(INDEX(Report_Scenarios!$B$29:$B$35,MIN(MATCH(MEDIAN($B29-Conversion!$B$16,2020,2050),Report_Scenarios!$A$29:$A$35,1)+1,7))-INDEX(Report_Scenarios!$B$29:$B$35,MATCH(MEDIAN($B29-Conversion!$B$16,2020,2050),Report_Scenarios!$A$29:$A$35,1)))*(MEDIAN($B29-Conversion!$B$16,2020,2050)-INDEX(Report_Scenarios!$A$29:$A$35,MATCH(MEDIAN($B29-Conversion!$B$16,2020,2050),Report_Scenarios!$A$29:$A$35,1)))/(INDEX(Report_Scenarios!$A$29:$A$35,MIN(MATCH(MEDIAN($B29-Conversion!$B$16,2020,2050),Report_Scenarios!$A$29:$A$35,1)+1,7))-INDEX(Report_Scenarios!$A$29:$A$35,MATCH(MEDIAN($B29-Conversion!$B$16,2020,2050),Report_Scenarios!$A$29:$A$35,1))))))</f>
        <v/>
      </c>
      <c r="F29" s="23">
        <f>IF($D29="Conservative",IF(INDEX(Report_Scenarios!$A$7:$A$13,MIN(MATCH(MEDIAN($B29-Conversion!$B$16,2020,2050),Report_Scenarios!$A$7:$A$13,1)+1,7))=INDEX(Report_Scenarios!$A$7:$A$13,MATCH(MEDIAN($B29-Conversion!$B$16,2020,2050),Report_Scenarios!$A$7:$A$13,1)),INDEX(Report_Scenarios!$C$7:$C$13,MATCH(MEDIAN($B29-Conversion!$B$16,2020,2050),Report_Scenarios!$A$7:$A$13,1)),INDEX(Report_Scenarios!$C$7:$C$13,MATCH(MEDIAN($B29-Conversion!$B$16,2020,2050),Report_Scenarios!$A$7:$A$13,1))+(INDEX(Report_Scenarios!$C$7:$C$13,MIN(MATCH(MEDIAN($B29-Conversion!$B$16,2020,2050),Report_Scenarios!$A$7:$A$13,1)+1,7))-INDEX(Report_Scenarios!$C$7:$C$13,MATCH(MEDIAN($B29-Conversion!$B$16,2020,2050),Report_Scenarios!$A$7:$A$13,1)))*(MEDIAN($B29-Conversion!$B$16,2020,2050)-INDEX(Report_Scenarios!$A$7:$A$13,MATCH(MEDIAN($B29-Conversion!$B$16,2020,2050),Report_Scenarios!$A$7:$A$13,1)))/(INDEX(Report_Scenarios!$A$7:$A$13,MIN(MATCH(MEDIAN($B29-Conversion!$B$16,2020,2050),Report_Scenarios!$A$7:$A$13,1)+1,7))-INDEX(Report_Scenarios!$A$7:$A$13,MATCH(MEDIAN($B29-Conversion!$B$16,2020,2050),Report_Scenarios!$A$7:$A$13,1)))),IF($D29="Central",IF(INDEX(Report_Scenarios!$A$18:$A$24,MIN(MATCH(MEDIAN($B29-Conversion!$B$16,2020,2050),Report_Scenarios!$A$18:$A$24,1)+1,7))=INDEX(Report_Scenarios!$A$18:$A$24,MATCH(MEDIAN($B29-Conversion!$B$16,2020,2050),Report_Scenarios!$A$18:$A$24,1)),INDEX(Report_Scenarios!$C$18:$C$24,MATCH(MEDIAN($B29-Conversion!$B$16,2020,2050),Report_Scenarios!$A$18:$A$24,1)),INDEX(Report_Scenarios!$C$18:$C$24,MATCH(MEDIAN($B29-Conversion!$B$16,2020,2050),Report_Scenarios!$A$18:$A$24,1))+(INDEX(Report_Scenarios!$C$18:$C$24,MIN(MATCH(MEDIAN($B29-Conversion!$B$16,2020,2050),Report_Scenarios!$A$18:$A$24,1)+1,7))-INDEX(Report_Scenarios!$C$18:$C$24,MATCH(MEDIAN($B29-Conversion!$B$16,2020,2050),Report_Scenarios!$A$18:$A$24,1)))*(MEDIAN($B29-Conversion!$B$16,2020,2050)-INDEX(Report_Scenarios!$A$18:$A$24,MATCH(MEDIAN($B29-Conversion!$B$16,2020,2050),Report_Scenarios!$A$18:$A$24,1)))/(INDEX(Report_Scenarios!$A$18:$A$24,MIN(MATCH(MEDIAN($B29-Conversion!$B$16,2020,2050),Report_Scenarios!$A$18:$A$24,1)+1,7))-INDEX(Report_Scenarios!$A$18:$A$24,MATCH(MEDIAN($B29-Conversion!$B$16,2020,2050),Report_Scenarios!$A$18:$A$24,1)))),IF(INDEX(Report_Scenarios!$A$29:$A$35,MIN(MATCH(MEDIAN($B29-Conversion!$B$16,2020,2050),Report_Scenarios!$A$29:$A$35,1)+1,7))=INDEX(Report_Scenarios!$A$29:$A$35,MATCH(MEDIAN($B29-Conversion!$B$16,2020,2050),Report_Scenarios!$A$29:$A$35,1)),INDEX(Report_Scenarios!$C$29:$C$35,MATCH(MEDIAN($B29-Conversion!$B$16,2020,2050),Report_Scenarios!$A$29:$A$35,1)),INDEX(Report_Scenarios!$C$29:$C$35,MATCH(MEDIAN($B29-Conversion!$B$16,2020,2050),Report_Scenarios!$A$29:$A$35,1))+(INDEX(Report_Scenarios!$C$29:$C$35,MIN(MATCH(MEDIAN($B29-Conversion!$B$16,2020,2050),Report_Scenarios!$A$29:$A$35,1)+1,7))-INDEX(Report_Scenarios!$C$29:$C$35,MATCH(MEDIAN($B29-Conversion!$B$16,2020,2050),Report_Scenarios!$A$29:$A$35,1)))*(MEDIAN($B29-Conversion!$B$16,2020,2050)-INDEX(Report_Scenarios!$A$29:$A$35,MATCH(MEDIAN($B29-Conversion!$B$16,2020,2050),Report_Scenarios!$A$29:$A$35,1)))/(INDEX(Report_Scenarios!$A$29:$A$35,MIN(MATCH(MEDIAN($B29-Conversion!$B$16,2020,2050),Report_Scenarios!$A$29:$A$35,1)+1,7))-INDEX(Report_Scenarios!$A$29:$A$35,MATCH(MEDIAN($B29-Conversion!$B$16,2020,2050),Report_Scenarios!$A$29:$A$35,1))))))</f>
        <v/>
      </c>
      <c r="G29" s="23">
        <f>IF($D29="Conservative",IF(INDEX(Report_Scenarios!$A$7:$A$13,MIN(MATCH(MEDIAN($B29-Conversion!$B$16,2020,2050),Report_Scenarios!$A$7:$A$13,1)+1,7))=INDEX(Report_Scenarios!$A$7:$A$13,MATCH(MEDIAN($B29-Conversion!$B$16,2020,2050),Report_Scenarios!$A$7:$A$13,1)),INDEX(Report_Scenarios!$D$7:$D$13,MATCH(MEDIAN($B29-Conversion!$B$16,2020,2050),Report_Scenarios!$A$7:$A$13,1)),INDEX(Report_Scenarios!$D$7:$D$13,MATCH(MEDIAN($B29-Conversion!$B$16,2020,2050),Report_Scenarios!$A$7:$A$13,1))+(INDEX(Report_Scenarios!$D$7:$D$13,MIN(MATCH(MEDIAN($B29-Conversion!$B$16,2020,2050),Report_Scenarios!$A$7:$A$13,1)+1,7))-INDEX(Report_Scenarios!$D$7:$D$13,MATCH(MEDIAN($B29-Conversion!$B$16,2020,2050),Report_Scenarios!$A$7:$A$13,1)))*(MEDIAN($B29-Conversion!$B$16,2020,2050)-INDEX(Report_Scenarios!$A$7:$A$13,MATCH(MEDIAN($B29-Conversion!$B$16,2020,2050),Report_Scenarios!$A$7:$A$13,1)))/(INDEX(Report_Scenarios!$A$7:$A$13,MIN(MATCH(MEDIAN($B29-Conversion!$B$16,2020,2050),Report_Scenarios!$A$7:$A$13,1)+1,7))-INDEX(Report_Scenarios!$A$7:$A$13,MATCH(MEDIAN($B29-Conversion!$B$16,2020,2050),Report_Scenarios!$A$7:$A$13,1)))),IF($D29="Central",IF(INDEX(Report_Scenarios!$A$18:$A$24,MIN(MATCH(MEDIAN($B29-Conversion!$B$16,2020,2050),Report_Scenarios!$A$18:$A$24,1)+1,7))=INDEX(Report_Scenarios!$A$18:$A$24,MATCH(MEDIAN($B29-Conversion!$B$16,2020,2050),Report_Scenarios!$A$18:$A$24,1)),INDEX(Report_Scenarios!$D$18:$D$24,MATCH(MEDIAN($B29-Conversion!$B$16,2020,2050),Report_Scenarios!$A$18:$A$24,1)),INDEX(Report_Scenarios!$D$18:$D$24,MATCH(MEDIAN($B29-Conversion!$B$16,2020,2050),Report_Scenarios!$A$18:$A$24,1))+(INDEX(Report_Scenarios!$D$18:$D$24,MIN(MATCH(MEDIAN($B29-Conversion!$B$16,2020,2050),Report_Scenarios!$A$18:$A$24,1)+1,7))-INDEX(Report_Scenarios!$D$18:$D$24,MATCH(MEDIAN($B29-Conversion!$B$16,2020,2050),Report_Scenarios!$A$18:$A$24,1)))*(MEDIAN($B29-Conversion!$B$16,2020,2050)-INDEX(Report_Scenarios!$A$18:$A$24,MATCH(MEDIAN($B29-Conversion!$B$16,2020,2050),Report_Scenarios!$A$18:$A$24,1)))/(INDEX(Report_Scenarios!$A$18:$A$24,MIN(MATCH(MEDIAN($B29-Conversion!$B$16,2020,2050),Report_Scenarios!$A$18:$A$24,1)+1,7))-INDEX(Report_Scenarios!$A$18:$A$24,MATCH(MEDIAN($B29-Conversion!$B$16,2020,2050),Report_Scenarios!$A$18:$A$24,1)))),IF(INDEX(Report_Scenarios!$A$29:$A$35,MIN(MATCH(MEDIAN($B29-Conversion!$B$16,2020,2050),Report_Scenarios!$A$29:$A$35,1)+1,7))=INDEX(Report_Scenarios!$A$29:$A$35,MATCH(MEDIAN($B29-Conversion!$B$16,2020,2050),Report_Scenarios!$A$29:$A$35,1)),INDEX(Report_Scenarios!$D$29:$D$35,MATCH(MEDIAN($B29-Conversion!$B$16,2020,2050),Report_Scenarios!$A$29:$A$35,1)),INDEX(Report_Scenarios!$D$29:$D$35,MATCH(MEDIAN($B29-Conversion!$B$16,2020,2050),Report_Scenarios!$A$29:$A$35,1))+(INDEX(Report_Scenarios!$D$29:$D$35,MIN(MATCH(MEDIAN($B29-Conversion!$B$16,2020,2050),Report_Scenarios!$A$29:$A$35,1)+1,7))-INDEX(Report_Scenarios!$D$29:$D$35,MATCH(MEDIAN($B29-Conversion!$B$16,2020,2050),Report_Scenarios!$A$29:$A$35,1)))*(MEDIAN($B29-Conversion!$B$16,2020,2050)-INDEX(Report_Scenarios!$A$29:$A$35,MATCH(MEDIAN($B29-Conversion!$B$16,2020,2050),Report_Scenarios!$A$29:$A$35,1)))/(INDEX(Report_Scenarios!$A$29:$A$35,MIN(MATCH(MEDIAN($B29-Conversion!$B$16,2020,2050),Report_Scenarios!$A$29:$A$35,1)+1,7))-INDEX(Report_Scenarios!$A$29:$A$35,MATCH(MEDIAN($B29-Conversion!$B$16,2020,2050),Report_Scenarios!$A$29:$A$35,1))))))</f>
        <v/>
      </c>
      <c r="H29" s="23">
        <f>IF($D29="Conservative",IF(INDEX(Report_Scenarios!$A$7:$A$13,MIN(MATCH(MEDIAN($B29-Conversion!$B$16,2020,2050),Report_Scenarios!$A$7:$A$13,1)+1,7))=INDEX(Report_Scenarios!$A$7:$A$13,MATCH(MEDIAN($B29-Conversion!$B$16,2020,2050),Report_Scenarios!$A$7:$A$13,1)),INDEX(Report_Scenarios!$E$7:$E$13,MATCH(MEDIAN($B29-Conversion!$B$16,2020,2050),Report_Scenarios!$A$7:$A$13,1)),INDEX(Report_Scenarios!$E$7:$E$13,MATCH(MEDIAN($B29-Conversion!$B$16,2020,2050),Report_Scenarios!$A$7:$A$13,1))+(INDEX(Report_Scenarios!$E$7:$E$13,MIN(MATCH(MEDIAN($B29-Conversion!$B$16,2020,2050),Report_Scenarios!$A$7:$A$13,1)+1,7))-INDEX(Report_Scenarios!$E$7:$E$13,MATCH(MEDIAN($B29-Conversion!$B$16,2020,2050),Report_Scenarios!$A$7:$A$13,1)))*(MEDIAN($B29-Conversion!$B$16,2020,2050)-INDEX(Report_Scenarios!$A$7:$A$13,MATCH(MEDIAN($B29-Conversion!$B$16,2020,2050),Report_Scenarios!$A$7:$A$13,1)))/(INDEX(Report_Scenarios!$A$7:$A$13,MIN(MATCH(MEDIAN($B29-Conversion!$B$16,2020,2050),Report_Scenarios!$A$7:$A$13,1)+1,7))-INDEX(Report_Scenarios!$A$7:$A$13,MATCH(MEDIAN($B29-Conversion!$B$16,2020,2050),Report_Scenarios!$A$7:$A$13,1)))),IF($D29="Central",IF(INDEX(Report_Scenarios!$A$18:$A$24,MIN(MATCH(MEDIAN($B29-Conversion!$B$16,2020,2050),Report_Scenarios!$A$18:$A$24,1)+1,7))=INDEX(Report_Scenarios!$A$18:$A$24,MATCH(MEDIAN($B29-Conversion!$B$16,2020,2050),Report_Scenarios!$A$18:$A$24,1)),INDEX(Report_Scenarios!$E$18:$E$24,MATCH(MEDIAN($B29-Conversion!$B$16,2020,2050),Report_Scenarios!$A$18:$A$24,1)),INDEX(Report_Scenarios!$E$18:$E$24,MATCH(MEDIAN($B29-Conversion!$B$16,2020,2050),Report_Scenarios!$A$18:$A$24,1))+(INDEX(Report_Scenarios!$E$18:$E$24,MIN(MATCH(MEDIAN($B29-Conversion!$B$16,2020,2050),Report_Scenarios!$A$18:$A$24,1)+1,7))-INDEX(Report_Scenarios!$E$18:$E$24,MATCH(MEDIAN($B29-Conversion!$B$16,2020,2050),Report_Scenarios!$A$18:$A$24,1)))*(MEDIAN($B29-Conversion!$B$16,2020,2050)-INDEX(Report_Scenarios!$A$18:$A$24,MATCH(MEDIAN($B29-Conversion!$B$16,2020,2050),Report_Scenarios!$A$18:$A$24,1)))/(INDEX(Report_Scenarios!$A$18:$A$24,MIN(MATCH(MEDIAN($B29-Conversion!$B$16,2020,2050),Report_Scenarios!$A$18:$A$24,1)+1,7))-INDEX(Report_Scenarios!$A$18:$A$24,MATCH(MEDIAN($B29-Conversion!$B$16,2020,2050),Report_Scenarios!$A$18:$A$24,1)))),IF(INDEX(Report_Scenarios!$A$29:$A$35,MIN(MATCH(MEDIAN($B29-Conversion!$B$16,2020,2050),Report_Scenarios!$A$29:$A$35,1)+1,7))=INDEX(Report_Scenarios!$A$29:$A$35,MATCH(MEDIAN($B29-Conversion!$B$16,2020,2050),Report_Scenarios!$A$29:$A$35,1)),INDEX(Report_Scenarios!$E$29:$E$35,MATCH(MEDIAN($B29-Conversion!$B$16,2020,2050),Report_Scenarios!$A$29:$A$35,1)),INDEX(Report_Scenarios!$E$29:$E$35,MATCH(MEDIAN($B29-Conversion!$B$16,2020,2050),Report_Scenarios!$A$29:$A$35,1))+(INDEX(Report_Scenarios!$E$29:$E$35,MIN(MATCH(MEDIAN($B29-Conversion!$B$16,2020,2050),Report_Scenarios!$A$29:$A$35,1)+1,7))-INDEX(Report_Scenarios!$E$29:$E$35,MATCH(MEDIAN($B29-Conversion!$B$16,2020,2050),Report_Scenarios!$A$29:$A$35,1)))*(MEDIAN($B29-Conversion!$B$16,2020,2050)-INDEX(Report_Scenarios!$A$29:$A$35,MATCH(MEDIAN($B29-Conversion!$B$16,2020,2050),Report_Scenarios!$A$29:$A$35,1)))/(INDEX(Report_Scenarios!$A$29:$A$35,MIN(MATCH(MEDIAN($B29-Conversion!$B$16,2020,2050),Report_Scenarios!$A$29:$A$35,1)+1,7))-INDEX(Report_Scenarios!$A$29:$A$35,MATCH(MEDIAN($B29-Conversion!$B$16,2020,2050),Report_Scenarios!$A$29:$A$35,1))))))</f>
        <v/>
      </c>
      <c r="I29" s="23">
        <f>IF($D29="Conservative",IF(INDEX(Report_Scenarios!$A$7:$A$13,MIN(MATCH(MEDIAN($B29-Conversion!$B$16,2020,2050),Report_Scenarios!$A$7:$A$13,1)+1,7))=INDEX(Report_Scenarios!$A$7:$A$13,MATCH(MEDIAN($B29-Conversion!$B$16,2020,2050),Report_Scenarios!$A$7:$A$13,1)),INDEX(Report_Scenarios!$F$7:$F$13,MATCH(MEDIAN($B29-Conversion!$B$16,2020,2050),Report_Scenarios!$A$7:$A$13,1)),INDEX(Report_Scenarios!$F$7:$F$13,MATCH(MEDIAN($B29-Conversion!$B$16,2020,2050),Report_Scenarios!$A$7:$A$13,1))+(INDEX(Report_Scenarios!$F$7:$F$13,MIN(MATCH(MEDIAN($B29-Conversion!$B$16,2020,2050),Report_Scenarios!$A$7:$A$13,1)+1,7))-INDEX(Report_Scenarios!$F$7:$F$13,MATCH(MEDIAN($B29-Conversion!$B$16,2020,2050),Report_Scenarios!$A$7:$A$13,1)))*(MEDIAN($B29-Conversion!$B$16,2020,2050)-INDEX(Report_Scenarios!$A$7:$A$13,MATCH(MEDIAN($B29-Conversion!$B$16,2020,2050),Report_Scenarios!$A$7:$A$13,1)))/(INDEX(Report_Scenarios!$A$7:$A$13,MIN(MATCH(MEDIAN($B29-Conversion!$B$16,2020,2050),Report_Scenarios!$A$7:$A$13,1)+1,7))-INDEX(Report_Scenarios!$A$7:$A$13,MATCH(MEDIAN($B29-Conversion!$B$16,2020,2050),Report_Scenarios!$A$7:$A$13,1)))),IF($D29="Central",IF(INDEX(Report_Scenarios!$A$18:$A$24,MIN(MATCH(MEDIAN($B29-Conversion!$B$16,2020,2050),Report_Scenarios!$A$18:$A$24,1)+1,7))=INDEX(Report_Scenarios!$A$18:$A$24,MATCH(MEDIAN($B29-Conversion!$B$16,2020,2050),Report_Scenarios!$A$18:$A$24,1)),INDEX(Report_Scenarios!$F$18:$F$24,MATCH(MEDIAN($B29-Conversion!$B$16,2020,2050),Report_Scenarios!$A$18:$A$24,1)),INDEX(Report_Scenarios!$F$18:$F$24,MATCH(MEDIAN($B29-Conversion!$B$16,2020,2050),Report_Scenarios!$A$18:$A$24,1))+(INDEX(Report_Scenarios!$F$18:$F$24,MIN(MATCH(MEDIAN($B29-Conversion!$B$16,2020,2050),Report_Scenarios!$A$18:$A$24,1)+1,7))-INDEX(Report_Scenarios!$F$18:$F$24,MATCH(MEDIAN($B29-Conversion!$B$16,2020,2050),Report_Scenarios!$A$18:$A$24,1)))*(MEDIAN($B29-Conversion!$B$16,2020,2050)-INDEX(Report_Scenarios!$A$18:$A$24,MATCH(MEDIAN($B29-Conversion!$B$16,2020,2050),Report_Scenarios!$A$18:$A$24,1)))/(INDEX(Report_Scenarios!$A$18:$A$24,MIN(MATCH(MEDIAN($B29-Conversion!$B$16,2020,2050),Report_Scenarios!$A$18:$A$24,1)+1,7))-INDEX(Report_Scenarios!$A$18:$A$24,MATCH(MEDIAN($B29-Conversion!$B$16,2020,2050),Report_Scenarios!$A$18:$A$24,1)))),IF(INDEX(Report_Scenarios!$A$29:$A$35,MIN(MATCH(MEDIAN($B29-Conversion!$B$16,2020,2050),Report_Scenarios!$A$29:$A$35,1)+1,7))=INDEX(Report_Scenarios!$A$29:$A$35,MATCH(MEDIAN($B29-Conversion!$B$16,2020,2050),Report_Scenarios!$A$29:$A$35,1)),INDEX(Report_Scenarios!$F$29:$F$35,MATCH(MEDIAN($B29-Conversion!$B$16,2020,2050),Report_Scenarios!$A$29:$A$35,1)),INDEX(Report_Scenarios!$F$29:$F$35,MATCH(MEDIAN($B29-Conversion!$B$16,2020,2050),Report_Scenarios!$A$29:$A$35,1))+(INDEX(Report_Scenarios!$F$29:$F$35,MIN(MATCH(MEDIAN($B29-Conversion!$B$16,2020,2050),Report_Scenarios!$A$29:$A$35,1)+1,7))-INDEX(Report_Scenarios!$F$29:$F$35,MATCH(MEDIAN($B29-Conversion!$B$16,2020,2050),Report_Scenarios!$A$29:$A$35,1)))*(MEDIAN($B29-Conversion!$B$16,2020,2050)-INDEX(Report_Scenarios!$A$29:$A$35,MATCH(MEDIAN($B29-Conversion!$B$16,2020,2050),Report_Scenarios!$A$29:$A$35,1)))/(INDEX(Report_Scenarios!$A$29:$A$35,MIN(MATCH(MEDIAN($B29-Conversion!$B$16,2020,2050),Report_Scenarios!$A$29:$A$35,1)+1,7))-INDEX(Report_Scenarios!$A$29:$A$35,MATCH(MEDIAN($B29-Conversion!$B$16,2020,2050),Report_Scenarios!$A$29:$A$35,1))))))</f>
        <v/>
      </c>
      <c r="J29" s="23">
        <f>IF($D29="Conservative",IF(INDEX(Report_Scenarios!$A$7:$A$13,MIN(MATCH(MEDIAN($B29-Conversion!$B$16,2020,2050),Report_Scenarios!$A$7:$A$13,1)+1,7))=INDEX(Report_Scenarios!$A$7:$A$13,MATCH(MEDIAN($B29-Conversion!$B$16,2020,2050),Report_Scenarios!$A$7:$A$13,1)),INDEX(Report_Scenarios!$G$7:$G$13,MATCH(MEDIAN($B29-Conversion!$B$16,2020,2050),Report_Scenarios!$A$7:$A$13,1)),INDEX(Report_Scenarios!$G$7:$G$13,MATCH(MEDIAN($B29-Conversion!$B$16,2020,2050),Report_Scenarios!$A$7:$A$13,1))+(INDEX(Report_Scenarios!$G$7:$G$13,MIN(MATCH(MEDIAN($B29-Conversion!$B$16,2020,2050),Report_Scenarios!$A$7:$A$13,1)+1,7))-INDEX(Report_Scenarios!$G$7:$G$13,MATCH(MEDIAN($B29-Conversion!$B$16,2020,2050),Report_Scenarios!$A$7:$A$13,1)))*(MEDIAN($B29-Conversion!$B$16,2020,2050)-INDEX(Report_Scenarios!$A$7:$A$13,MATCH(MEDIAN($B29-Conversion!$B$16,2020,2050),Report_Scenarios!$A$7:$A$13,1)))/(INDEX(Report_Scenarios!$A$7:$A$13,MIN(MATCH(MEDIAN($B29-Conversion!$B$16,2020,2050),Report_Scenarios!$A$7:$A$13,1)+1,7))-INDEX(Report_Scenarios!$A$7:$A$13,MATCH(MEDIAN($B29-Conversion!$B$16,2020,2050),Report_Scenarios!$A$7:$A$13,1)))),IF($D29="Central",IF(INDEX(Report_Scenarios!$A$18:$A$24,MIN(MATCH(MEDIAN($B29-Conversion!$B$16,2020,2050),Report_Scenarios!$A$18:$A$24,1)+1,7))=INDEX(Report_Scenarios!$A$18:$A$24,MATCH(MEDIAN($B29-Conversion!$B$16,2020,2050),Report_Scenarios!$A$18:$A$24,1)),INDEX(Report_Scenarios!$G$18:$G$24,MATCH(MEDIAN($B29-Conversion!$B$16,2020,2050),Report_Scenarios!$A$18:$A$24,1)),INDEX(Report_Scenarios!$G$18:$G$24,MATCH(MEDIAN($B29-Conversion!$B$16,2020,2050),Report_Scenarios!$A$18:$A$24,1))+(INDEX(Report_Scenarios!$G$18:$G$24,MIN(MATCH(MEDIAN($B29-Conversion!$B$16,2020,2050),Report_Scenarios!$A$18:$A$24,1)+1,7))-INDEX(Report_Scenarios!$G$18:$G$24,MATCH(MEDIAN($B29-Conversion!$B$16,2020,2050),Report_Scenarios!$A$18:$A$24,1)))*(MEDIAN($B29-Conversion!$B$16,2020,2050)-INDEX(Report_Scenarios!$A$18:$A$24,MATCH(MEDIAN($B29-Conversion!$B$16,2020,2050),Report_Scenarios!$A$18:$A$24,1)))/(INDEX(Report_Scenarios!$A$18:$A$24,MIN(MATCH(MEDIAN($B29-Conversion!$B$16,2020,2050),Report_Scenarios!$A$18:$A$24,1)+1,7))-INDEX(Report_Scenarios!$A$18:$A$24,MATCH(MEDIAN($B29-Conversion!$B$16,2020,2050),Report_Scenarios!$A$18:$A$24,1)))),IF(INDEX(Report_Scenarios!$A$29:$A$35,MIN(MATCH(MEDIAN($B29-Conversion!$B$16,2020,2050),Report_Scenarios!$A$29:$A$35,1)+1,7))=INDEX(Report_Scenarios!$A$29:$A$35,MATCH(MEDIAN($B29-Conversion!$B$16,2020,2050),Report_Scenarios!$A$29:$A$35,1)),INDEX(Report_Scenarios!$G$29:$G$35,MATCH(MEDIAN($B29-Conversion!$B$16,2020,2050),Report_Scenarios!$A$29:$A$35,1)),INDEX(Report_Scenarios!$G$29:$G$35,MATCH(MEDIAN($B29-Conversion!$B$16,2020,2050),Report_Scenarios!$A$29:$A$35,1))+(INDEX(Report_Scenarios!$G$29:$G$35,MIN(MATCH(MEDIAN($B29-Conversion!$B$16,2020,2050),Report_Scenarios!$A$29:$A$35,1)+1,7))-INDEX(Report_Scenarios!$G$29:$G$35,MATCH(MEDIAN($B29-Conversion!$B$16,2020,2050),Report_Scenarios!$A$29:$A$35,1)))*(MEDIAN($B29-Conversion!$B$16,2020,2050)-INDEX(Report_Scenarios!$A$29:$A$35,MATCH(MEDIAN($B29-Conversion!$B$16,2020,2050),Report_Scenarios!$A$29:$A$35,1)))/(INDEX(Report_Scenarios!$A$29:$A$35,MIN(MATCH(MEDIAN($B29-Conversion!$B$16,2020,2050),Report_Scenarios!$A$29:$A$35,1)+1,7))-INDEX(Report_Scenarios!$A$29:$A$35,MATCH(MEDIAN($B29-Conversion!$B$16,2020,2050),Report_Scenarios!$A$29:$A$35,1))))))</f>
        <v/>
      </c>
      <c r="K29" s="23">
        <f>SUM(E29:J29)</f>
        <v/>
      </c>
      <c r="L29" s="23">
        <f>IF(R29&lt;&gt;"",R29,IF($K29=0,0,E29/$K29))</f>
        <v/>
      </c>
      <c r="M29" s="23">
        <f>IF(S29&lt;&gt;"",S29,IF($K29=0,0,F29/$K29))</f>
        <v/>
      </c>
      <c r="N29" s="23">
        <f>IF(T29&lt;&gt;"",T29,IF($K29=0,0,G29/$K29))</f>
        <v/>
      </c>
      <c r="O29" s="23">
        <f>IF(U29&lt;&gt;"",U29,IF($K29=0,0,H29/$K29))</f>
        <v/>
      </c>
      <c r="P29" s="23">
        <f>IF(V29&lt;&gt;"",V29,IF($K29=0,0,I29/$K29))</f>
        <v/>
      </c>
      <c r="Q29" s="23">
        <f>IF(W29&lt;&gt;"",W29,IF($K29=0,0,J29/$K29))</f>
        <v/>
      </c>
      <c r="R29" s="24" t="n"/>
      <c r="S29" s="24" t="n"/>
      <c r="T29" s="24" t="n"/>
      <c r="U29" s="24" t="n"/>
      <c r="V29" s="24" t="n"/>
      <c r="W29" s="24" t="n"/>
    </row>
    <row r="30">
      <c r="A30" s="4" t="inlineStr">
        <is>
          <t>AB</t>
        </is>
      </c>
      <c r="B30" s="4" t="n">
        <v>2060</v>
      </c>
      <c r="C30" s="4" t="inlineStr">
        <is>
          <t>Share_Mode</t>
        </is>
      </c>
      <c r="D30" s="4">
        <f>Conversion!$B$19</f>
        <v/>
      </c>
      <c r="E30" s="23">
        <f>IF($D30="Conservative",IF(INDEX(Report_Scenarios!$A$7:$A$13,MIN(MATCH(MEDIAN($B30-Conversion!$B$16,2020,2050),Report_Scenarios!$A$7:$A$13,1)+1,7))=INDEX(Report_Scenarios!$A$7:$A$13,MATCH(MEDIAN($B30-Conversion!$B$16,2020,2050),Report_Scenarios!$A$7:$A$13,1)),INDEX(Report_Scenarios!$B$7:$B$13,MATCH(MEDIAN($B30-Conversion!$B$16,2020,2050),Report_Scenarios!$A$7:$A$13,1)),INDEX(Report_Scenarios!$B$7:$B$13,MATCH(MEDIAN($B30-Conversion!$B$16,2020,2050),Report_Scenarios!$A$7:$A$13,1))+(INDEX(Report_Scenarios!$B$7:$B$13,MIN(MATCH(MEDIAN($B30-Conversion!$B$16,2020,2050),Report_Scenarios!$A$7:$A$13,1)+1,7))-INDEX(Report_Scenarios!$B$7:$B$13,MATCH(MEDIAN($B30-Conversion!$B$16,2020,2050),Report_Scenarios!$A$7:$A$13,1)))*(MEDIAN($B30-Conversion!$B$16,2020,2050)-INDEX(Report_Scenarios!$A$7:$A$13,MATCH(MEDIAN($B30-Conversion!$B$16,2020,2050),Report_Scenarios!$A$7:$A$13,1)))/(INDEX(Report_Scenarios!$A$7:$A$13,MIN(MATCH(MEDIAN($B30-Conversion!$B$16,2020,2050),Report_Scenarios!$A$7:$A$13,1)+1,7))-INDEX(Report_Scenarios!$A$7:$A$13,MATCH(MEDIAN($B30-Conversion!$B$16,2020,2050),Report_Scenarios!$A$7:$A$13,1)))),IF($D30="Central",IF(INDEX(Report_Scenarios!$A$18:$A$24,MIN(MATCH(MEDIAN($B30-Conversion!$B$16,2020,2050),Report_Scenarios!$A$18:$A$24,1)+1,7))=INDEX(Report_Scenarios!$A$18:$A$24,MATCH(MEDIAN($B30-Conversion!$B$16,2020,2050),Report_Scenarios!$A$18:$A$24,1)),INDEX(Report_Scenarios!$B$18:$B$24,MATCH(MEDIAN($B30-Conversion!$B$16,2020,2050),Report_Scenarios!$A$18:$A$24,1)),INDEX(Report_Scenarios!$B$18:$B$24,MATCH(MEDIAN($B30-Conversion!$B$16,2020,2050),Report_Scenarios!$A$18:$A$24,1))+(INDEX(Report_Scenarios!$B$18:$B$24,MIN(MATCH(MEDIAN($B30-Conversion!$B$16,2020,2050),Report_Scenarios!$A$18:$A$24,1)+1,7))-INDEX(Report_Scenarios!$B$18:$B$24,MATCH(MEDIAN($B30-Conversion!$B$16,2020,2050),Report_Scenarios!$A$18:$A$24,1)))*(MEDIAN($B30-Conversion!$B$16,2020,2050)-INDEX(Report_Scenarios!$A$18:$A$24,MATCH(MEDIAN($B30-Conversion!$B$16,2020,2050),Report_Scenarios!$A$18:$A$24,1)))/(INDEX(Report_Scenarios!$A$18:$A$24,MIN(MATCH(MEDIAN($B30-Conversion!$B$16,2020,2050),Report_Scenarios!$A$18:$A$24,1)+1,7))-INDEX(Report_Scenarios!$A$18:$A$24,MATCH(MEDIAN($B30-Conversion!$B$16,2020,2050),Report_Scenarios!$A$18:$A$24,1)))),IF(INDEX(Report_Scenarios!$A$29:$A$35,MIN(MATCH(MEDIAN($B30-Conversion!$B$16,2020,2050),Report_Scenarios!$A$29:$A$35,1)+1,7))=INDEX(Report_Scenarios!$A$29:$A$35,MATCH(MEDIAN($B30-Conversion!$B$16,2020,2050),Report_Scenarios!$A$29:$A$35,1)),INDEX(Report_Scenarios!$B$29:$B$35,MATCH(MEDIAN($B30-Conversion!$B$16,2020,2050),Report_Scenarios!$A$29:$A$35,1)),INDEX(Report_Scenarios!$B$29:$B$35,MATCH(MEDIAN($B30-Conversion!$B$16,2020,2050),Report_Scenarios!$A$29:$A$35,1))+(INDEX(Report_Scenarios!$B$29:$B$35,MIN(MATCH(MEDIAN($B30-Conversion!$B$16,2020,2050),Report_Scenarios!$A$29:$A$35,1)+1,7))-INDEX(Report_Scenarios!$B$29:$B$35,MATCH(MEDIAN($B30-Conversion!$B$16,2020,2050),Report_Scenarios!$A$29:$A$35,1)))*(MEDIAN($B30-Conversion!$B$16,2020,2050)-INDEX(Report_Scenarios!$A$29:$A$35,MATCH(MEDIAN($B30-Conversion!$B$16,2020,2050),Report_Scenarios!$A$29:$A$35,1)))/(INDEX(Report_Scenarios!$A$29:$A$35,MIN(MATCH(MEDIAN($B30-Conversion!$B$16,2020,2050),Report_Scenarios!$A$29:$A$35,1)+1,7))-INDEX(Report_Scenarios!$A$29:$A$35,MATCH(MEDIAN($B30-Conversion!$B$16,2020,2050),Report_Scenarios!$A$29:$A$35,1))))))</f>
        <v/>
      </c>
      <c r="F30" s="23">
        <f>IF($D30="Conservative",IF(INDEX(Report_Scenarios!$A$7:$A$13,MIN(MATCH(MEDIAN($B30-Conversion!$B$16,2020,2050),Report_Scenarios!$A$7:$A$13,1)+1,7))=INDEX(Report_Scenarios!$A$7:$A$13,MATCH(MEDIAN($B30-Conversion!$B$16,2020,2050),Report_Scenarios!$A$7:$A$13,1)),INDEX(Report_Scenarios!$C$7:$C$13,MATCH(MEDIAN($B30-Conversion!$B$16,2020,2050),Report_Scenarios!$A$7:$A$13,1)),INDEX(Report_Scenarios!$C$7:$C$13,MATCH(MEDIAN($B30-Conversion!$B$16,2020,2050),Report_Scenarios!$A$7:$A$13,1))+(INDEX(Report_Scenarios!$C$7:$C$13,MIN(MATCH(MEDIAN($B30-Conversion!$B$16,2020,2050),Report_Scenarios!$A$7:$A$13,1)+1,7))-INDEX(Report_Scenarios!$C$7:$C$13,MATCH(MEDIAN($B30-Conversion!$B$16,2020,2050),Report_Scenarios!$A$7:$A$13,1)))*(MEDIAN($B30-Conversion!$B$16,2020,2050)-INDEX(Report_Scenarios!$A$7:$A$13,MATCH(MEDIAN($B30-Conversion!$B$16,2020,2050),Report_Scenarios!$A$7:$A$13,1)))/(INDEX(Report_Scenarios!$A$7:$A$13,MIN(MATCH(MEDIAN($B30-Conversion!$B$16,2020,2050),Report_Scenarios!$A$7:$A$13,1)+1,7))-INDEX(Report_Scenarios!$A$7:$A$13,MATCH(MEDIAN($B30-Conversion!$B$16,2020,2050),Report_Scenarios!$A$7:$A$13,1)))),IF($D30="Central",IF(INDEX(Report_Scenarios!$A$18:$A$24,MIN(MATCH(MEDIAN($B30-Conversion!$B$16,2020,2050),Report_Scenarios!$A$18:$A$24,1)+1,7))=INDEX(Report_Scenarios!$A$18:$A$24,MATCH(MEDIAN($B30-Conversion!$B$16,2020,2050),Report_Scenarios!$A$18:$A$24,1)),INDEX(Report_Scenarios!$C$18:$C$24,MATCH(MEDIAN($B30-Conversion!$B$16,2020,2050),Report_Scenarios!$A$18:$A$24,1)),INDEX(Report_Scenarios!$C$18:$C$24,MATCH(MEDIAN($B30-Conversion!$B$16,2020,2050),Report_Scenarios!$A$18:$A$24,1))+(INDEX(Report_Scenarios!$C$18:$C$24,MIN(MATCH(MEDIAN($B30-Conversion!$B$16,2020,2050),Report_Scenarios!$A$18:$A$24,1)+1,7))-INDEX(Report_Scenarios!$C$18:$C$24,MATCH(MEDIAN($B30-Conversion!$B$16,2020,2050),Report_Scenarios!$A$18:$A$24,1)))*(MEDIAN($B30-Conversion!$B$16,2020,2050)-INDEX(Report_Scenarios!$A$18:$A$24,MATCH(MEDIAN($B30-Conversion!$B$16,2020,2050),Report_Scenarios!$A$18:$A$24,1)))/(INDEX(Report_Scenarios!$A$18:$A$24,MIN(MATCH(MEDIAN($B30-Conversion!$B$16,2020,2050),Report_Scenarios!$A$18:$A$24,1)+1,7))-INDEX(Report_Scenarios!$A$18:$A$24,MATCH(MEDIAN($B30-Conversion!$B$16,2020,2050),Report_Scenarios!$A$18:$A$24,1)))),IF(INDEX(Report_Scenarios!$A$29:$A$35,MIN(MATCH(MEDIAN($B30-Conversion!$B$16,2020,2050),Report_Scenarios!$A$29:$A$35,1)+1,7))=INDEX(Report_Scenarios!$A$29:$A$35,MATCH(MEDIAN($B30-Conversion!$B$16,2020,2050),Report_Scenarios!$A$29:$A$35,1)),INDEX(Report_Scenarios!$C$29:$C$35,MATCH(MEDIAN($B30-Conversion!$B$16,2020,2050),Report_Scenarios!$A$29:$A$35,1)),INDEX(Report_Scenarios!$C$29:$C$35,MATCH(MEDIAN($B30-Conversion!$B$16,2020,2050),Report_Scenarios!$A$29:$A$35,1))+(INDEX(Report_Scenarios!$C$29:$C$35,MIN(MATCH(MEDIAN($B30-Conversion!$B$16,2020,2050),Report_Scenarios!$A$29:$A$35,1)+1,7))-INDEX(Report_Scenarios!$C$29:$C$35,MATCH(MEDIAN($B30-Conversion!$B$16,2020,2050),Report_Scenarios!$A$29:$A$35,1)))*(MEDIAN($B30-Conversion!$B$16,2020,2050)-INDEX(Report_Scenarios!$A$29:$A$35,MATCH(MEDIAN($B30-Conversion!$B$16,2020,2050),Report_Scenarios!$A$29:$A$35,1)))/(INDEX(Report_Scenarios!$A$29:$A$35,MIN(MATCH(MEDIAN($B30-Conversion!$B$16,2020,2050),Report_Scenarios!$A$29:$A$35,1)+1,7))-INDEX(Report_Scenarios!$A$29:$A$35,MATCH(MEDIAN($B30-Conversion!$B$16,2020,2050),Report_Scenarios!$A$29:$A$35,1))))))</f>
        <v/>
      </c>
      <c r="G30" s="23">
        <f>IF($D30="Conservative",IF(INDEX(Report_Scenarios!$A$7:$A$13,MIN(MATCH(MEDIAN($B30-Conversion!$B$16,2020,2050),Report_Scenarios!$A$7:$A$13,1)+1,7))=INDEX(Report_Scenarios!$A$7:$A$13,MATCH(MEDIAN($B30-Conversion!$B$16,2020,2050),Report_Scenarios!$A$7:$A$13,1)),INDEX(Report_Scenarios!$D$7:$D$13,MATCH(MEDIAN($B30-Conversion!$B$16,2020,2050),Report_Scenarios!$A$7:$A$13,1)),INDEX(Report_Scenarios!$D$7:$D$13,MATCH(MEDIAN($B30-Conversion!$B$16,2020,2050),Report_Scenarios!$A$7:$A$13,1))+(INDEX(Report_Scenarios!$D$7:$D$13,MIN(MATCH(MEDIAN($B30-Conversion!$B$16,2020,2050),Report_Scenarios!$A$7:$A$13,1)+1,7))-INDEX(Report_Scenarios!$D$7:$D$13,MATCH(MEDIAN($B30-Conversion!$B$16,2020,2050),Report_Scenarios!$A$7:$A$13,1)))*(MEDIAN($B30-Conversion!$B$16,2020,2050)-INDEX(Report_Scenarios!$A$7:$A$13,MATCH(MEDIAN($B30-Conversion!$B$16,2020,2050),Report_Scenarios!$A$7:$A$13,1)))/(INDEX(Report_Scenarios!$A$7:$A$13,MIN(MATCH(MEDIAN($B30-Conversion!$B$16,2020,2050),Report_Scenarios!$A$7:$A$13,1)+1,7))-INDEX(Report_Scenarios!$A$7:$A$13,MATCH(MEDIAN($B30-Conversion!$B$16,2020,2050),Report_Scenarios!$A$7:$A$13,1)))),IF($D30="Central",IF(INDEX(Report_Scenarios!$A$18:$A$24,MIN(MATCH(MEDIAN($B30-Conversion!$B$16,2020,2050),Report_Scenarios!$A$18:$A$24,1)+1,7))=INDEX(Report_Scenarios!$A$18:$A$24,MATCH(MEDIAN($B30-Conversion!$B$16,2020,2050),Report_Scenarios!$A$18:$A$24,1)),INDEX(Report_Scenarios!$D$18:$D$24,MATCH(MEDIAN($B30-Conversion!$B$16,2020,2050),Report_Scenarios!$A$18:$A$24,1)),INDEX(Report_Scenarios!$D$18:$D$24,MATCH(MEDIAN($B30-Conversion!$B$16,2020,2050),Report_Scenarios!$A$18:$A$24,1))+(INDEX(Report_Scenarios!$D$18:$D$24,MIN(MATCH(MEDIAN($B30-Conversion!$B$16,2020,2050),Report_Scenarios!$A$18:$A$24,1)+1,7))-INDEX(Report_Scenarios!$D$18:$D$24,MATCH(MEDIAN($B30-Conversion!$B$16,2020,2050),Report_Scenarios!$A$18:$A$24,1)))*(MEDIAN($B30-Conversion!$B$16,2020,2050)-INDEX(Report_Scenarios!$A$18:$A$24,MATCH(MEDIAN($B30-Conversion!$B$16,2020,2050),Report_Scenarios!$A$18:$A$24,1)))/(INDEX(Report_Scenarios!$A$18:$A$24,MIN(MATCH(MEDIAN($B30-Conversion!$B$16,2020,2050),Report_Scenarios!$A$18:$A$24,1)+1,7))-INDEX(Report_Scenarios!$A$18:$A$24,MATCH(MEDIAN($B30-Conversion!$B$16,2020,2050),Report_Scenarios!$A$18:$A$24,1)))),IF(INDEX(Report_Scenarios!$A$29:$A$35,MIN(MATCH(MEDIAN($B30-Conversion!$B$16,2020,2050),Report_Scenarios!$A$29:$A$35,1)+1,7))=INDEX(Report_Scenarios!$A$29:$A$35,MATCH(MEDIAN($B30-Conversion!$B$16,2020,2050),Report_Scenarios!$A$29:$A$35,1)),INDEX(Report_Scenarios!$D$29:$D$35,MATCH(MEDIAN($B30-Conversion!$B$16,2020,2050),Report_Scenarios!$A$29:$A$35,1)),INDEX(Report_Scenarios!$D$29:$D$35,MATCH(MEDIAN($B30-Conversion!$B$16,2020,2050),Report_Scenarios!$A$29:$A$35,1))+(INDEX(Report_Scenarios!$D$29:$D$35,MIN(MATCH(MEDIAN($B30-Conversion!$B$16,2020,2050),Report_Scenarios!$A$29:$A$35,1)+1,7))-INDEX(Report_Scenarios!$D$29:$D$35,MATCH(MEDIAN($B30-Conversion!$B$16,2020,2050),Report_Scenarios!$A$29:$A$35,1)))*(MEDIAN($B30-Conversion!$B$16,2020,2050)-INDEX(Report_Scenarios!$A$29:$A$35,MATCH(MEDIAN($B30-Conversion!$B$16,2020,2050),Report_Scenarios!$A$29:$A$35,1)))/(INDEX(Report_Scenarios!$A$29:$A$35,MIN(MATCH(MEDIAN($B30-Conversion!$B$16,2020,2050),Report_Scenarios!$A$29:$A$35,1)+1,7))-INDEX(Report_Scenarios!$A$29:$A$35,MATCH(MEDIAN($B30-Conversion!$B$16,2020,2050),Report_Scenarios!$A$29:$A$35,1))))))</f>
        <v/>
      </c>
      <c r="H30" s="23">
        <f>IF($D30="Conservative",IF(INDEX(Report_Scenarios!$A$7:$A$13,MIN(MATCH(MEDIAN($B30-Conversion!$B$16,2020,2050),Report_Scenarios!$A$7:$A$13,1)+1,7))=INDEX(Report_Scenarios!$A$7:$A$13,MATCH(MEDIAN($B30-Conversion!$B$16,2020,2050),Report_Scenarios!$A$7:$A$13,1)),INDEX(Report_Scenarios!$E$7:$E$13,MATCH(MEDIAN($B30-Conversion!$B$16,2020,2050),Report_Scenarios!$A$7:$A$13,1)),INDEX(Report_Scenarios!$E$7:$E$13,MATCH(MEDIAN($B30-Conversion!$B$16,2020,2050),Report_Scenarios!$A$7:$A$13,1))+(INDEX(Report_Scenarios!$E$7:$E$13,MIN(MATCH(MEDIAN($B30-Conversion!$B$16,2020,2050),Report_Scenarios!$A$7:$A$13,1)+1,7))-INDEX(Report_Scenarios!$E$7:$E$13,MATCH(MEDIAN($B30-Conversion!$B$16,2020,2050),Report_Scenarios!$A$7:$A$13,1)))*(MEDIAN($B30-Conversion!$B$16,2020,2050)-INDEX(Report_Scenarios!$A$7:$A$13,MATCH(MEDIAN($B30-Conversion!$B$16,2020,2050),Report_Scenarios!$A$7:$A$13,1)))/(INDEX(Report_Scenarios!$A$7:$A$13,MIN(MATCH(MEDIAN($B30-Conversion!$B$16,2020,2050),Report_Scenarios!$A$7:$A$13,1)+1,7))-INDEX(Report_Scenarios!$A$7:$A$13,MATCH(MEDIAN($B30-Conversion!$B$16,2020,2050),Report_Scenarios!$A$7:$A$13,1)))),IF($D30="Central",IF(INDEX(Report_Scenarios!$A$18:$A$24,MIN(MATCH(MEDIAN($B30-Conversion!$B$16,2020,2050),Report_Scenarios!$A$18:$A$24,1)+1,7))=INDEX(Report_Scenarios!$A$18:$A$24,MATCH(MEDIAN($B30-Conversion!$B$16,2020,2050),Report_Scenarios!$A$18:$A$24,1)),INDEX(Report_Scenarios!$E$18:$E$24,MATCH(MEDIAN($B30-Conversion!$B$16,2020,2050),Report_Scenarios!$A$18:$A$24,1)),INDEX(Report_Scenarios!$E$18:$E$24,MATCH(MEDIAN($B30-Conversion!$B$16,2020,2050),Report_Scenarios!$A$18:$A$24,1))+(INDEX(Report_Scenarios!$E$18:$E$24,MIN(MATCH(MEDIAN($B30-Conversion!$B$16,2020,2050),Report_Scenarios!$A$18:$A$24,1)+1,7))-INDEX(Report_Scenarios!$E$18:$E$24,MATCH(MEDIAN($B30-Conversion!$B$16,2020,2050),Report_Scenarios!$A$18:$A$24,1)))*(MEDIAN($B30-Conversion!$B$16,2020,2050)-INDEX(Report_Scenarios!$A$18:$A$24,MATCH(MEDIAN($B30-Conversion!$B$16,2020,2050),Report_Scenarios!$A$18:$A$24,1)))/(INDEX(Report_Scenarios!$A$18:$A$24,MIN(MATCH(MEDIAN($B30-Conversion!$B$16,2020,2050),Report_Scenarios!$A$18:$A$24,1)+1,7))-INDEX(Report_Scenarios!$A$18:$A$24,MATCH(MEDIAN($B30-Conversion!$B$16,2020,2050),Report_Scenarios!$A$18:$A$24,1)))),IF(INDEX(Report_Scenarios!$A$29:$A$35,MIN(MATCH(MEDIAN($B30-Conversion!$B$16,2020,2050),Report_Scenarios!$A$29:$A$35,1)+1,7))=INDEX(Report_Scenarios!$A$29:$A$35,MATCH(MEDIAN($B30-Conversion!$B$16,2020,2050),Report_Scenarios!$A$29:$A$35,1)),INDEX(Report_Scenarios!$E$29:$E$35,MATCH(MEDIAN($B30-Conversion!$B$16,2020,2050),Report_Scenarios!$A$29:$A$35,1)),INDEX(Report_Scenarios!$E$29:$E$35,MATCH(MEDIAN($B30-Conversion!$B$16,2020,2050),Report_Scenarios!$A$29:$A$35,1))+(INDEX(Report_Scenarios!$E$29:$E$35,MIN(MATCH(MEDIAN($B30-Conversion!$B$16,2020,2050),Report_Scenarios!$A$29:$A$35,1)+1,7))-INDEX(Report_Scenarios!$E$29:$E$35,MATCH(MEDIAN($B30-Conversion!$B$16,2020,2050),Report_Scenarios!$A$29:$A$35,1)))*(MEDIAN($B30-Conversion!$B$16,2020,2050)-INDEX(Report_Scenarios!$A$29:$A$35,MATCH(MEDIAN($B30-Conversion!$B$16,2020,2050),Report_Scenarios!$A$29:$A$35,1)))/(INDEX(Report_Scenarios!$A$29:$A$35,MIN(MATCH(MEDIAN($B30-Conversion!$B$16,2020,2050),Report_Scenarios!$A$29:$A$35,1)+1,7))-INDEX(Report_Scenarios!$A$29:$A$35,MATCH(MEDIAN($B30-Conversion!$B$16,2020,2050),Report_Scenarios!$A$29:$A$35,1))))))</f>
        <v/>
      </c>
      <c r="I30" s="23">
        <f>IF($D30="Conservative",IF(INDEX(Report_Scenarios!$A$7:$A$13,MIN(MATCH(MEDIAN($B30-Conversion!$B$16,2020,2050),Report_Scenarios!$A$7:$A$13,1)+1,7))=INDEX(Report_Scenarios!$A$7:$A$13,MATCH(MEDIAN($B30-Conversion!$B$16,2020,2050),Report_Scenarios!$A$7:$A$13,1)),INDEX(Report_Scenarios!$F$7:$F$13,MATCH(MEDIAN($B30-Conversion!$B$16,2020,2050),Report_Scenarios!$A$7:$A$13,1)),INDEX(Report_Scenarios!$F$7:$F$13,MATCH(MEDIAN($B30-Conversion!$B$16,2020,2050),Report_Scenarios!$A$7:$A$13,1))+(INDEX(Report_Scenarios!$F$7:$F$13,MIN(MATCH(MEDIAN($B30-Conversion!$B$16,2020,2050),Report_Scenarios!$A$7:$A$13,1)+1,7))-INDEX(Report_Scenarios!$F$7:$F$13,MATCH(MEDIAN($B30-Conversion!$B$16,2020,2050),Report_Scenarios!$A$7:$A$13,1)))*(MEDIAN($B30-Conversion!$B$16,2020,2050)-INDEX(Report_Scenarios!$A$7:$A$13,MATCH(MEDIAN($B30-Conversion!$B$16,2020,2050),Report_Scenarios!$A$7:$A$13,1)))/(INDEX(Report_Scenarios!$A$7:$A$13,MIN(MATCH(MEDIAN($B30-Conversion!$B$16,2020,2050),Report_Scenarios!$A$7:$A$13,1)+1,7))-INDEX(Report_Scenarios!$A$7:$A$13,MATCH(MEDIAN($B30-Conversion!$B$16,2020,2050),Report_Scenarios!$A$7:$A$13,1)))),IF($D30="Central",IF(INDEX(Report_Scenarios!$A$18:$A$24,MIN(MATCH(MEDIAN($B30-Conversion!$B$16,2020,2050),Report_Scenarios!$A$18:$A$24,1)+1,7))=INDEX(Report_Scenarios!$A$18:$A$24,MATCH(MEDIAN($B30-Conversion!$B$16,2020,2050),Report_Scenarios!$A$18:$A$24,1)),INDEX(Report_Scenarios!$F$18:$F$24,MATCH(MEDIAN($B30-Conversion!$B$16,2020,2050),Report_Scenarios!$A$18:$A$24,1)),INDEX(Report_Scenarios!$F$18:$F$24,MATCH(MEDIAN($B30-Conversion!$B$16,2020,2050),Report_Scenarios!$A$18:$A$24,1))+(INDEX(Report_Scenarios!$F$18:$F$24,MIN(MATCH(MEDIAN($B30-Conversion!$B$16,2020,2050),Report_Scenarios!$A$18:$A$24,1)+1,7))-INDEX(Report_Scenarios!$F$18:$F$24,MATCH(MEDIAN($B30-Conversion!$B$16,2020,2050),Report_Scenarios!$A$18:$A$24,1)))*(MEDIAN($B30-Conversion!$B$16,2020,2050)-INDEX(Report_Scenarios!$A$18:$A$24,MATCH(MEDIAN($B30-Conversion!$B$16,2020,2050),Report_Scenarios!$A$18:$A$24,1)))/(INDEX(Report_Scenarios!$A$18:$A$24,MIN(MATCH(MEDIAN($B30-Conversion!$B$16,2020,2050),Report_Scenarios!$A$18:$A$24,1)+1,7))-INDEX(Report_Scenarios!$A$18:$A$24,MATCH(MEDIAN($B30-Conversion!$B$16,2020,2050),Report_Scenarios!$A$18:$A$24,1)))),IF(INDEX(Report_Scenarios!$A$29:$A$35,MIN(MATCH(MEDIAN($B30-Conversion!$B$16,2020,2050),Report_Scenarios!$A$29:$A$35,1)+1,7))=INDEX(Report_Scenarios!$A$29:$A$35,MATCH(MEDIAN($B30-Conversion!$B$16,2020,2050),Report_Scenarios!$A$29:$A$35,1)),INDEX(Report_Scenarios!$F$29:$F$35,MATCH(MEDIAN($B30-Conversion!$B$16,2020,2050),Report_Scenarios!$A$29:$A$35,1)),INDEX(Report_Scenarios!$F$29:$F$35,MATCH(MEDIAN($B30-Conversion!$B$16,2020,2050),Report_Scenarios!$A$29:$A$35,1))+(INDEX(Report_Scenarios!$F$29:$F$35,MIN(MATCH(MEDIAN($B30-Conversion!$B$16,2020,2050),Report_Scenarios!$A$29:$A$35,1)+1,7))-INDEX(Report_Scenarios!$F$29:$F$35,MATCH(MEDIAN($B30-Conversion!$B$16,2020,2050),Report_Scenarios!$A$29:$A$35,1)))*(MEDIAN($B30-Conversion!$B$16,2020,2050)-INDEX(Report_Scenarios!$A$29:$A$35,MATCH(MEDIAN($B30-Conversion!$B$16,2020,2050),Report_Scenarios!$A$29:$A$35,1)))/(INDEX(Report_Scenarios!$A$29:$A$35,MIN(MATCH(MEDIAN($B30-Conversion!$B$16,2020,2050),Report_Scenarios!$A$29:$A$35,1)+1,7))-INDEX(Report_Scenarios!$A$29:$A$35,MATCH(MEDIAN($B30-Conversion!$B$16,2020,2050),Report_Scenarios!$A$29:$A$35,1))))))</f>
        <v/>
      </c>
      <c r="J30" s="23">
        <f>IF($D30="Conservative",IF(INDEX(Report_Scenarios!$A$7:$A$13,MIN(MATCH(MEDIAN($B30-Conversion!$B$16,2020,2050),Report_Scenarios!$A$7:$A$13,1)+1,7))=INDEX(Report_Scenarios!$A$7:$A$13,MATCH(MEDIAN($B30-Conversion!$B$16,2020,2050),Report_Scenarios!$A$7:$A$13,1)),INDEX(Report_Scenarios!$G$7:$G$13,MATCH(MEDIAN($B30-Conversion!$B$16,2020,2050),Report_Scenarios!$A$7:$A$13,1)),INDEX(Report_Scenarios!$G$7:$G$13,MATCH(MEDIAN($B30-Conversion!$B$16,2020,2050),Report_Scenarios!$A$7:$A$13,1))+(INDEX(Report_Scenarios!$G$7:$G$13,MIN(MATCH(MEDIAN($B30-Conversion!$B$16,2020,2050),Report_Scenarios!$A$7:$A$13,1)+1,7))-INDEX(Report_Scenarios!$G$7:$G$13,MATCH(MEDIAN($B30-Conversion!$B$16,2020,2050),Report_Scenarios!$A$7:$A$13,1)))*(MEDIAN($B30-Conversion!$B$16,2020,2050)-INDEX(Report_Scenarios!$A$7:$A$13,MATCH(MEDIAN($B30-Conversion!$B$16,2020,2050),Report_Scenarios!$A$7:$A$13,1)))/(INDEX(Report_Scenarios!$A$7:$A$13,MIN(MATCH(MEDIAN($B30-Conversion!$B$16,2020,2050),Report_Scenarios!$A$7:$A$13,1)+1,7))-INDEX(Report_Scenarios!$A$7:$A$13,MATCH(MEDIAN($B30-Conversion!$B$16,2020,2050),Report_Scenarios!$A$7:$A$13,1)))),IF($D30="Central",IF(INDEX(Report_Scenarios!$A$18:$A$24,MIN(MATCH(MEDIAN($B30-Conversion!$B$16,2020,2050),Report_Scenarios!$A$18:$A$24,1)+1,7))=INDEX(Report_Scenarios!$A$18:$A$24,MATCH(MEDIAN($B30-Conversion!$B$16,2020,2050),Report_Scenarios!$A$18:$A$24,1)),INDEX(Report_Scenarios!$G$18:$G$24,MATCH(MEDIAN($B30-Conversion!$B$16,2020,2050),Report_Scenarios!$A$18:$A$24,1)),INDEX(Report_Scenarios!$G$18:$G$24,MATCH(MEDIAN($B30-Conversion!$B$16,2020,2050),Report_Scenarios!$A$18:$A$24,1))+(INDEX(Report_Scenarios!$G$18:$G$24,MIN(MATCH(MEDIAN($B30-Conversion!$B$16,2020,2050),Report_Scenarios!$A$18:$A$24,1)+1,7))-INDEX(Report_Scenarios!$G$18:$G$24,MATCH(MEDIAN($B30-Conversion!$B$16,2020,2050),Report_Scenarios!$A$18:$A$24,1)))*(MEDIAN($B30-Conversion!$B$16,2020,2050)-INDEX(Report_Scenarios!$A$18:$A$24,MATCH(MEDIAN($B30-Conversion!$B$16,2020,2050),Report_Scenarios!$A$18:$A$24,1)))/(INDEX(Report_Scenarios!$A$18:$A$24,MIN(MATCH(MEDIAN($B30-Conversion!$B$16,2020,2050),Report_Scenarios!$A$18:$A$24,1)+1,7))-INDEX(Report_Scenarios!$A$18:$A$24,MATCH(MEDIAN($B30-Conversion!$B$16,2020,2050),Report_Scenarios!$A$18:$A$24,1)))),IF(INDEX(Report_Scenarios!$A$29:$A$35,MIN(MATCH(MEDIAN($B30-Conversion!$B$16,2020,2050),Report_Scenarios!$A$29:$A$35,1)+1,7))=INDEX(Report_Scenarios!$A$29:$A$35,MATCH(MEDIAN($B30-Conversion!$B$16,2020,2050),Report_Scenarios!$A$29:$A$35,1)),INDEX(Report_Scenarios!$G$29:$G$35,MATCH(MEDIAN($B30-Conversion!$B$16,2020,2050),Report_Scenarios!$A$29:$A$35,1)),INDEX(Report_Scenarios!$G$29:$G$35,MATCH(MEDIAN($B30-Conversion!$B$16,2020,2050),Report_Scenarios!$A$29:$A$35,1))+(INDEX(Report_Scenarios!$G$29:$G$35,MIN(MATCH(MEDIAN($B30-Conversion!$B$16,2020,2050),Report_Scenarios!$A$29:$A$35,1)+1,7))-INDEX(Report_Scenarios!$G$29:$G$35,MATCH(MEDIAN($B30-Conversion!$B$16,2020,2050),Report_Scenarios!$A$29:$A$35,1)))*(MEDIAN($B30-Conversion!$B$16,2020,2050)-INDEX(Report_Scenarios!$A$29:$A$35,MATCH(MEDIAN($B30-Conversion!$B$16,2020,2050),Report_Scenarios!$A$29:$A$35,1)))/(INDEX(Report_Scenarios!$A$29:$A$35,MIN(MATCH(MEDIAN($B30-Conversion!$B$16,2020,2050),Report_Scenarios!$A$29:$A$35,1)+1,7))-INDEX(Report_Scenarios!$A$29:$A$35,MATCH(MEDIAN($B30-Conversion!$B$16,2020,2050),Report_Scenarios!$A$29:$A$35,1))))))</f>
        <v/>
      </c>
      <c r="K30" s="23">
        <f>SUM(E30:J30)</f>
        <v/>
      </c>
      <c r="L30" s="23">
        <f>IF(R30&lt;&gt;"",R30,IF($K30=0,0,E30/$K30))</f>
        <v/>
      </c>
      <c r="M30" s="23">
        <f>IF(S30&lt;&gt;"",S30,IF($K30=0,0,F30/$K30))</f>
        <v/>
      </c>
      <c r="N30" s="23">
        <f>IF(T30&lt;&gt;"",T30,IF($K30=0,0,G30/$K30))</f>
        <v/>
      </c>
      <c r="O30" s="23">
        <f>IF(U30&lt;&gt;"",U30,IF($K30=0,0,H30/$K30))</f>
        <v/>
      </c>
      <c r="P30" s="23">
        <f>IF(V30&lt;&gt;"",V30,IF($K30=0,0,I30/$K30))</f>
        <v/>
      </c>
      <c r="Q30" s="23">
        <f>IF(W30&lt;&gt;"",W30,IF($K30=0,0,J30/$K30))</f>
        <v/>
      </c>
      <c r="R30" s="24" t="n"/>
      <c r="S30" s="24" t="n"/>
      <c r="T30" s="24" t="n"/>
      <c r="U30" s="24" t="n"/>
      <c r="V30" s="24" t="n"/>
      <c r="W30" s="24" t="n"/>
    </row>
    <row r="31">
      <c r="A31" s="4" t="inlineStr">
        <is>
          <t>AB</t>
        </is>
      </c>
      <c r="B31" s="4" t="n">
        <v>2060</v>
      </c>
      <c r="C31" s="4" t="inlineStr">
        <is>
          <t>Share_Max</t>
        </is>
      </c>
      <c r="D31" s="4">
        <f>Conversion!$B$20</f>
        <v/>
      </c>
      <c r="E31" s="23">
        <f>IF($D31="Conservative",IF(INDEX(Report_Scenarios!$A$7:$A$13,MIN(MATCH(MEDIAN($B31-Conversion!$B$16,2020,2050),Report_Scenarios!$A$7:$A$13,1)+1,7))=INDEX(Report_Scenarios!$A$7:$A$13,MATCH(MEDIAN($B31-Conversion!$B$16,2020,2050),Report_Scenarios!$A$7:$A$13,1)),INDEX(Report_Scenarios!$B$7:$B$13,MATCH(MEDIAN($B31-Conversion!$B$16,2020,2050),Report_Scenarios!$A$7:$A$13,1)),INDEX(Report_Scenarios!$B$7:$B$13,MATCH(MEDIAN($B31-Conversion!$B$16,2020,2050),Report_Scenarios!$A$7:$A$13,1))+(INDEX(Report_Scenarios!$B$7:$B$13,MIN(MATCH(MEDIAN($B31-Conversion!$B$16,2020,2050),Report_Scenarios!$A$7:$A$13,1)+1,7))-INDEX(Report_Scenarios!$B$7:$B$13,MATCH(MEDIAN($B31-Conversion!$B$16,2020,2050),Report_Scenarios!$A$7:$A$13,1)))*(MEDIAN($B31-Conversion!$B$16,2020,2050)-INDEX(Report_Scenarios!$A$7:$A$13,MATCH(MEDIAN($B31-Conversion!$B$16,2020,2050),Report_Scenarios!$A$7:$A$13,1)))/(INDEX(Report_Scenarios!$A$7:$A$13,MIN(MATCH(MEDIAN($B31-Conversion!$B$16,2020,2050),Report_Scenarios!$A$7:$A$13,1)+1,7))-INDEX(Report_Scenarios!$A$7:$A$13,MATCH(MEDIAN($B31-Conversion!$B$16,2020,2050),Report_Scenarios!$A$7:$A$13,1)))),IF($D31="Central",IF(INDEX(Report_Scenarios!$A$18:$A$24,MIN(MATCH(MEDIAN($B31-Conversion!$B$16,2020,2050),Report_Scenarios!$A$18:$A$24,1)+1,7))=INDEX(Report_Scenarios!$A$18:$A$24,MATCH(MEDIAN($B31-Conversion!$B$16,2020,2050),Report_Scenarios!$A$18:$A$24,1)),INDEX(Report_Scenarios!$B$18:$B$24,MATCH(MEDIAN($B31-Conversion!$B$16,2020,2050),Report_Scenarios!$A$18:$A$24,1)),INDEX(Report_Scenarios!$B$18:$B$24,MATCH(MEDIAN($B31-Conversion!$B$16,2020,2050),Report_Scenarios!$A$18:$A$24,1))+(INDEX(Report_Scenarios!$B$18:$B$24,MIN(MATCH(MEDIAN($B31-Conversion!$B$16,2020,2050),Report_Scenarios!$A$18:$A$24,1)+1,7))-INDEX(Report_Scenarios!$B$18:$B$24,MATCH(MEDIAN($B31-Conversion!$B$16,2020,2050),Report_Scenarios!$A$18:$A$24,1)))*(MEDIAN($B31-Conversion!$B$16,2020,2050)-INDEX(Report_Scenarios!$A$18:$A$24,MATCH(MEDIAN($B31-Conversion!$B$16,2020,2050),Report_Scenarios!$A$18:$A$24,1)))/(INDEX(Report_Scenarios!$A$18:$A$24,MIN(MATCH(MEDIAN($B31-Conversion!$B$16,2020,2050),Report_Scenarios!$A$18:$A$24,1)+1,7))-INDEX(Report_Scenarios!$A$18:$A$24,MATCH(MEDIAN($B31-Conversion!$B$16,2020,2050),Report_Scenarios!$A$18:$A$24,1)))),IF(INDEX(Report_Scenarios!$A$29:$A$35,MIN(MATCH(MEDIAN($B31-Conversion!$B$16,2020,2050),Report_Scenarios!$A$29:$A$35,1)+1,7))=INDEX(Report_Scenarios!$A$29:$A$35,MATCH(MEDIAN($B31-Conversion!$B$16,2020,2050),Report_Scenarios!$A$29:$A$35,1)),INDEX(Report_Scenarios!$B$29:$B$35,MATCH(MEDIAN($B31-Conversion!$B$16,2020,2050),Report_Scenarios!$A$29:$A$35,1)),INDEX(Report_Scenarios!$B$29:$B$35,MATCH(MEDIAN($B31-Conversion!$B$16,2020,2050),Report_Scenarios!$A$29:$A$35,1))+(INDEX(Report_Scenarios!$B$29:$B$35,MIN(MATCH(MEDIAN($B31-Conversion!$B$16,2020,2050),Report_Scenarios!$A$29:$A$35,1)+1,7))-INDEX(Report_Scenarios!$B$29:$B$35,MATCH(MEDIAN($B31-Conversion!$B$16,2020,2050),Report_Scenarios!$A$29:$A$35,1)))*(MEDIAN($B31-Conversion!$B$16,2020,2050)-INDEX(Report_Scenarios!$A$29:$A$35,MATCH(MEDIAN($B31-Conversion!$B$16,2020,2050),Report_Scenarios!$A$29:$A$35,1)))/(INDEX(Report_Scenarios!$A$29:$A$35,MIN(MATCH(MEDIAN($B31-Conversion!$B$16,2020,2050),Report_Scenarios!$A$29:$A$35,1)+1,7))-INDEX(Report_Scenarios!$A$29:$A$35,MATCH(MEDIAN($B31-Conversion!$B$16,2020,2050),Report_Scenarios!$A$29:$A$35,1))))))</f>
        <v/>
      </c>
      <c r="F31" s="23">
        <f>IF($D31="Conservative",IF(INDEX(Report_Scenarios!$A$7:$A$13,MIN(MATCH(MEDIAN($B31-Conversion!$B$16,2020,2050),Report_Scenarios!$A$7:$A$13,1)+1,7))=INDEX(Report_Scenarios!$A$7:$A$13,MATCH(MEDIAN($B31-Conversion!$B$16,2020,2050),Report_Scenarios!$A$7:$A$13,1)),INDEX(Report_Scenarios!$C$7:$C$13,MATCH(MEDIAN($B31-Conversion!$B$16,2020,2050),Report_Scenarios!$A$7:$A$13,1)),INDEX(Report_Scenarios!$C$7:$C$13,MATCH(MEDIAN($B31-Conversion!$B$16,2020,2050),Report_Scenarios!$A$7:$A$13,1))+(INDEX(Report_Scenarios!$C$7:$C$13,MIN(MATCH(MEDIAN($B31-Conversion!$B$16,2020,2050),Report_Scenarios!$A$7:$A$13,1)+1,7))-INDEX(Report_Scenarios!$C$7:$C$13,MATCH(MEDIAN($B31-Conversion!$B$16,2020,2050),Report_Scenarios!$A$7:$A$13,1)))*(MEDIAN($B31-Conversion!$B$16,2020,2050)-INDEX(Report_Scenarios!$A$7:$A$13,MATCH(MEDIAN($B31-Conversion!$B$16,2020,2050),Report_Scenarios!$A$7:$A$13,1)))/(INDEX(Report_Scenarios!$A$7:$A$13,MIN(MATCH(MEDIAN($B31-Conversion!$B$16,2020,2050),Report_Scenarios!$A$7:$A$13,1)+1,7))-INDEX(Report_Scenarios!$A$7:$A$13,MATCH(MEDIAN($B31-Conversion!$B$16,2020,2050),Report_Scenarios!$A$7:$A$13,1)))),IF($D31="Central",IF(INDEX(Report_Scenarios!$A$18:$A$24,MIN(MATCH(MEDIAN($B31-Conversion!$B$16,2020,2050),Report_Scenarios!$A$18:$A$24,1)+1,7))=INDEX(Report_Scenarios!$A$18:$A$24,MATCH(MEDIAN($B31-Conversion!$B$16,2020,2050),Report_Scenarios!$A$18:$A$24,1)),INDEX(Report_Scenarios!$C$18:$C$24,MATCH(MEDIAN($B31-Conversion!$B$16,2020,2050),Report_Scenarios!$A$18:$A$24,1)),INDEX(Report_Scenarios!$C$18:$C$24,MATCH(MEDIAN($B31-Conversion!$B$16,2020,2050),Report_Scenarios!$A$18:$A$24,1))+(INDEX(Report_Scenarios!$C$18:$C$24,MIN(MATCH(MEDIAN($B31-Conversion!$B$16,2020,2050),Report_Scenarios!$A$18:$A$24,1)+1,7))-INDEX(Report_Scenarios!$C$18:$C$24,MATCH(MEDIAN($B31-Conversion!$B$16,2020,2050),Report_Scenarios!$A$18:$A$24,1)))*(MEDIAN($B31-Conversion!$B$16,2020,2050)-INDEX(Report_Scenarios!$A$18:$A$24,MATCH(MEDIAN($B31-Conversion!$B$16,2020,2050),Report_Scenarios!$A$18:$A$24,1)))/(INDEX(Report_Scenarios!$A$18:$A$24,MIN(MATCH(MEDIAN($B31-Conversion!$B$16,2020,2050),Report_Scenarios!$A$18:$A$24,1)+1,7))-INDEX(Report_Scenarios!$A$18:$A$24,MATCH(MEDIAN($B31-Conversion!$B$16,2020,2050),Report_Scenarios!$A$18:$A$24,1)))),IF(INDEX(Report_Scenarios!$A$29:$A$35,MIN(MATCH(MEDIAN($B31-Conversion!$B$16,2020,2050),Report_Scenarios!$A$29:$A$35,1)+1,7))=INDEX(Report_Scenarios!$A$29:$A$35,MATCH(MEDIAN($B31-Conversion!$B$16,2020,2050),Report_Scenarios!$A$29:$A$35,1)),INDEX(Report_Scenarios!$C$29:$C$35,MATCH(MEDIAN($B31-Conversion!$B$16,2020,2050),Report_Scenarios!$A$29:$A$35,1)),INDEX(Report_Scenarios!$C$29:$C$35,MATCH(MEDIAN($B31-Conversion!$B$16,2020,2050),Report_Scenarios!$A$29:$A$35,1))+(INDEX(Report_Scenarios!$C$29:$C$35,MIN(MATCH(MEDIAN($B31-Conversion!$B$16,2020,2050),Report_Scenarios!$A$29:$A$35,1)+1,7))-INDEX(Report_Scenarios!$C$29:$C$35,MATCH(MEDIAN($B31-Conversion!$B$16,2020,2050),Report_Scenarios!$A$29:$A$35,1)))*(MEDIAN($B31-Conversion!$B$16,2020,2050)-INDEX(Report_Scenarios!$A$29:$A$35,MATCH(MEDIAN($B31-Conversion!$B$16,2020,2050),Report_Scenarios!$A$29:$A$35,1)))/(INDEX(Report_Scenarios!$A$29:$A$35,MIN(MATCH(MEDIAN($B31-Conversion!$B$16,2020,2050),Report_Scenarios!$A$29:$A$35,1)+1,7))-INDEX(Report_Scenarios!$A$29:$A$35,MATCH(MEDIAN($B31-Conversion!$B$16,2020,2050),Report_Scenarios!$A$29:$A$35,1))))))</f>
        <v/>
      </c>
      <c r="G31" s="23">
        <f>IF($D31="Conservative",IF(INDEX(Report_Scenarios!$A$7:$A$13,MIN(MATCH(MEDIAN($B31-Conversion!$B$16,2020,2050),Report_Scenarios!$A$7:$A$13,1)+1,7))=INDEX(Report_Scenarios!$A$7:$A$13,MATCH(MEDIAN($B31-Conversion!$B$16,2020,2050),Report_Scenarios!$A$7:$A$13,1)),INDEX(Report_Scenarios!$D$7:$D$13,MATCH(MEDIAN($B31-Conversion!$B$16,2020,2050),Report_Scenarios!$A$7:$A$13,1)),INDEX(Report_Scenarios!$D$7:$D$13,MATCH(MEDIAN($B31-Conversion!$B$16,2020,2050),Report_Scenarios!$A$7:$A$13,1))+(INDEX(Report_Scenarios!$D$7:$D$13,MIN(MATCH(MEDIAN($B31-Conversion!$B$16,2020,2050),Report_Scenarios!$A$7:$A$13,1)+1,7))-INDEX(Report_Scenarios!$D$7:$D$13,MATCH(MEDIAN($B31-Conversion!$B$16,2020,2050),Report_Scenarios!$A$7:$A$13,1)))*(MEDIAN($B31-Conversion!$B$16,2020,2050)-INDEX(Report_Scenarios!$A$7:$A$13,MATCH(MEDIAN($B31-Conversion!$B$16,2020,2050),Report_Scenarios!$A$7:$A$13,1)))/(INDEX(Report_Scenarios!$A$7:$A$13,MIN(MATCH(MEDIAN($B31-Conversion!$B$16,2020,2050),Report_Scenarios!$A$7:$A$13,1)+1,7))-INDEX(Report_Scenarios!$A$7:$A$13,MATCH(MEDIAN($B31-Conversion!$B$16,2020,2050),Report_Scenarios!$A$7:$A$13,1)))),IF($D31="Central",IF(INDEX(Report_Scenarios!$A$18:$A$24,MIN(MATCH(MEDIAN($B31-Conversion!$B$16,2020,2050),Report_Scenarios!$A$18:$A$24,1)+1,7))=INDEX(Report_Scenarios!$A$18:$A$24,MATCH(MEDIAN($B31-Conversion!$B$16,2020,2050),Report_Scenarios!$A$18:$A$24,1)),INDEX(Report_Scenarios!$D$18:$D$24,MATCH(MEDIAN($B31-Conversion!$B$16,2020,2050),Report_Scenarios!$A$18:$A$24,1)),INDEX(Report_Scenarios!$D$18:$D$24,MATCH(MEDIAN($B31-Conversion!$B$16,2020,2050),Report_Scenarios!$A$18:$A$24,1))+(INDEX(Report_Scenarios!$D$18:$D$24,MIN(MATCH(MEDIAN($B31-Conversion!$B$16,2020,2050),Report_Scenarios!$A$18:$A$24,1)+1,7))-INDEX(Report_Scenarios!$D$18:$D$24,MATCH(MEDIAN($B31-Conversion!$B$16,2020,2050),Report_Scenarios!$A$18:$A$24,1)))*(MEDIAN($B31-Conversion!$B$16,2020,2050)-INDEX(Report_Scenarios!$A$18:$A$24,MATCH(MEDIAN($B31-Conversion!$B$16,2020,2050),Report_Scenarios!$A$18:$A$24,1)))/(INDEX(Report_Scenarios!$A$18:$A$24,MIN(MATCH(MEDIAN($B31-Conversion!$B$16,2020,2050),Report_Scenarios!$A$18:$A$24,1)+1,7))-INDEX(Report_Scenarios!$A$18:$A$24,MATCH(MEDIAN($B31-Conversion!$B$16,2020,2050),Report_Scenarios!$A$18:$A$24,1)))),IF(INDEX(Report_Scenarios!$A$29:$A$35,MIN(MATCH(MEDIAN($B31-Conversion!$B$16,2020,2050),Report_Scenarios!$A$29:$A$35,1)+1,7))=INDEX(Report_Scenarios!$A$29:$A$35,MATCH(MEDIAN($B31-Conversion!$B$16,2020,2050),Report_Scenarios!$A$29:$A$35,1)),INDEX(Report_Scenarios!$D$29:$D$35,MATCH(MEDIAN($B31-Conversion!$B$16,2020,2050),Report_Scenarios!$A$29:$A$35,1)),INDEX(Report_Scenarios!$D$29:$D$35,MATCH(MEDIAN($B31-Conversion!$B$16,2020,2050),Report_Scenarios!$A$29:$A$35,1))+(INDEX(Report_Scenarios!$D$29:$D$35,MIN(MATCH(MEDIAN($B31-Conversion!$B$16,2020,2050),Report_Scenarios!$A$29:$A$35,1)+1,7))-INDEX(Report_Scenarios!$D$29:$D$35,MATCH(MEDIAN($B31-Conversion!$B$16,2020,2050),Report_Scenarios!$A$29:$A$35,1)))*(MEDIAN($B31-Conversion!$B$16,2020,2050)-INDEX(Report_Scenarios!$A$29:$A$35,MATCH(MEDIAN($B31-Conversion!$B$16,2020,2050),Report_Scenarios!$A$29:$A$35,1)))/(INDEX(Report_Scenarios!$A$29:$A$35,MIN(MATCH(MEDIAN($B31-Conversion!$B$16,2020,2050),Report_Scenarios!$A$29:$A$35,1)+1,7))-INDEX(Report_Scenarios!$A$29:$A$35,MATCH(MEDIAN($B31-Conversion!$B$16,2020,2050),Report_Scenarios!$A$29:$A$35,1))))))</f>
        <v/>
      </c>
      <c r="H31" s="23">
        <f>IF($D31="Conservative",IF(INDEX(Report_Scenarios!$A$7:$A$13,MIN(MATCH(MEDIAN($B31-Conversion!$B$16,2020,2050),Report_Scenarios!$A$7:$A$13,1)+1,7))=INDEX(Report_Scenarios!$A$7:$A$13,MATCH(MEDIAN($B31-Conversion!$B$16,2020,2050),Report_Scenarios!$A$7:$A$13,1)),INDEX(Report_Scenarios!$E$7:$E$13,MATCH(MEDIAN($B31-Conversion!$B$16,2020,2050),Report_Scenarios!$A$7:$A$13,1)),INDEX(Report_Scenarios!$E$7:$E$13,MATCH(MEDIAN($B31-Conversion!$B$16,2020,2050),Report_Scenarios!$A$7:$A$13,1))+(INDEX(Report_Scenarios!$E$7:$E$13,MIN(MATCH(MEDIAN($B31-Conversion!$B$16,2020,2050),Report_Scenarios!$A$7:$A$13,1)+1,7))-INDEX(Report_Scenarios!$E$7:$E$13,MATCH(MEDIAN($B31-Conversion!$B$16,2020,2050),Report_Scenarios!$A$7:$A$13,1)))*(MEDIAN($B31-Conversion!$B$16,2020,2050)-INDEX(Report_Scenarios!$A$7:$A$13,MATCH(MEDIAN($B31-Conversion!$B$16,2020,2050),Report_Scenarios!$A$7:$A$13,1)))/(INDEX(Report_Scenarios!$A$7:$A$13,MIN(MATCH(MEDIAN($B31-Conversion!$B$16,2020,2050),Report_Scenarios!$A$7:$A$13,1)+1,7))-INDEX(Report_Scenarios!$A$7:$A$13,MATCH(MEDIAN($B31-Conversion!$B$16,2020,2050),Report_Scenarios!$A$7:$A$13,1)))),IF($D31="Central",IF(INDEX(Report_Scenarios!$A$18:$A$24,MIN(MATCH(MEDIAN($B31-Conversion!$B$16,2020,2050),Report_Scenarios!$A$18:$A$24,1)+1,7))=INDEX(Report_Scenarios!$A$18:$A$24,MATCH(MEDIAN($B31-Conversion!$B$16,2020,2050),Report_Scenarios!$A$18:$A$24,1)),INDEX(Report_Scenarios!$E$18:$E$24,MATCH(MEDIAN($B31-Conversion!$B$16,2020,2050),Report_Scenarios!$A$18:$A$24,1)),INDEX(Report_Scenarios!$E$18:$E$24,MATCH(MEDIAN($B31-Conversion!$B$16,2020,2050),Report_Scenarios!$A$18:$A$24,1))+(INDEX(Report_Scenarios!$E$18:$E$24,MIN(MATCH(MEDIAN($B31-Conversion!$B$16,2020,2050),Report_Scenarios!$A$18:$A$24,1)+1,7))-INDEX(Report_Scenarios!$E$18:$E$24,MATCH(MEDIAN($B31-Conversion!$B$16,2020,2050),Report_Scenarios!$A$18:$A$24,1)))*(MEDIAN($B31-Conversion!$B$16,2020,2050)-INDEX(Report_Scenarios!$A$18:$A$24,MATCH(MEDIAN($B31-Conversion!$B$16,2020,2050),Report_Scenarios!$A$18:$A$24,1)))/(INDEX(Report_Scenarios!$A$18:$A$24,MIN(MATCH(MEDIAN($B31-Conversion!$B$16,2020,2050),Report_Scenarios!$A$18:$A$24,1)+1,7))-INDEX(Report_Scenarios!$A$18:$A$24,MATCH(MEDIAN($B31-Conversion!$B$16,2020,2050),Report_Scenarios!$A$18:$A$24,1)))),IF(INDEX(Report_Scenarios!$A$29:$A$35,MIN(MATCH(MEDIAN($B31-Conversion!$B$16,2020,2050),Report_Scenarios!$A$29:$A$35,1)+1,7))=INDEX(Report_Scenarios!$A$29:$A$35,MATCH(MEDIAN($B31-Conversion!$B$16,2020,2050),Report_Scenarios!$A$29:$A$35,1)),INDEX(Report_Scenarios!$E$29:$E$35,MATCH(MEDIAN($B31-Conversion!$B$16,2020,2050),Report_Scenarios!$A$29:$A$35,1)),INDEX(Report_Scenarios!$E$29:$E$35,MATCH(MEDIAN($B31-Conversion!$B$16,2020,2050),Report_Scenarios!$A$29:$A$35,1))+(INDEX(Report_Scenarios!$E$29:$E$35,MIN(MATCH(MEDIAN($B31-Conversion!$B$16,2020,2050),Report_Scenarios!$A$29:$A$35,1)+1,7))-INDEX(Report_Scenarios!$E$29:$E$35,MATCH(MEDIAN($B31-Conversion!$B$16,2020,2050),Report_Scenarios!$A$29:$A$35,1)))*(MEDIAN($B31-Conversion!$B$16,2020,2050)-INDEX(Report_Scenarios!$A$29:$A$35,MATCH(MEDIAN($B31-Conversion!$B$16,2020,2050),Report_Scenarios!$A$29:$A$35,1)))/(INDEX(Report_Scenarios!$A$29:$A$35,MIN(MATCH(MEDIAN($B31-Conversion!$B$16,2020,2050),Report_Scenarios!$A$29:$A$35,1)+1,7))-INDEX(Report_Scenarios!$A$29:$A$35,MATCH(MEDIAN($B31-Conversion!$B$16,2020,2050),Report_Scenarios!$A$29:$A$35,1))))))</f>
        <v/>
      </c>
      <c r="I31" s="23">
        <f>IF($D31="Conservative",IF(INDEX(Report_Scenarios!$A$7:$A$13,MIN(MATCH(MEDIAN($B31-Conversion!$B$16,2020,2050),Report_Scenarios!$A$7:$A$13,1)+1,7))=INDEX(Report_Scenarios!$A$7:$A$13,MATCH(MEDIAN($B31-Conversion!$B$16,2020,2050),Report_Scenarios!$A$7:$A$13,1)),INDEX(Report_Scenarios!$F$7:$F$13,MATCH(MEDIAN($B31-Conversion!$B$16,2020,2050),Report_Scenarios!$A$7:$A$13,1)),INDEX(Report_Scenarios!$F$7:$F$13,MATCH(MEDIAN($B31-Conversion!$B$16,2020,2050),Report_Scenarios!$A$7:$A$13,1))+(INDEX(Report_Scenarios!$F$7:$F$13,MIN(MATCH(MEDIAN($B31-Conversion!$B$16,2020,2050),Report_Scenarios!$A$7:$A$13,1)+1,7))-INDEX(Report_Scenarios!$F$7:$F$13,MATCH(MEDIAN($B31-Conversion!$B$16,2020,2050),Report_Scenarios!$A$7:$A$13,1)))*(MEDIAN($B31-Conversion!$B$16,2020,2050)-INDEX(Report_Scenarios!$A$7:$A$13,MATCH(MEDIAN($B31-Conversion!$B$16,2020,2050),Report_Scenarios!$A$7:$A$13,1)))/(INDEX(Report_Scenarios!$A$7:$A$13,MIN(MATCH(MEDIAN($B31-Conversion!$B$16,2020,2050),Report_Scenarios!$A$7:$A$13,1)+1,7))-INDEX(Report_Scenarios!$A$7:$A$13,MATCH(MEDIAN($B31-Conversion!$B$16,2020,2050),Report_Scenarios!$A$7:$A$13,1)))),IF($D31="Central",IF(INDEX(Report_Scenarios!$A$18:$A$24,MIN(MATCH(MEDIAN($B31-Conversion!$B$16,2020,2050),Report_Scenarios!$A$18:$A$24,1)+1,7))=INDEX(Report_Scenarios!$A$18:$A$24,MATCH(MEDIAN($B31-Conversion!$B$16,2020,2050),Report_Scenarios!$A$18:$A$24,1)),INDEX(Report_Scenarios!$F$18:$F$24,MATCH(MEDIAN($B31-Conversion!$B$16,2020,2050),Report_Scenarios!$A$18:$A$24,1)),INDEX(Report_Scenarios!$F$18:$F$24,MATCH(MEDIAN($B31-Conversion!$B$16,2020,2050),Report_Scenarios!$A$18:$A$24,1))+(INDEX(Report_Scenarios!$F$18:$F$24,MIN(MATCH(MEDIAN($B31-Conversion!$B$16,2020,2050),Report_Scenarios!$A$18:$A$24,1)+1,7))-INDEX(Report_Scenarios!$F$18:$F$24,MATCH(MEDIAN($B31-Conversion!$B$16,2020,2050),Report_Scenarios!$A$18:$A$24,1)))*(MEDIAN($B31-Conversion!$B$16,2020,2050)-INDEX(Report_Scenarios!$A$18:$A$24,MATCH(MEDIAN($B31-Conversion!$B$16,2020,2050),Report_Scenarios!$A$18:$A$24,1)))/(INDEX(Report_Scenarios!$A$18:$A$24,MIN(MATCH(MEDIAN($B31-Conversion!$B$16,2020,2050),Report_Scenarios!$A$18:$A$24,1)+1,7))-INDEX(Report_Scenarios!$A$18:$A$24,MATCH(MEDIAN($B31-Conversion!$B$16,2020,2050),Report_Scenarios!$A$18:$A$24,1)))),IF(INDEX(Report_Scenarios!$A$29:$A$35,MIN(MATCH(MEDIAN($B31-Conversion!$B$16,2020,2050),Report_Scenarios!$A$29:$A$35,1)+1,7))=INDEX(Report_Scenarios!$A$29:$A$35,MATCH(MEDIAN($B31-Conversion!$B$16,2020,2050),Report_Scenarios!$A$29:$A$35,1)),INDEX(Report_Scenarios!$F$29:$F$35,MATCH(MEDIAN($B31-Conversion!$B$16,2020,2050),Report_Scenarios!$A$29:$A$35,1)),INDEX(Report_Scenarios!$F$29:$F$35,MATCH(MEDIAN($B31-Conversion!$B$16,2020,2050),Report_Scenarios!$A$29:$A$35,1))+(INDEX(Report_Scenarios!$F$29:$F$35,MIN(MATCH(MEDIAN($B31-Conversion!$B$16,2020,2050),Report_Scenarios!$A$29:$A$35,1)+1,7))-INDEX(Report_Scenarios!$F$29:$F$35,MATCH(MEDIAN($B31-Conversion!$B$16,2020,2050),Report_Scenarios!$A$29:$A$35,1)))*(MEDIAN($B31-Conversion!$B$16,2020,2050)-INDEX(Report_Scenarios!$A$29:$A$35,MATCH(MEDIAN($B31-Conversion!$B$16,2020,2050),Report_Scenarios!$A$29:$A$35,1)))/(INDEX(Report_Scenarios!$A$29:$A$35,MIN(MATCH(MEDIAN($B31-Conversion!$B$16,2020,2050),Report_Scenarios!$A$29:$A$35,1)+1,7))-INDEX(Report_Scenarios!$A$29:$A$35,MATCH(MEDIAN($B31-Conversion!$B$16,2020,2050),Report_Scenarios!$A$29:$A$35,1))))))</f>
        <v/>
      </c>
      <c r="J31" s="23">
        <f>IF($D31="Conservative",IF(INDEX(Report_Scenarios!$A$7:$A$13,MIN(MATCH(MEDIAN($B31-Conversion!$B$16,2020,2050),Report_Scenarios!$A$7:$A$13,1)+1,7))=INDEX(Report_Scenarios!$A$7:$A$13,MATCH(MEDIAN($B31-Conversion!$B$16,2020,2050),Report_Scenarios!$A$7:$A$13,1)),INDEX(Report_Scenarios!$G$7:$G$13,MATCH(MEDIAN($B31-Conversion!$B$16,2020,2050),Report_Scenarios!$A$7:$A$13,1)),INDEX(Report_Scenarios!$G$7:$G$13,MATCH(MEDIAN($B31-Conversion!$B$16,2020,2050),Report_Scenarios!$A$7:$A$13,1))+(INDEX(Report_Scenarios!$G$7:$G$13,MIN(MATCH(MEDIAN($B31-Conversion!$B$16,2020,2050),Report_Scenarios!$A$7:$A$13,1)+1,7))-INDEX(Report_Scenarios!$G$7:$G$13,MATCH(MEDIAN($B31-Conversion!$B$16,2020,2050),Report_Scenarios!$A$7:$A$13,1)))*(MEDIAN($B31-Conversion!$B$16,2020,2050)-INDEX(Report_Scenarios!$A$7:$A$13,MATCH(MEDIAN($B31-Conversion!$B$16,2020,2050),Report_Scenarios!$A$7:$A$13,1)))/(INDEX(Report_Scenarios!$A$7:$A$13,MIN(MATCH(MEDIAN($B31-Conversion!$B$16,2020,2050),Report_Scenarios!$A$7:$A$13,1)+1,7))-INDEX(Report_Scenarios!$A$7:$A$13,MATCH(MEDIAN($B31-Conversion!$B$16,2020,2050),Report_Scenarios!$A$7:$A$13,1)))),IF($D31="Central",IF(INDEX(Report_Scenarios!$A$18:$A$24,MIN(MATCH(MEDIAN($B31-Conversion!$B$16,2020,2050),Report_Scenarios!$A$18:$A$24,1)+1,7))=INDEX(Report_Scenarios!$A$18:$A$24,MATCH(MEDIAN($B31-Conversion!$B$16,2020,2050),Report_Scenarios!$A$18:$A$24,1)),INDEX(Report_Scenarios!$G$18:$G$24,MATCH(MEDIAN($B31-Conversion!$B$16,2020,2050),Report_Scenarios!$A$18:$A$24,1)),INDEX(Report_Scenarios!$G$18:$G$24,MATCH(MEDIAN($B31-Conversion!$B$16,2020,2050),Report_Scenarios!$A$18:$A$24,1))+(INDEX(Report_Scenarios!$G$18:$G$24,MIN(MATCH(MEDIAN($B31-Conversion!$B$16,2020,2050),Report_Scenarios!$A$18:$A$24,1)+1,7))-INDEX(Report_Scenarios!$G$18:$G$24,MATCH(MEDIAN($B31-Conversion!$B$16,2020,2050),Report_Scenarios!$A$18:$A$24,1)))*(MEDIAN($B31-Conversion!$B$16,2020,2050)-INDEX(Report_Scenarios!$A$18:$A$24,MATCH(MEDIAN($B31-Conversion!$B$16,2020,2050),Report_Scenarios!$A$18:$A$24,1)))/(INDEX(Report_Scenarios!$A$18:$A$24,MIN(MATCH(MEDIAN($B31-Conversion!$B$16,2020,2050),Report_Scenarios!$A$18:$A$24,1)+1,7))-INDEX(Report_Scenarios!$A$18:$A$24,MATCH(MEDIAN($B31-Conversion!$B$16,2020,2050),Report_Scenarios!$A$18:$A$24,1)))),IF(INDEX(Report_Scenarios!$A$29:$A$35,MIN(MATCH(MEDIAN($B31-Conversion!$B$16,2020,2050),Report_Scenarios!$A$29:$A$35,1)+1,7))=INDEX(Report_Scenarios!$A$29:$A$35,MATCH(MEDIAN($B31-Conversion!$B$16,2020,2050),Report_Scenarios!$A$29:$A$35,1)),INDEX(Report_Scenarios!$G$29:$G$35,MATCH(MEDIAN($B31-Conversion!$B$16,2020,2050),Report_Scenarios!$A$29:$A$35,1)),INDEX(Report_Scenarios!$G$29:$G$35,MATCH(MEDIAN($B31-Conversion!$B$16,2020,2050),Report_Scenarios!$A$29:$A$35,1))+(INDEX(Report_Scenarios!$G$29:$G$35,MIN(MATCH(MEDIAN($B31-Conversion!$B$16,2020,2050),Report_Scenarios!$A$29:$A$35,1)+1,7))-INDEX(Report_Scenarios!$G$29:$G$35,MATCH(MEDIAN($B31-Conversion!$B$16,2020,2050),Report_Scenarios!$A$29:$A$35,1)))*(MEDIAN($B31-Conversion!$B$16,2020,2050)-INDEX(Report_Scenarios!$A$29:$A$35,MATCH(MEDIAN($B31-Conversion!$B$16,2020,2050),Report_Scenarios!$A$29:$A$35,1)))/(INDEX(Report_Scenarios!$A$29:$A$35,MIN(MATCH(MEDIAN($B31-Conversion!$B$16,2020,2050),Report_Scenarios!$A$29:$A$35,1)+1,7))-INDEX(Report_Scenarios!$A$29:$A$35,MATCH(MEDIAN($B31-Conversion!$B$16,2020,2050),Report_Scenarios!$A$29:$A$35,1))))))</f>
        <v/>
      </c>
      <c r="K31" s="23">
        <f>SUM(E31:J31)</f>
        <v/>
      </c>
      <c r="L31" s="23">
        <f>IF(R31&lt;&gt;"",R31,IF($K31=0,0,E31/$K31))</f>
        <v/>
      </c>
      <c r="M31" s="23">
        <f>IF(S31&lt;&gt;"",S31,IF($K31=0,0,F31/$K31))</f>
        <v/>
      </c>
      <c r="N31" s="23">
        <f>IF(T31&lt;&gt;"",T31,IF($K31=0,0,G31/$K31))</f>
        <v/>
      </c>
      <c r="O31" s="23">
        <f>IF(U31&lt;&gt;"",U31,IF($K31=0,0,H31/$K31))</f>
        <v/>
      </c>
      <c r="P31" s="23">
        <f>IF(V31&lt;&gt;"",V31,IF($K31=0,0,I31/$K31))</f>
        <v/>
      </c>
      <c r="Q31" s="23">
        <f>IF(W31&lt;&gt;"",W31,IF($K31=0,0,J31/$K31))</f>
        <v/>
      </c>
      <c r="R31" s="24" t="n"/>
      <c r="S31" s="24" t="n"/>
      <c r="T31" s="24" t="n"/>
      <c r="U31" s="24" t="n"/>
      <c r="V31" s="24" t="n"/>
      <c r="W31" s="24" t="n"/>
    </row>
    <row r="32">
      <c r="A32" s="4" t="inlineStr">
        <is>
          <t>AB</t>
        </is>
      </c>
      <c r="B32" s="4" t="n">
        <v>2070</v>
      </c>
      <c r="C32" s="4" t="inlineStr">
        <is>
          <t>Share_Min</t>
        </is>
      </c>
      <c r="D32" s="4">
        <f>Conversion!$B$18</f>
        <v/>
      </c>
      <c r="E32" s="23">
        <f>IF($D32="Conservative",IF(INDEX(Report_Scenarios!$A$7:$A$13,MIN(MATCH(MEDIAN($B32-Conversion!$B$16,2020,2050),Report_Scenarios!$A$7:$A$13,1)+1,7))=INDEX(Report_Scenarios!$A$7:$A$13,MATCH(MEDIAN($B32-Conversion!$B$16,2020,2050),Report_Scenarios!$A$7:$A$13,1)),INDEX(Report_Scenarios!$B$7:$B$13,MATCH(MEDIAN($B32-Conversion!$B$16,2020,2050),Report_Scenarios!$A$7:$A$13,1)),INDEX(Report_Scenarios!$B$7:$B$13,MATCH(MEDIAN($B32-Conversion!$B$16,2020,2050),Report_Scenarios!$A$7:$A$13,1))+(INDEX(Report_Scenarios!$B$7:$B$13,MIN(MATCH(MEDIAN($B32-Conversion!$B$16,2020,2050),Report_Scenarios!$A$7:$A$13,1)+1,7))-INDEX(Report_Scenarios!$B$7:$B$13,MATCH(MEDIAN($B32-Conversion!$B$16,2020,2050),Report_Scenarios!$A$7:$A$13,1)))*(MEDIAN($B32-Conversion!$B$16,2020,2050)-INDEX(Report_Scenarios!$A$7:$A$13,MATCH(MEDIAN($B32-Conversion!$B$16,2020,2050),Report_Scenarios!$A$7:$A$13,1)))/(INDEX(Report_Scenarios!$A$7:$A$13,MIN(MATCH(MEDIAN($B32-Conversion!$B$16,2020,2050),Report_Scenarios!$A$7:$A$13,1)+1,7))-INDEX(Report_Scenarios!$A$7:$A$13,MATCH(MEDIAN($B32-Conversion!$B$16,2020,2050),Report_Scenarios!$A$7:$A$13,1)))),IF($D32="Central",IF(INDEX(Report_Scenarios!$A$18:$A$24,MIN(MATCH(MEDIAN($B32-Conversion!$B$16,2020,2050),Report_Scenarios!$A$18:$A$24,1)+1,7))=INDEX(Report_Scenarios!$A$18:$A$24,MATCH(MEDIAN($B32-Conversion!$B$16,2020,2050),Report_Scenarios!$A$18:$A$24,1)),INDEX(Report_Scenarios!$B$18:$B$24,MATCH(MEDIAN($B32-Conversion!$B$16,2020,2050),Report_Scenarios!$A$18:$A$24,1)),INDEX(Report_Scenarios!$B$18:$B$24,MATCH(MEDIAN($B32-Conversion!$B$16,2020,2050),Report_Scenarios!$A$18:$A$24,1))+(INDEX(Report_Scenarios!$B$18:$B$24,MIN(MATCH(MEDIAN($B32-Conversion!$B$16,2020,2050),Report_Scenarios!$A$18:$A$24,1)+1,7))-INDEX(Report_Scenarios!$B$18:$B$24,MATCH(MEDIAN($B32-Conversion!$B$16,2020,2050),Report_Scenarios!$A$18:$A$24,1)))*(MEDIAN($B32-Conversion!$B$16,2020,2050)-INDEX(Report_Scenarios!$A$18:$A$24,MATCH(MEDIAN($B32-Conversion!$B$16,2020,2050),Report_Scenarios!$A$18:$A$24,1)))/(INDEX(Report_Scenarios!$A$18:$A$24,MIN(MATCH(MEDIAN($B32-Conversion!$B$16,2020,2050),Report_Scenarios!$A$18:$A$24,1)+1,7))-INDEX(Report_Scenarios!$A$18:$A$24,MATCH(MEDIAN($B32-Conversion!$B$16,2020,2050),Report_Scenarios!$A$18:$A$24,1)))),IF(INDEX(Report_Scenarios!$A$29:$A$35,MIN(MATCH(MEDIAN($B32-Conversion!$B$16,2020,2050),Report_Scenarios!$A$29:$A$35,1)+1,7))=INDEX(Report_Scenarios!$A$29:$A$35,MATCH(MEDIAN($B32-Conversion!$B$16,2020,2050),Report_Scenarios!$A$29:$A$35,1)),INDEX(Report_Scenarios!$B$29:$B$35,MATCH(MEDIAN($B32-Conversion!$B$16,2020,2050),Report_Scenarios!$A$29:$A$35,1)),INDEX(Report_Scenarios!$B$29:$B$35,MATCH(MEDIAN($B32-Conversion!$B$16,2020,2050),Report_Scenarios!$A$29:$A$35,1))+(INDEX(Report_Scenarios!$B$29:$B$35,MIN(MATCH(MEDIAN($B32-Conversion!$B$16,2020,2050),Report_Scenarios!$A$29:$A$35,1)+1,7))-INDEX(Report_Scenarios!$B$29:$B$35,MATCH(MEDIAN($B32-Conversion!$B$16,2020,2050),Report_Scenarios!$A$29:$A$35,1)))*(MEDIAN($B32-Conversion!$B$16,2020,2050)-INDEX(Report_Scenarios!$A$29:$A$35,MATCH(MEDIAN($B32-Conversion!$B$16,2020,2050),Report_Scenarios!$A$29:$A$35,1)))/(INDEX(Report_Scenarios!$A$29:$A$35,MIN(MATCH(MEDIAN($B32-Conversion!$B$16,2020,2050),Report_Scenarios!$A$29:$A$35,1)+1,7))-INDEX(Report_Scenarios!$A$29:$A$35,MATCH(MEDIAN($B32-Conversion!$B$16,2020,2050),Report_Scenarios!$A$29:$A$35,1))))))</f>
        <v/>
      </c>
      <c r="F32" s="23">
        <f>IF($D32="Conservative",IF(INDEX(Report_Scenarios!$A$7:$A$13,MIN(MATCH(MEDIAN($B32-Conversion!$B$16,2020,2050),Report_Scenarios!$A$7:$A$13,1)+1,7))=INDEX(Report_Scenarios!$A$7:$A$13,MATCH(MEDIAN($B32-Conversion!$B$16,2020,2050),Report_Scenarios!$A$7:$A$13,1)),INDEX(Report_Scenarios!$C$7:$C$13,MATCH(MEDIAN($B32-Conversion!$B$16,2020,2050),Report_Scenarios!$A$7:$A$13,1)),INDEX(Report_Scenarios!$C$7:$C$13,MATCH(MEDIAN($B32-Conversion!$B$16,2020,2050),Report_Scenarios!$A$7:$A$13,1))+(INDEX(Report_Scenarios!$C$7:$C$13,MIN(MATCH(MEDIAN($B32-Conversion!$B$16,2020,2050),Report_Scenarios!$A$7:$A$13,1)+1,7))-INDEX(Report_Scenarios!$C$7:$C$13,MATCH(MEDIAN($B32-Conversion!$B$16,2020,2050),Report_Scenarios!$A$7:$A$13,1)))*(MEDIAN($B32-Conversion!$B$16,2020,2050)-INDEX(Report_Scenarios!$A$7:$A$13,MATCH(MEDIAN($B32-Conversion!$B$16,2020,2050),Report_Scenarios!$A$7:$A$13,1)))/(INDEX(Report_Scenarios!$A$7:$A$13,MIN(MATCH(MEDIAN($B32-Conversion!$B$16,2020,2050),Report_Scenarios!$A$7:$A$13,1)+1,7))-INDEX(Report_Scenarios!$A$7:$A$13,MATCH(MEDIAN($B32-Conversion!$B$16,2020,2050),Report_Scenarios!$A$7:$A$13,1)))),IF($D32="Central",IF(INDEX(Report_Scenarios!$A$18:$A$24,MIN(MATCH(MEDIAN($B32-Conversion!$B$16,2020,2050),Report_Scenarios!$A$18:$A$24,1)+1,7))=INDEX(Report_Scenarios!$A$18:$A$24,MATCH(MEDIAN($B32-Conversion!$B$16,2020,2050),Report_Scenarios!$A$18:$A$24,1)),INDEX(Report_Scenarios!$C$18:$C$24,MATCH(MEDIAN($B32-Conversion!$B$16,2020,2050),Report_Scenarios!$A$18:$A$24,1)),INDEX(Report_Scenarios!$C$18:$C$24,MATCH(MEDIAN($B32-Conversion!$B$16,2020,2050),Report_Scenarios!$A$18:$A$24,1))+(INDEX(Report_Scenarios!$C$18:$C$24,MIN(MATCH(MEDIAN($B32-Conversion!$B$16,2020,2050),Report_Scenarios!$A$18:$A$24,1)+1,7))-INDEX(Report_Scenarios!$C$18:$C$24,MATCH(MEDIAN($B32-Conversion!$B$16,2020,2050),Report_Scenarios!$A$18:$A$24,1)))*(MEDIAN($B32-Conversion!$B$16,2020,2050)-INDEX(Report_Scenarios!$A$18:$A$24,MATCH(MEDIAN($B32-Conversion!$B$16,2020,2050),Report_Scenarios!$A$18:$A$24,1)))/(INDEX(Report_Scenarios!$A$18:$A$24,MIN(MATCH(MEDIAN($B32-Conversion!$B$16,2020,2050),Report_Scenarios!$A$18:$A$24,1)+1,7))-INDEX(Report_Scenarios!$A$18:$A$24,MATCH(MEDIAN($B32-Conversion!$B$16,2020,2050),Report_Scenarios!$A$18:$A$24,1)))),IF(INDEX(Report_Scenarios!$A$29:$A$35,MIN(MATCH(MEDIAN($B32-Conversion!$B$16,2020,2050),Report_Scenarios!$A$29:$A$35,1)+1,7))=INDEX(Report_Scenarios!$A$29:$A$35,MATCH(MEDIAN($B32-Conversion!$B$16,2020,2050),Report_Scenarios!$A$29:$A$35,1)),INDEX(Report_Scenarios!$C$29:$C$35,MATCH(MEDIAN($B32-Conversion!$B$16,2020,2050),Report_Scenarios!$A$29:$A$35,1)),INDEX(Report_Scenarios!$C$29:$C$35,MATCH(MEDIAN($B32-Conversion!$B$16,2020,2050),Report_Scenarios!$A$29:$A$35,1))+(INDEX(Report_Scenarios!$C$29:$C$35,MIN(MATCH(MEDIAN($B32-Conversion!$B$16,2020,2050),Report_Scenarios!$A$29:$A$35,1)+1,7))-INDEX(Report_Scenarios!$C$29:$C$35,MATCH(MEDIAN($B32-Conversion!$B$16,2020,2050),Report_Scenarios!$A$29:$A$35,1)))*(MEDIAN($B32-Conversion!$B$16,2020,2050)-INDEX(Report_Scenarios!$A$29:$A$35,MATCH(MEDIAN($B32-Conversion!$B$16,2020,2050),Report_Scenarios!$A$29:$A$35,1)))/(INDEX(Report_Scenarios!$A$29:$A$35,MIN(MATCH(MEDIAN($B32-Conversion!$B$16,2020,2050),Report_Scenarios!$A$29:$A$35,1)+1,7))-INDEX(Report_Scenarios!$A$29:$A$35,MATCH(MEDIAN($B32-Conversion!$B$16,2020,2050),Report_Scenarios!$A$29:$A$35,1))))))</f>
        <v/>
      </c>
      <c r="G32" s="23">
        <f>IF($D32="Conservative",IF(INDEX(Report_Scenarios!$A$7:$A$13,MIN(MATCH(MEDIAN($B32-Conversion!$B$16,2020,2050),Report_Scenarios!$A$7:$A$13,1)+1,7))=INDEX(Report_Scenarios!$A$7:$A$13,MATCH(MEDIAN($B32-Conversion!$B$16,2020,2050),Report_Scenarios!$A$7:$A$13,1)),INDEX(Report_Scenarios!$D$7:$D$13,MATCH(MEDIAN($B32-Conversion!$B$16,2020,2050),Report_Scenarios!$A$7:$A$13,1)),INDEX(Report_Scenarios!$D$7:$D$13,MATCH(MEDIAN($B32-Conversion!$B$16,2020,2050),Report_Scenarios!$A$7:$A$13,1))+(INDEX(Report_Scenarios!$D$7:$D$13,MIN(MATCH(MEDIAN($B32-Conversion!$B$16,2020,2050),Report_Scenarios!$A$7:$A$13,1)+1,7))-INDEX(Report_Scenarios!$D$7:$D$13,MATCH(MEDIAN($B32-Conversion!$B$16,2020,2050),Report_Scenarios!$A$7:$A$13,1)))*(MEDIAN($B32-Conversion!$B$16,2020,2050)-INDEX(Report_Scenarios!$A$7:$A$13,MATCH(MEDIAN($B32-Conversion!$B$16,2020,2050),Report_Scenarios!$A$7:$A$13,1)))/(INDEX(Report_Scenarios!$A$7:$A$13,MIN(MATCH(MEDIAN($B32-Conversion!$B$16,2020,2050),Report_Scenarios!$A$7:$A$13,1)+1,7))-INDEX(Report_Scenarios!$A$7:$A$13,MATCH(MEDIAN($B32-Conversion!$B$16,2020,2050),Report_Scenarios!$A$7:$A$13,1)))),IF($D32="Central",IF(INDEX(Report_Scenarios!$A$18:$A$24,MIN(MATCH(MEDIAN($B32-Conversion!$B$16,2020,2050),Report_Scenarios!$A$18:$A$24,1)+1,7))=INDEX(Report_Scenarios!$A$18:$A$24,MATCH(MEDIAN($B32-Conversion!$B$16,2020,2050),Report_Scenarios!$A$18:$A$24,1)),INDEX(Report_Scenarios!$D$18:$D$24,MATCH(MEDIAN($B32-Conversion!$B$16,2020,2050),Report_Scenarios!$A$18:$A$24,1)),INDEX(Report_Scenarios!$D$18:$D$24,MATCH(MEDIAN($B32-Conversion!$B$16,2020,2050),Report_Scenarios!$A$18:$A$24,1))+(INDEX(Report_Scenarios!$D$18:$D$24,MIN(MATCH(MEDIAN($B32-Conversion!$B$16,2020,2050),Report_Scenarios!$A$18:$A$24,1)+1,7))-INDEX(Report_Scenarios!$D$18:$D$24,MATCH(MEDIAN($B32-Conversion!$B$16,2020,2050),Report_Scenarios!$A$18:$A$24,1)))*(MEDIAN($B32-Conversion!$B$16,2020,2050)-INDEX(Report_Scenarios!$A$18:$A$24,MATCH(MEDIAN($B32-Conversion!$B$16,2020,2050),Report_Scenarios!$A$18:$A$24,1)))/(INDEX(Report_Scenarios!$A$18:$A$24,MIN(MATCH(MEDIAN($B32-Conversion!$B$16,2020,2050),Report_Scenarios!$A$18:$A$24,1)+1,7))-INDEX(Report_Scenarios!$A$18:$A$24,MATCH(MEDIAN($B32-Conversion!$B$16,2020,2050),Report_Scenarios!$A$18:$A$24,1)))),IF(INDEX(Report_Scenarios!$A$29:$A$35,MIN(MATCH(MEDIAN($B32-Conversion!$B$16,2020,2050),Report_Scenarios!$A$29:$A$35,1)+1,7))=INDEX(Report_Scenarios!$A$29:$A$35,MATCH(MEDIAN($B32-Conversion!$B$16,2020,2050),Report_Scenarios!$A$29:$A$35,1)),INDEX(Report_Scenarios!$D$29:$D$35,MATCH(MEDIAN($B32-Conversion!$B$16,2020,2050),Report_Scenarios!$A$29:$A$35,1)),INDEX(Report_Scenarios!$D$29:$D$35,MATCH(MEDIAN($B32-Conversion!$B$16,2020,2050),Report_Scenarios!$A$29:$A$35,1))+(INDEX(Report_Scenarios!$D$29:$D$35,MIN(MATCH(MEDIAN($B32-Conversion!$B$16,2020,2050),Report_Scenarios!$A$29:$A$35,1)+1,7))-INDEX(Report_Scenarios!$D$29:$D$35,MATCH(MEDIAN($B32-Conversion!$B$16,2020,2050),Report_Scenarios!$A$29:$A$35,1)))*(MEDIAN($B32-Conversion!$B$16,2020,2050)-INDEX(Report_Scenarios!$A$29:$A$35,MATCH(MEDIAN($B32-Conversion!$B$16,2020,2050),Report_Scenarios!$A$29:$A$35,1)))/(INDEX(Report_Scenarios!$A$29:$A$35,MIN(MATCH(MEDIAN($B32-Conversion!$B$16,2020,2050),Report_Scenarios!$A$29:$A$35,1)+1,7))-INDEX(Report_Scenarios!$A$29:$A$35,MATCH(MEDIAN($B32-Conversion!$B$16,2020,2050),Report_Scenarios!$A$29:$A$35,1))))))</f>
        <v/>
      </c>
      <c r="H32" s="23">
        <f>IF($D32="Conservative",IF(INDEX(Report_Scenarios!$A$7:$A$13,MIN(MATCH(MEDIAN($B32-Conversion!$B$16,2020,2050),Report_Scenarios!$A$7:$A$13,1)+1,7))=INDEX(Report_Scenarios!$A$7:$A$13,MATCH(MEDIAN($B32-Conversion!$B$16,2020,2050),Report_Scenarios!$A$7:$A$13,1)),INDEX(Report_Scenarios!$E$7:$E$13,MATCH(MEDIAN($B32-Conversion!$B$16,2020,2050),Report_Scenarios!$A$7:$A$13,1)),INDEX(Report_Scenarios!$E$7:$E$13,MATCH(MEDIAN($B32-Conversion!$B$16,2020,2050),Report_Scenarios!$A$7:$A$13,1))+(INDEX(Report_Scenarios!$E$7:$E$13,MIN(MATCH(MEDIAN($B32-Conversion!$B$16,2020,2050),Report_Scenarios!$A$7:$A$13,1)+1,7))-INDEX(Report_Scenarios!$E$7:$E$13,MATCH(MEDIAN($B32-Conversion!$B$16,2020,2050),Report_Scenarios!$A$7:$A$13,1)))*(MEDIAN($B32-Conversion!$B$16,2020,2050)-INDEX(Report_Scenarios!$A$7:$A$13,MATCH(MEDIAN($B32-Conversion!$B$16,2020,2050),Report_Scenarios!$A$7:$A$13,1)))/(INDEX(Report_Scenarios!$A$7:$A$13,MIN(MATCH(MEDIAN($B32-Conversion!$B$16,2020,2050),Report_Scenarios!$A$7:$A$13,1)+1,7))-INDEX(Report_Scenarios!$A$7:$A$13,MATCH(MEDIAN($B32-Conversion!$B$16,2020,2050),Report_Scenarios!$A$7:$A$13,1)))),IF($D32="Central",IF(INDEX(Report_Scenarios!$A$18:$A$24,MIN(MATCH(MEDIAN($B32-Conversion!$B$16,2020,2050),Report_Scenarios!$A$18:$A$24,1)+1,7))=INDEX(Report_Scenarios!$A$18:$A$24,MATCH(MEDIAN($B32-Conversion!$B$16,2020,2050),Report_Scenarios!$A$18:$A$24,1)),INDEX(Report_Scenarios!$E$18:$E$24,MATCH(MEDIAN($B32-Conversion!$B$16,2020,2050),Report_Scenarios!$A$18:$A$24,1)),INDEX(Report_Scenarios!$E$18:$E$24,MATCH(MEDIAN($B32-Conversion!$B$16,2020,2050),Report_Scenarios!$A$18:$A$24,1))+(INDEX(Report_Scenarios!$E$18:$E$24,MIN(MATCH(MEDIAN($B32-Conversion!$B$16,2020,2050),Report_Scenarios!$A$18:$A$24,1)+1,7))-INDEX(Report_Scenarios!$E$18:$E$24,MATCH(MEDIAN($B32-Conversion!$B$16,2020,2050),Report_Scenarios!$A$18:$A$24,1)))*(MEDIAN($B32-Conversion!$B$16,2020,2050)-INDEX(Report_Scenarios!$A$18:$A$24,MATCH(MEDIAN($B32-Conversion!$B$16,2020,2050),Report_Scenarios!$A$18:$A$24,1)))/(INDEX(Report_Scenarios!$A$18:$A$24,MIN(MATCH(MEDIAN($B32-Conversion!$B$16,2020,2050),Report_Scenarios!$A$18:$A$24,1)+1,7))-INDEX(Report_Scenarios!$A$18:$A$24,MATCH(MEDIAN($B32-Conversion!$B$16,2020,2050),Report_Scenarios!$A$18:$A$24,1)))),IF(INDEX(Report_Scenarios!$A$29:$A$35,MIN(MATCH(MEDIAN($B32-Conversion!$B$16,2020,2050),Report_Scenarios!$A$29:$A$35,1)+1,7))=INDEX(Report_Scenarios!$A$29:$A$35,MATCH(MEDIAN($B32-Conversion!$B$16,2020,2050),Report_Scenarios!$A$29:$A$35,1)),INDEX(Report_Scenarios!$E$29:$E$35,MATCH(MEDIAN($B32-Conversion!$B$16,2020,2050),Report_Scenarios!$A$29:$A$35,1)),INDEX(Report_Scenarios!$E$29:$E$35,MATCH(MEDIAN($B32-Conversion!$B$16,2020,2050),Report_Scenarios!$A$29:$A$35,1))+(INDEX(Report_Scenarios!$E$29:$E$35,MIN(MATCH(MEDIAN($B32-Conversion!$B$16,2020,2050),Report_Scenarios!$A$29:$A$35,1)+1,7))-INDEX(Report_Scenarios!$E$29:$E$35,MATCH(MEDIAN($B32-Conversion!$B$16,2020,2050),Report_Scenarios!$A$29:$A$35,1)))*(MEDIAN($B32-Conversion!$B$16,2020,2050)-INDEX(Report_Scenarios!$A$29:$A$35,MATCH(MEDIAN($B32-Conversion!$B$16,2020,2050),Report_Scenarios!$A$29:$A$35,1)))/(INDEX(Report_Scenarios!$A$29:$A$35,MIN(MATCH(MEDIAN($B32-Conversion!$B$16,2020,2050),Report_Scenarios!$A$29:$A$35,1)+1,7))-INDEX(Report_Scenarios!$A$29:$A$35,MATCH(MEDIAN($B32-Conversion!$B$16,2020,2050),Report_Scenarios!$A$29:$A$35,1))))))</f>
        <v/>
      </c>
      <c r="I32" s="23">
        <f>IF($D32="Conservative",IF(INDEX(Report_Scenarios!$A$7:$A$13,MIN(MATCH(MEDIAN($B32-Conversion!$B$16,2020,2050),Report_Scenarios!$A$7:$A$13,1)+1,7))=INDEX(Report_Scenarios!$A$7:$A$13,MATCH(MEDIAN($B32-Conversion!$B$16,2020,2050),Report_Scenarios!$A$7:$A$13,1)),INDEX(Report_Scenarios!$F$7:$F$13,MATCH(MEDIAN($B32-Conversion!$B$16,2020,2050),Report_Scenarios!$A$7:$A$13,1)),INDEX(Report_Scenarios!$F$7:$F$13,MATCH(MEDIAN($B32-Conversion!$B$16,2020,2050),Report_Scenarios!$A$7:$A$13,1))+(INDEX(Report_Scenarios!$F$7:$F$13,MIN(MATCH(MEDIAN($B32-Conversion!$B$16,2020,2050),Report_Scenarios!$A$7:$A$13,1)+1,7))-INDEX(Report_Scenarios!$F$7:$F$13,MATCH(MEDIAN($B32-Conversion!$B$16,2020,2050),Report_Scenarios!$A$7:$A$13,1)))*(MEDIAN($B32-Conversion!$B$16,2020,2050)-INDEX(Report_Scenarios!$A$7:$A$13,MATCH(MEDIAN($B32-Conversion!$B$16,2020,2050),Report_Scenarios!$A$7:$A$13,1)))/(INDEX(Report_Scenarios!$A$7:$A$13,MIN(MATCH(MEDIAN($B32-Conversion!$B$16,2020,2050),Report_Scenarios!$A$7:$A$13,1)+1,7))-INDEX(Report_Scenarios!$A$7:$A$13,MATCH(MEDIAN($B32-Conversion!$B$16,2020,2050),Report_Scenarios!$A$7:$A$13,1)))),IF($D32="Central",IF(INDEX(Report_Scenarios!$A$18:$A$24,MIN(MATCH(MEDIAN($B32-Conversion!$B$16,2020,2050),Report_Scenarios!$A$18:$A$24,1)+1,7))=INDEX(Report_Scenarios!$A$18:$A$24,MATCH(MEDIAN($B32-Conversion!$B$16,2020,2050),Report_Scenarios!$A$18:$A$24,1)),INDEX(Report_Scenarios!$F$18:$F$24,MATCH(MEDIAN($B32-Conversion!$B$16,2020,2050),Report_Scenarios!$A$18:$A$24,1)),INDEX(Report_Scenarios!$F$18:$F$24,MATCH(MEDIAN($B32-Conversion!$B$16,2020,2050),Report_Scenarios!$A$18:$A$24,1))+(INDEX(Report_Scenarios!$F$18:$F$24,MIN(MATCH(MEDIAN($B32-Conversion!$B$16,2020,2050),Report_Scenarios!$A$18:$A$24,1)+1,7))-INDEX(Report_Scenarios!$F$18:$F$24,MATCH(MEDIAN($B32-Conversion!$B$16,2020,2050),Report_Scenarios!$A$18:$A$24,1)))*(MEDIAN($B32-Conversion!$B$16,2020,2050)-INDEX(Report_Scenarios!$A$18:$A$24,MATCH(MEDIAN($B32-Conversion!$B$16,2020,2050),Report_Scenarios!$A$18:$A$24,1)))/(INDEX(Report_Scenarios!$A$18:$A$24,MIN(MATCH(MEDIAN($B32-Conversion!$B$16,2020,2050),Report_Scenarios!$A$18:$A$24,1)+1,7))-INDEX(Report_Scenarios!$A$18:$A$24,MATCH(MEDIAN($B32-Conversion!$B$16,2020,2050),Report_Scenarios!$A$18:$A$24,1)))),IF(INDEX(Report_Scenarios!$A$29:$A$35,MIN(MATCH(MEDIAN($B32-Conversion!$B$16,2020,2050),Report_Scenarios!$A$29:$A$35,1)+1,7))=INDEX(Report_Scenarios!$A$29:$A$35,MATCH(MEDIAN($B32-Conversion!$B$16,2020,2050),Report_Scenarios!$A$29:$A$35,1)),INDEX(Report_Scenarios!$F$29:$F$35,MATCH(MEDIAN($B32-Conversion!$B$16,2020,2050),Report_Scenarios!$A$29:$A$35,1)),INDEX(Report_Scenarios!$F$29:$F$35,MATCH(MEDIAN($B32-Conversion!$B$16,2020,2050),Report_Scenarios!$A$29:$A$35,1))+(INDEX(Report_Scenarios!$F$29:$F$35,MIN(MATCH(MEDIAN($B32-Conversion!$B$16,2020,2050),Report_Scenarios!$A$29:$A$35,1)+1,7))-INDEX(Report_Scenarios!$F$29:$F$35,MATCH(MEDIAN($B32-Conversion!$B$16,2020,2050),Report_Scenarios!$A$29:$A$35,1)))*(MEDIAN($B32-Conversion!$B$16,2020,2050)-INDEX(Report_Scenarios!$A$29:$A$35,MATCH(MEDIAN($B32-Conversion!$B$16,2020,2050),Report_Scenarios!$A$29:$A$35,1)))/(INDEX(Report_Scenarios!$A$29:$A$35,MIN(MATCH(MEDIAN($B32-Conversion!$B$16,2020,2050),Report_Scenarios!$A$29:$A$35,1)+1,7))-INDEX(Report_Scenarios!$A$29:$A$35,MATCH(MEDIAN($B32-Conversion!$B$16,2020,2050),Report_Scenarios!$A$29:$A$35,1))))))</f>
        <v/>
      </c>
      <c r="J32" s="23">
        <f>IF($D32="Conservative",IF(INDEX(Report_Scenarios!$A$7:$A$13,MIN(MATCH(MEDIAN($B32-Conversion!$B$16,2020,2050),Report_Scenarios!$A$7:$A$13,1)+1,7))=INDEX(Report_Scenarios!$A$7:$A$13,MATCH(MEDIAN($B32-Conversion!$B$16,2020,2050),Report_Scenarios!$A$7:$A$13,1)),INDEX(Report_Scenarios!$G$7:$G$13,MATCH(MEDIAN($B32-Conversion!$B$16,2020,2050),Report_Scenarios!$A$7:$A$13,1)),INDEX(Report_Scenarios!$G$7:$G$13,MATCH(MEDIAN($B32-Conversion!$B$16,2020,2050),Report_Scenarios!$A$7:$A$13,1))+(INDEX(Report_Scenarios!$G$7:$G$13,MIN(MATCH(MEDIAN($B32-Conversion!$B$16,2020,2050),Report_Scenarios!$A$7:$A$13,1)+1,7))-INDEX(Report_Scenarios!$G$7:$G$13,MATCH(MEDIAN($B32-Conversion!$B$16,2020,2050),Report_Scenarios!$A$7:$A$13,1)))*(MEDIAN($B32-Conversion!$B$16,2020,2050)-INDEX(Report_Scenarios!$A$7:$A$13,MATCH(MEDIAN($B32-Conversion!$B$16,2020,2050),Report_Scenarios!$A$7:$A$13,1)))/(INDEX(Report_Scenarios!$A$7:$A$13,MIN(MATCH(MEDIAN($B32-Conversion!$B$16,2020,2050),Report_Scenarios!$A$7:$A$13,1)+1,7))-INDEX(Report_Scenarios!$A$7:$A$13,MATCH(MEDIAN($B32-Conversion!$B$16,2020,2050),Report_Scenarios!$A$7:$A$13,1)))),IF($D32="Central",IF(INDEX(Report_Scenarios!$A$18:$A$24,MIN(MATCH(MEDIAN($B32-Conversion!$B$16,2020,2050),Report_Scenarios!$A$18:$A$24,1)+1,7))=INDEX(Report_Scenarios!$A$18:$A$24,MATCH(MEDIAN($B32-Conversion!$B$16,2020,2050),Report_Scenarios!$A$18:$A$24,1)),INDEX(Report_Scenarios!$G$18:$G$24,MATCH(MEDIAN($B32-Conversion!$B$16,2020,2050),Report_Scenarios!$A$18:$A$24,1)),INDEX(Report_Scenarios!$G$18:$G$24,MATCH(MEDIAN($B32-Conversion!$B$16,2020,2050),Report_Scenarios!$A$18:$A$24,1))+(INDEX(Report_Scenarios!$G$18:$G$24,MIN(MATCH(MEDIAN($B32-Conversion!$B$16,2020,2050),Report_Scenarios!$A$18:$A$24,1)+1,7))-INDEX(Report_Scenarios!$G$18:$G$24,MATCH(MEDIAN($B32-Conversion!$B$16,2020,2050),Report_Scenarios!$A$18:$A$24,1)))*(MEDIAN($B32-Conversion!$B$16,2020,2050)-INDEX(Report_Scenarios!$A$18:$A$24,MATCH(MEDIAN($B32-Conversion!$B$16,2020,2050),Report_Scenarios!$A$18:$A$24,1)))/(INDEX(Report_Scenarios!$A$18:$A$24,MIN(MATCH(MEDIAN($B32-Conversion!$B$16,2020,2050),Report_Scenarios!$A$18:$A$24,1)+1,7))-INDEX(Report_Scenarios!$A$18:$A$24,MATCH(MEDIAN($B32-Conversion!$B$16,2020,2050),Report_Scenarios!$A$18:$A$24,1)))),IF(INDEX(Report_Scenarios!$A$29:$A$35,MIN(MATCH(MEDIAN($B32-Conversion!$B$16,2020,2050),Report_Scenarios!$A$29:$A$35,1)+1,7))=INDEX(Report_Scenarios!$A$29:$A$35,MATCH(MEDIAN($B32-Conversion!$B$16,2020,2050),Report_Scenarios!$A$29:$A$35,1)),INDEX(Report_Scenarios!$G$29:$G$35,MATCH(MEDIAN($B32-Conversion!$B$16,2020,2050),Report_Scenarios!$A$29:$A$35,1)),INDEX(Report_Scenarios!$G$29:$G$35,MATCH(MEDIAN($B32-Conversion!$B$16,2020,2050),Report_Scenarios!$A$29:$A$35,1))+(INDEX(Report_Scenarios!$G$29:$G$35,MIN(MATCH(MEDIAN($B32-Conversion!$B$16,2020,2050),Report_Scenarios!$A$29:$A$35,1)+1,7))-INDEX(Report_Scenarios!$G$29:$G$35,MATCH(MEDIAN($B32-Conversion!$B$16,2020,2050),Report_Scenarios!$A$29:$A$35,1)))*(MEDIAN($B32-Conversion!$B$16,2020,2050)-INDEX(Report_Scenarios!$A$29:$A$35,MATCH(MEDIAN($B32-Conversion!$B$16,2020,2050),Report_Scenarios!$A$29:$A$35,1)))/(INDEX(Report_Scenarios!$A$29:$A$35,MIN(MATCH(MEDIAN($B32-Conversion!$B$16,2020,2050),Report_Scenarios!$A$29:$A$35,1)+1,7))-INDEX(Report_Scenarios!$A$29:$A$35,MATCH(MEDIAN($B32-Conversion!$B$16,2020,2050),Report_Scenarios!$A$29:$A$35,1))))))</f>
        <v/>
      </c>
      <c r="K32" s="23">
        <f>SUM(E32:J32)</f>
        <v/>
      </c>
      <c r="L32" s="23">
        <f>IF(R32&lt;&gt;"",R32,IF($K32=0,0,E32/$K32))</f>
        <v/>
      </c>
      <c r="M32" s="23">
        <f>IF(S32&lt;&gt;"",S32,IF($K32=0,0,F32/$K32))</f>
        <v/>
      </c>
      <c r="N32" s="23">
        <f>IF(T32&lt;&gt;"",T32,IF($K32=0,0,G32/$K32))</f>
        <v/>
      </c>
      <c r="O32" s="23">
        <f>IF(U32&lt;&gt;"",U32,IF($K32=0,0,H32/$K32))</f>
        <v/>
      </c>
      <c r="P32" s="23">
        <f>IF(V32&lt;&gt;"",V32,IF($K32=0,0,I32/$K32))</f>
        <v/>
      </c>
      <c r="Q32" s="23">
        <f>IF(W32&lt;&gt;"",W32,IF($K32=0,0,J32/$K32))</f>
        <v/>
      </c>
      <c r="R32" s="24" t="n"/>
      <c r="S32" s="24" t="n"/>
      <c r="T32" s="24" t="n"/>
      <c r="U32" s="24" t="n"/>
      <c r="V32" s="24" t="n"/>
      <c r="W32" s="24" t="n"/>
    </row>
    <row r="33">
      <c r="A33" s="4" t="inlineStr">
        <is>
          <t>AB</t>
        </is>
      </c>
      <c r="B33" s="4" t="n">
        <v>2070</v>
      </c>
      <c r="C33" s="4" t="inlineStr">
        <is>
          <t>Share_Mode</t>
        </is>
      </c>
      <c r="D33" s="4">
        <f>Conversion!$B$19</f>
        <v/>
      </c>
      <c r="E33" s="23">
        <f>IF($D33="Conservative",IF(INDEX(Report_Scenarios!$A$7:$A$13,MIN(MATCH(MEDIAN($B33-Conversion!$B$16,2020,2050),Report_Scenarios!$A$7:$A$13,1)+1,7))=INDEX(Report_Scenarios!$A$7:$A$13,MATCH(MEDIAN($B33-Conversion!$B$16,2020,2050),Report_Scenarios!$A$7:$A$13,1)),INDEX(Report_Scenarios!$B$7:$B$13,MATCH(MEDIAN($B33-Conversion!$B$16,2020,2050),Report_Scenarios!$A$7:$A$13,1)),INDEX(Report_Scenarios!$B$7:$B$13,MATCH(MEDIAN($B33-Conversion!$B$16,2020,2050),Report_Scenarios!$A$7:$A$13,1))+(INDEX(Report_Scenarios!$B$7:$B$13,MIN(MATCH(MEDIAN($B33-Conversion!$B$16,2020,2050),Report_Scenarios!$A$7:$A$13,1)+1,7))-INDEX(Report_Scenarios!$B$7:$B$13,MATCH(MEDIAN($B33-Conversion!$B$16,2020,2050),Report_Scenarios!$A$7:$A$13,1)))*(MEDIAN($B33-Conversion!$B$16,2020,2050)-INDEX(Report_Scenarios!$A$7:$A$13,MATCH(MEDIAN($B33-Conversion!$B$16,2020,2050),Report_Scenarios!$A$7:$A$13,1)))/(INDEX(Report_Scenarios!$A$7:$A$13,MIN(MATCH(MEDIAN($B33-Conversion!$B$16,2020,2050),Report_Scenarios!$A$7:$A$13,1)+1,7))-INDEX(Report_Scenarios!$A$7:$A$13,MATCH(MEDIAN($B33-Conversion!$B$16,2020,2050),Report_Scenarios!$A$7:$A$13,1)))),IF($D33="Central",IF(INDEX(Report_Scenarios!$A$18:$A$24,MIN(MATCH(MEDIAN($B33-Conversion!$B$16,2020,2050),Report_Scenarios!$A$18:$A$24,1)+1,7))=INDEX(Report_Scenarios!$A$18:$A$24,MATCH(MEDIAN($B33-Conversion!$B$16,2020,2050),Report_Scenarios!$A$18:$A$24,1)),INDEX(Report_Scenarios!$B$18:$B$24,MATCH(MEDIAN($B33-Conversion!$B$16,2020,2050),Report_Scenarios!$A$18:$A$24,1)),INDEX(Report_Scenarios!$B$18:$B$24,MATCH(MEDIAN($B33-Conversion!$B$16,2020,2050),Report_Scenarios!$A$18:$A$24,1))+(INDEX(Report_Scenarios!$B$18:$B$24,MIN(MATCH(MEDIAN($B33-Conversion!$B$16,2020,2050),Report_Scenarios!$A$18:$A$24,1)+1,7))-INDEX(Report_Scenarios!$B$18:$B$24,MATCH(MEDIAN($B33-Conversion!$B$16,2020,2050),Report_Scenarios!$A$18:$A$24,1)))*(MEDIAN($B33-Conversion!$B$16,2020,2050)-INDEX(Report_Scenarios!$A$18:$A$24,MATCH(MEDIAN($B33-Conversion!$B$16,2020,2050),Report_Scenarios!$A$18:$A$24,1)))/(INDEX(Report_Scenarios!$A$18:$A$24,MIN(MATCH(MEDIAN($B33-Conversion!$B$16,2020,2050),Report_Scenarios!$A$18:$A$24,1)+1,7))-INDEX(Report_Scenarios!$A$18:$A$24,MATCH(MEDIAN($B33-Conversion!$B$16,2020,2050),Report_Scenarios!$A$18:$A$24,1)))),IF(INDEX(Report_Scenarios!$A$29:$A$35,MIN(MATCH(MEDIAN($B33-Conversion!$B$16,2020,2050),Report_Scenarios!$A$29:$A$35,1)+1,7))=INDEX(Report_Scenarios!$A$29:$A$35,MATCH(MEDIAN($B33-Conversion!$B$16,2020,2050),Report_Scenarios!$A$29:$A$35,1)),INDEX(Report_Scenarios!$B$29:$B$35,MATCH(MEDIAN($B33-Conversion!$B$16,2020,2050),Report_Scenarios!$A$29:$A$35,1)),INDEX(Report_Scenarios!$B$29:$B$35,MATCH(MEDIAN($B33-Conversion!$B$16,2020,2050),Report_Scenarios!$A$29:$A$35,1))+(INDEX(Report_Scenarios!$B$29:$B$35,MIN(MATCH(MEDIAN($B33-Conversion!$B$16,2020,2050),Report_Scenarios!$A$29:$A$35,1)+1,7))-INDEX(Report_Scenarios!$B$29:$B$35,MATCH(MEDIAN($B33-Conversion!$B$16,2020,2050),Report_Scenarios!$A$29:$A$35,1)))*(MEDIAN($B33-Conversion!$B$16,2020,2050)-INDEX(Report_Scenarios!$A$29:$A$35,MATCH(MEDIAN($B33-Conversion!$B$16,2020,2050),Report_Scenarios!$A$29:$A$35,1)))/(INDEX(Report_Scenarios!$A$29:$A$35,MIN(MATCH(MEDIAN($B33-Conversion!$B$16,2020,2050),Report_Scenarios!$A$29:$A$35,1)+1,7))-INDEX(Report_Scenarios!$A$29:$A$35,MATCH(MEDIAN($B33-Conversion!$B$16,2020,2050),Report_Scenarios!$A$29:$A$35,1))))))</f>
        <v/>
      </c>
      <c r="F33" s="23">
        <f>IF($D33="Conservative",IF(INDEX(Report_Scenarios!$A$7:$A$13,MIN(MATCH(MEDIAN($B33-Conversion!$B$16,2020,2050),Report_Scenarios!$A$7:$A$13,1)+1,7))=INDEX(Report_Scenarios!$A$7:$A$13,MATCH(MEDIAN($B33-Conversion!$B$16,2020,2050),Report_Scenarios!$A$7:$A$13,1)),INDEX(Report_Scenarios!$C$7:$C$13,MATCH(MEDIAN($B33-Conversion!$B$16,2020,2050),Report_Scenarios!$A$7:$A$13,1)),INDEX(Report_Scenarios!$C$7:$C$13,MATCH(MEDIAN($B33-Conversion!$B$16,2020,2050),Report_Scenarios!$A$7:$A$13,1))+(INDEX(Report_Scenarios!$C$7:$C$13,MIN(MATCH(MEDIAN($B33-Conversion!$B$16,2020,2050),Report_Scenarios!$A$7:$A$13,1)+1,7))-INDEX(Report_Scenarios!$C$7:$C$13,MATCH(MEDIAN($B33-Conversion!$B$16,2020,2050),Report_Scenarios!$A$7:$A$13,1)))*(MEDIAN($B33-Conversion!$B$16,2020,2050)-INDEX(Report_Scenarios!$A$7:$A$13,MATCH(MEDIAN($B33-Conversion!$B$16,2020,2050),Report_Scenarios!$A$7:$A$13,1)))/(INDEX(Report_Scenarios!$A$7:$A$13,MIN(MATCH(MEDIAN($B33-Conversion!$B$16,2020,2050),Report_Scenarios!$A$7:$A$13,1)+1,7))-INDEX(Report_Scenarios!$A$7:$A$13,MATCH(MEDIAN($B33-Conversion!$B$16,2020,2050),Report_Scenarios!$A$7:$A$13,1)))),IF($D33="Central",IF(INDEX(Report_Scenarios!$A$18:$A$24,MIN(MATCH(MEDIAN($B33-Conversion!$B$16,2020,2050),Report_Scenarios!$A$18:$A$24,1)+1,7))=INDEX(Report_Scenarios!$A$18:$A$24,MATCH(MEDIAN($B33-Conversion!$B$16,2020,2050),Report_Scenarios!$A$18:$A$24,1)),INDEX(Report_Scenarios!$C$18:$C$24,MATCH(MEDIAN($B33-Conversion!$B$16,2020,2050),Report_Scenarios!$A$18:$A$24,1)),INDEX(Report_Scenarios!$C$18:$C$24,MATCH(MEDIAN($B33-Conversion!$B$16,2020,2050),Report_Scenarios!$A$18:$A$24,1))+(INDEX(Report_Scenarios!$C$18:$C$24,MIN(MATCH(MEDIAN($B33-Conversion!$B$16,2020,2050),Report_Scenarios!$A$18:$A$24,1)+1,7))-INDEX(Report_Scenarios!$C$18:$C$24,MATCH(MEDIAN($B33-Conversion!$B$16,2020,2050),Report_Scenarios!$A$18:$A$24,1)))*(MEDIAN($B33-Conversion!$B$16,2020,2050)-INDEX(Report_Scenarios!$A$18:$A$24,MATCH(MEDIAN($B33-Conversion!$B$16,2020,2050),Report_Scenarios!$A$18:$A$24,1)))/(INDEX(Report_Scenarios!$A$18:$A$24,MIN(MATCH(MEDIAN($B33-Conversion!$B$16,2020,2050),Report_Scenarios!$A$18:$A$24,1)+1,7))-INDEX(Report_Scenarios!$A$18:$A$24,MATCH(MEDIAN($B33-Conversion!$B$16,2020,2050),Report_Scenarios!$A$18:$A$24,1)))),IF(INDEX(Report_Scenarios!$A$29:$A$35,MIN(MATCH(MEDIAN($B33-Conversion!$B$16,2020,2050),Report_Scenarios!$A$29:$A$35,1)+1,7))=INDEX(Report_Scenarios!$A$29:$A$35,MATCH(MEDIAN($B33-Conversion!$B$16,2020,2050),Report_Scenarios!$A$29:$A$35,1)),INDEX(Report_Scenarios!$C$29:$C$35,MATCH(MEDIAN($B33-Conversion!$B$16,2020,2050),Report_Scenarios!$A$29:$A$35,1)),INDEX(Report_Scenarios!$C$29:$C$35,MATCH(MEDIAN($B33-Conversion!$B$16,2020,2050),Report_Scenarios!$A$29:$A$35,1))+(INDEX(Report_Scenarios!$C$29:$C$35,MIN(MATCH(MEDIAN($B33-Conversion!$B$16,2020,2050),Report_Scenarios!$A$29:$A$35,1)+1,7))-INDEX(Report_Scenarios!$C$29:$C$35,MATCH(MEDIAN($B33-Conversion!$B$16,2020,2050),Report_Scenarios!$A$29:$A$35,1)))*(MEDIAN($B33-Conversion!$B$16,2020,2050)-INDEX(Report_Scenarios!$A$29:$A$35,MATCH(MEDIAN($B33-Conversion!$B$16,2020,2050),Report_Scenarios!$A$29:$A$35,1)))/(INDEX(Report_Scenarios!$A$29:$A$35,MIN(MATCH(MEDIAN($B33-Conversion!$B$16,2020,2050),Report_Scenarios!$A$29:$A$35,1)+1,7))-INDEX(Report_Scenarios!$A$29:$A$35,MATCH(MEDIAN($B33-Conversion!$B$16,2020,2050),Report_Scenarios!$A$29:$A$35,1))))))</f>
        <v/>
      </c>
      <c r="G33" s="23">
        <f>IF($D33="Conservative",IF(INDEX(Report_Scenarios!$A$7:$A$13,MIN(MATCH(MEDIAN($B33-Conversion!$B$16,2020,2050),Report_Scenarios!$A$7:$A$13,1)+1,7))=INDEX(Report_Scenarios!$A$7:$A$13,MATCH(MEDIAN($B33-Conversion!$B$16,2020,2050),Report_Scenarios!$A$7:$A$13,1)),INDEX(Report_Scenarios!$D$7:$D$13,MATCH(MEDIAN($B33-Conversion!$B$16,2020,2050),Report_Scenarios!$A$7:$A$13,1)),INDEX(Report_Scenarios!$D$7:$D$13,MATCH(MEDIAN($B33-Conversion!$B$16,2020,2050),Report_Scenarios!$A$7:$A$13,1))+(INDEX(Report_Scenarios!$D$7:$D$13,MIN(MATCH(MEDIAN($B33-Conversion!$B$16,2020,2050),Report_Scenarios!$A$7:$A$13,1)+1,7))-INDEX(Report_Scenarios!$D$7:$D$13,MATCH(MEDIAN($B33-Conversion!$B$16,2020,2050),Report_Scenarios!$A$7:$A$13,1)))*(MEDIAN($B33-Conversion!$B$16,2020,2050)-INDEX(Report_Scenarios!$A$7:$A$13,MATCH(MEDIAN($B33-Conversion!$B$16,2020,2050),Report_Scenarios!$A$7:$A$13,1)))/(INDEX(Report_Scenarios!$A$7:$A$13,MIN(MATCH(MEDIAN($B33-Conversion!$B$16,2020,2050),Report_Scenarios!$A$7:$A$13,1)+1,7))-INDEX(Report_Scenarios!$A$7:$A$13,MATCH(MEDIAN($B33-Conversion!$B$16,2020,2050),Report_Scenarios!$A$7:$A$13,1)))),IF($D33="Central",IF(INDEX(Report_Scenarios!$A$18:$A$24,MIN(MATCH(MEDIAN($B33-Conversion!$B$16,2020,2050),Report_Scenarios!$A$18:$A$24,1)+1,7))=INDEX(Report_Scenarios!$A$18:$A$24,MATCH(MEDIAN($B33-Conversion!$B$16,2020,2050),Report_Scenarios!$A$18:$A$24,1)),INDEX(Report_Scenarios!$D$18:$D$24,MATCH(MEDIAN($B33-Conversion!$B$16,2020,2050),Report_Scenarios!$A$18:$A$24,1)),INDEX(Report_Scenarios!$D$18:$D$24,MATCH(MEDIAN($B33-Conversion!$B$16,2020,2050),Report_Scenarios!$A$18:$A$24,1))+(INDEX(Report_Scenarios!$D$18:$D$24,MIN(MATCH(MEDIAN($B33-Conversion!$B$16,2020,2050),Report_Scenarios!$A$18:$A$24,1)+1,7))-INDEX(Report_Scenarios!$D$18:$D$24,MATCH(MEDIAN($B33-Conversion!$B$16,2020,2050),Report_Scenarios!$A$18:$A$24,1)))*(MEDIAN($B33-Conversion!$B$16,2020,2050)-INDEX(Report_Scenarios!$A$18:$A$24,MATCH(MEDIAN($B33-Conversion!$B$16,2020,2050),Report_Scenarios!$A$18:$A$24,1)))/(INDEX(Report_Scenarios!$A$18:$A$24,MIN(MATCH(MEDIAN($B33-Conversion!$B$16,2020,2050),Report_Scenarios!$A$18:$A$24,1)+1,7))-INDEX(Report_Scenarios!$A$18:$A$24,MATCH(MEDIAN($B33-Conversion!$B$16,2020,2050),Report_Scenarios!$A$18:$A$24,1)))),IF(INDEX(Report_Scenarios!$A$29:$A$35,MIN(MATCH(MEDIAN($B33-Conversion!$B$16,2020,2050),Report_Scenarios!$A$29:$A$35,1)+1,7))=INDEX(Report_Scenarios!$A$29:$A$35,MATCH(MEDIAN($B33-Conversion!$B$16,2020,2050),Report_Scenarios!$A$29:$A$35,1)),INDEX(Report_Scenarios!$D$29:$D$35,MATCH(MEDIAN($B33-Conversion!$B$16,2020,2050),Report_Scenarios!$A$29:$A$35,1)),INDEX(Report_Scenarios!$D$29:$D$35,MATCH(MEDIAN($B33-Conversion!$B$16,2020,2050),Report_Scenarios!$A$29:$A$35,1))+(INDEX(Report_Scenarios!$D$29:$D$35,MIN(MATCH(MEDIAN($B33-Conversion!$B$16,2020,2050),Report_Scenarios!$A$29:$A$35,1)+1,7))-INDEX(Report_Scenarios!$D$29:$D$35,MATCH(MEDIAN($B33-Conversion!$B$16,2020,2050),Report_Scenarios!$A$29:$A$35,1)))*(MEDIAN($B33-Conversion!$B$16,2020,2050)-INDEX(Report_Scenarios!$A$29:$A$35,MATCH(MEDIAN($B33-Conversion!$B$16,2020,2050),Report_Scenarios!$A$29:$A$35,1)))/(INDEX(Report_Scenarios!$A$29:$A$35,MIN(MATCH(MEDIAN($B33-Conversion!$B$16,2020,2050),Report_Scenarios!$A$29:$A$35,1)+1,7))-INDEX(Report_Scenarios!$A$29:$A$35,MATCH(MEDIAN($B33-Conversion!$B$16,2020,2050),Report_Scenarios!$A$29:$A$35,1))))))</f>
        <v/>
      </c>
      <c r="H33" s="23">
        <f>IF($D33="Conservative",IF(INDEX(Report_Scenarios!$A$7:$A$13,MIN(MATCH(MEDIAN($B33-Conversion!$B$16,2020,2050),Report_Scenarios!$A$7:$A$13,1)+1,7))=INDEX(Report_Scenarios!$A$7:$A$13,MATCH(MEDIAN($B33-Conversion!$B$16,2020,2050),Report_Scenarios!$A$7:$A$13,1)),INDEX(Report_Scenarios!$E$7:$E$13,MATCH(MEDIAN($B33-Conversion!$B$16,2020,2050),Report_Scenarios!$A$7:$A$13,1)),INDEX(Report_Scenarios!$E$7:$E$13,MATCH(MEDIAN($B33-Conversion!$B$16,2020,2050),Report_Scenarios!$A$7:$A$13,1))+(INDEX(Report_Scenarios!$E$7:$E$13,MIN(MATCH(MEDIAN($B33-Conversion!$B$16,2020,2050),Report_Scenarios!$A$7:$A$13,1)+1,7))-INDEX(Report_Scenarios!$E$7:$E$13,MATCH(MEDIAN($B33-Conversion!$B$16,2020,2050),Report_Scenarios!$A$7:$A$13,1)))*(MEDIAN($B33-Conversion!$B$16,2020,2050)-INDEX(Report_Scenarios!$A$7:$A$13,MATCH(MEDIAN($B33-Conversion!$B$16,2020,2050),Report_Scenarios!$A$7:$A$13,1)))/(INDEX(Report_Scenarios!$A$7:$A$13,MIN(MATCH(MEDIAN($B33-Conversion!$B$16,2020,2050),Report_Scenarios!$A$7:$A$13,1)+1,7))-INDEX(Report_Scenarios!$A$7:$A$13,MATCH(MEDIAN($B33-Conversion!$B$16,2020,2050),Report_Scenarios!$A$7:$A$13,1)))),IF($D33="Central",IF(INDEX(Report_Scenarios!$A$18:$A$24,MIN(MATCH(MEDIAN($B33-Conversion!$B$16,2020,2050),Report_Scenarios!$A$18:$A$24,1)+1,7))=INDEX(Report_Scenarios!$A$18:$A$24,MATCH(MEDIAN($B33-Conversion!$B$16,2020,2050),Report_Scenarios!$A$18:$A$24,1)),INDEX(Report_Scenarios!$E$18:$E$24,MATCH(MEDIAN($B33-Conversion!$B$16,2020,2050),Report_Scenarios!$A$18:$A$24,1)),INDEX(Report_Scenarios!$E$18:$E$24,MATCH(MEDIAN($B33-Conversion!$B$16,2020,2050),Report_Scenarios!$A$18:$A$24,1))+(INDEX(Report_Scenarios!$E$18:$E$24,MIN(MATCH(MEDIAN($B33-Conversion!$B$16,2020,2050),Report_Scenarios!$A$18:$A$24,1)+1,7))-INDEX(Report_Scenarios!$E$18:$E$24,MATCH(MEDIAN($B33-Conversion!$B$16,2020,2050),Report_Scenarios!$A$18:$A$24,1)))*(MEDIAN($B33-Conversion!$B$16,2020,2050)-INDEX(Report_Scenarios!$A$18:$A$24,MATCH(MEDIAN($B33-Conversion!$B$16,2020,2050),Report_Scenarios!$A$18:$A$24,1)))/(INDEX(Report_Scenarios!$A$18:$A$24,MIN(MATCH(MEDIAN($B33-Conversion!$B$16,2020,2050),Report_Scenarios!$A$18:$A$24,1)+1,7))-INDEX(Report_Scenarios!$A$18:$A$24,MATCH(MEDIAN($B33-Conversion!$B$16,2020,2050),Report_Scenarios!$A$18:$A$24,1)))),IF(INDEX(Report_Scenarios!$A$29:$A$35,MIN(MATCH(MEDIAN($B33-Conversion!$B$16,2020,2050),Report_Scenarios!$A$29:$A$35,1)+1,7))=INDEX(Report_Scenarios!$A$29:$A$35,MATCH(MEDIAN($B33-Conversion!$B$16,2020,2050),Report_Scenarios!$A$29:$A$35,1)),INDEX(Report_Scenarios!$E$29:$E$35,MATCH(MEDIAN($B33-Conversion!$B$16,2020,2050),Report_Scenarios!$A$29:$A$35,1)),INDEX(Report_Scenarios!$E$29:$E$35,MATCH(MEDIAN($B33-Conversion!$B$16,2020,2050),Report_Scenarios!$A$29:$A$35,1))+(INDEX(Report_Scenarios!$E$29:$E$35,MIN(MATCH(MEDIAN($B33-Conversion!$B$16,2020,2050),Report_Scenarios!$A$29:$A$35,1)+1,7))-INDEX(Report_Scenarios!$E$29:$E$35,MATCH(MEDIAN($B33-Conversion!$B$16,2020,2050),Report_Scenarios!$A$29:$A$35,1)))*(MEDIAN($B33-Conversion!$B$16,2020,2050)-INDEX(Report_Scenarios!$A$29:$A$35,MATCH(MEDIAN($B33-Conversion!$B$16,2020,2050),Report_Scenarios!$A$29:$A$35,1)))/(INDEX(Report_Scenarios!$A$29:$A$35,MIN(MATCH(MEDIAN($B33-Conversion!$B$16,2020,2050),Report_Scenarios!$A$29:$A$35,1)+1,7))-INDEX(Report_Scenarios!$A$29:$A$35,MATCH(MEDIAN($B33-Conversion!$B$16,2020,2050),Report_Scenarios!$A$29:$A$35,1))))))</f>
        <v/>
      </c>
      <c r="I33" s="23">
        <f>IF($D33="Conservative",IF(INDEX(Report_Scenarios!$A$7:$A$13,MIN(MATCH(MEDIAN($B33-Conversion!$B$16,2020,2050),Report_Scenarios!$A$7:$A$13,1)+1,7))=INDEX(Report_Scenarios!$A$7:$A$13,MATCH(MEDIAN($B33-Conversion!$B$16,2020,2050),Report_Scenarios!$A$7:$A$13,1)),INDEX(Report_Scenarios!$F$7:$F$13,MATCH(MEDIAN($B33-Conversion!$B$16,2020,2050),Report_Scenarios!$A$7:$A$13,1)),INDEX(Report_Scenarios!$F$7:$F$13,MATCH(MEDIAN($B33-Conversion!$B$16,2020,2050),Report_Scenarios!$A$7:$A$13,1))+(INDEX(Report_Scenarios!$F$7:$F$13,MIN(MATCH(MEDIAN($B33-Conversion!$B$16,2020,2050),Report_Scenarios!$A$7:$A$13,1)+1,7))-INDEX(Report_Scenarios!$F$7:$F$13,MATCH(MEDIAN($B33-Conversion!$B$16,2020,2050),Report_Scenarios!$A$7:$A$13,1)))*(MEDIAN($B33-Conversion!$B$16,2020,2050)-INDEX(Report_Scenarios!$A$7:$A$13,MATCH(MEDIAN($B33-Conversion!$B$16,2020,2050),Report_Scenarios!$A$7:$A$13,1)))/(INDEX(Report_Scenarios!$A$7:$A$13,MIN(MATCH(MEDIAN($B33-Conversion!$B$16,2020,2050),Report_Scenarios!$A$7:$A$13,1)+1,7))-INDEX(Report_Scenarios!$A$7:$A$13,MATCH(MEDIAN($B33-Conversion!$B$16,2020,2050),Report_Scenarios!$A$7:$A$13,1)))),IF($D33="Central",IF(INDEX(Report_Scenarios!$A$18:$A$24,MIN(MATCH(MEDIAN($B33-Conversion!$B$16,2020,2050),Report_Scenarios!$A$18:$A$24,1)+1,7))=INDEX(Report_Scenarios!$A$18:$A$24,MATCH(MEDIAN($B33-Conversion!$B$16,2020,2050),Report_Scenarios!$A$18:$A$24,1)),INDEX(Report_Scenarios!$F$18:$F$24,MATCH(MEDIAN($B33-Conversion!$B$16,2020,2050),Report_Scenarios!$A$18:$A$24,1)),INDEX(Report_Scenarios!$F$18:$F$24,MATCH(MEDIAN($B33-Conversion!$B$16,2020,2050),Report_Scenarios!$A$18:$A$24,1))+(INDEX(Report_Scenarios!$F$18:$F$24,MIN(MATCH(MEDIAN($B33-Conversion!$B$16,2020,2050),Report_Scenarios!$A$18:$A$24,1)+1,7))-INDEX(Report_Scenarios!$F$18:$F$24,MATCH(MEDIAN($B33-Conversion!$B$16,2020,2050),Report_Scenarios!$A$18:$A$24,1)))*(MEDIAN($B33-Conversion!$B$16,2020,2050)-INDEX(Report_Scenarios!$A$18:$A$24,MATCH(MEDIAN($B33-Conversion!$B$16,2020,2050),Report_Scenarios!$A$18:$A$24,1)))/(INDEX(Report_Scenarios!$A$18:$A$24,MIN(MATCH(MEDIAN($B33-Conversion!$B$16,2020,2050),Report_Scenarios!$A$18:$A$24,1)+1,7))-INDEX(Report_Scenarios!$A$18:$A$24,MATCH(MEDIAN($B33-Conversion!$B$16,2020,2050),Report_Scenarios!$A$18:$A$24,1)))),IF(INDEX(Report_Scenarios!$A$29:$A$35,MIN(MATCH(MEDIAN($B33-Conversion!$B$16,2020,2050),Report_Scenarios!$A$29:$A$35,1)+1,7))=INDEX(Report_Scenarios!$A$29:$A$35,MATCH(MEDIAN($B33-Conversion!$B$16,2020,2050),Report_Scenarios!$A$29:$A$35,1)),INDEX(Report_Scenarios!$F$29:$F$35,MATCH(MEDIAN($B33-Conversion!$B$16,2020,2050),Report_Scenarios!$A$29:$A$35,1)),INDEX(Report_Scenarios!$F$29:$F$35,MATCH(MEDIAN($B33-Conversion!$B$16,2020,2050),Report_Scenarios!$A$29:$A$35,1))+(INDEX(Report_Scenarios!$F$29:$F$35,MIN(MATCH(MEDIAN($B33-Conversion!$B$16,2020,2050),Report_Scenarios!$A$29:$A$35,1)+1,7))-INDEX(Report_Scenarios!$F$29:$F$35,MATCH(MEDIAN($B33-Conversion!$B$16,2020,2050),Report_Scenarios!$A$29:$A$35,1)))*(MEDIAN($B33-Conversion!$B$16,2020,2050)-INDEX(Report_Scenarios!$A$29:$A$35,MATCH(MEDIAN($B33-Conversion!$B$16,2020,2050),Report_Scenarios!$A$29:$A$35,1)))/(INDEX(Report_Scenarios!$A$29:$A$35,MIN(MATCH(MEDIAN($B33-Conversion!$B$16,2020,2050),Report_Scenarios!$A$29:$A$35,1)+1,7))-INDEX(Report_Scenarios!$A$29:$A$35,MATCH(MEDIAN($B33-Conversion!$B$16,2020,2050),Report_Scenarios!$A$29:$A$35,1))))))</f>
        <v/>
      </c>
      <c r="J33" s="23">
        <f>IF($D33="Conservative",IF(INDEX(Report_Scenarios!$A$7:$A$13,MIN(MATCH(MEDIAN($B33-Conversion!$B$16,2020,2050),Report_Scenarios!$A$7:$A$13,1)+1,7))=INDEX(Report_Scenarios!$A$7:$A$13,MATCH(MEDIAN($B33-Conversion!$B$16,2020,2050),Report_Scenarios!$A$7:$A$13,1)),INDEX(Report_Scenarios!$G$7:$G$13,MATCH(MEDIAN($B33-Conversion!$B$16,2020,2050),Report_Scenarios!$A$7:$A$13,1)),INDEX(Report_Scenarios!$G$7:$G$13,MATCH(MEDIAN($B33-Conversion!$B$16,2020,2050),Report_Scenarios!$A$7:$A$13,1))+(INDEX(Report_Scenarios!$G$7:$G$13,MIN(MATCH(MEDIAN($B33-Conversion!$B$16,2020,2050),Report_Scenarios!$A$7:$A$13,1)+1,7))-INDEX(Report_Scenarios!$G$7:$G$13,MATCH(MEDIAN($B33-Conversion!$B$16,2020,2050),Report_Scenarios!$A$7:$A$13,1)))*(MEDIAN($B33-Conversion!$B$16,2020,2050)-INDEX(Report_Scenarios!$A$7:$A$13,MATCH(MEDIAN($B33-Conversion!$B$16,2020,2050),Report_Scenarios!$A$7:$A$13,1)))/(INDEX(Report_Scenarios!$A$7:$A$13,MIN(MATCH(MEDIAN($B33-Conversion!$B$16,2020,2050),Report_Scenarios!$A$7:$A$13,1)+1,7))-INDEX(Report_Scenarios!$A$7:$A$13,MATCH(MEDIAN($B33-Conversion!$B$16,2020,2050),Report_Scenarios!$A$7:$A$13,1)))),IF($D33="Central",IF(INDEX(Report_Scenarios!$A$18:$A$24,MIN(MATCH(MEDIAN($B33-Conversion!$B$16,2020,2050),Report_Scenarios!$A$18:$A$24,1)+1,7))=INDEX(Report_Scenarios!$A$18:$A$24,MATCH(MEDIAN($B33-Conversion!$B$16,2020,2050),Report_Scenarios!$A$18:$A$24,1)),INDEX(Report_Scenarios!$G$18:$G$24,MATCH(MEDIAN($B33-Conversion!$B$16,2020,2050),Report_Scenarios!$A$18:$A$24,1)),INDEX(Report_Scenarios!$G$18:$G$24,MATCH(MEDIAN($B33-Conversion!$B$16,2020,2050),Report_Scenarios!$A$18:$A$24,1))+(INDEX(Report_Scenarios!$G$18:$G$24,MIN(MATCH(MEDIAN($B33-Conversion!$B$16,2020,2050),Report_Scenarios!$A$18:$A$24,1)+1,7))-INDEX(Report_Scenarios!$G$18:$G$24,MATCH(MEDIAN($B33-Conversion!$B$16,2020,2050),Report_Scenarios!$A$18:$A$24,1)))*(MEDIAN($B33-Conversion!$B$16,2020,2050)-INDEX(Report_Scenarios!$A$18:$A$24,MATCH(MEDIAN($B33-Conversion!$B$16,2020,2050),Report_Scenarios!$A$18:$A$24,1)))/(INDEX(Report_Scenarios!$A$18:$A$24,MIN(MATCH(MEDIAN($B33-Conversion!$B$16,2020,2050),Report_Scenarios!$A$18:$A$24,1)+1,7))-INDEX(Report_Scenarios!$A$18:$A$24,MATCH(MEDIAN($B33-Conversion!$B$16,2020,2050),Report_Scenarios!$A$18:$A$24,1)))),IF(INDEX(Report_Scenarios!$A$29:$A$35,MIN(MATCH(MEDIAN($B33-Conversion!$B$16,2020,2050),Report_Scenarios!$A$29:$A$35,1)+1,7))=INDEX(Report_Scenarios!$A$29:$A$35,MATCH(MEDIAN($B33-Conversion!$B$16,2020,2050),Report_Scenarios!$A$29:$A$35,1)),INDEX(Report_Scenarios!$G$29:$G$35,MATCH(MEDIAN($B33-Conversion!$B$16,2020,2050),Report_Scenarios!$A$29:$A$35,1)),INDEX(Report_Scenarios!$G$29:$G$35,MATCH(MEDIAN($B33-Conversion!$B$16,2020,2050),Report_Scenarios!$A$29:$A$35,1))+(INDEX(Report_Scenarios!$G$29:$G$35,MIN(MATCH(MEDIAN($B33-Conversion!$B$16,2020,2050),Report_Scenarios!$A$29:$A$35,1)+1,7))-INDEX(Report_Scenarios!$G$29:$G$35,MATCH(MEDIAN($B33-Conversion!$B$16,2020,2050),Report_Scenarios!$A$29:$A$35,1)))*(MEDIAN($B33-Conversion!$B$16,2020,2050)-INDEX(Report_Scenarios!$A$29:$A$35,MATCH(MEDIAN($B33-Conversion!$B$16,2020,2050),Report_Scenarios!$A$29:$A$35,1)))/(INDEX(Report_Scenarios!$A$29:$A$35,MIN(MATCH(MEDIAN($B33-Conversion!$B$16,2020,2050),Report_Scenarios!$A$29:$A$35,1)+1,7))-INDEX(Report_Scenarios!$A$29:$A$35,MATCH(MEDIAN($B33-Conversion!$B$16,2020,2050),Report_Scenarios!$A$29:$A$35,1))))))</f>
        <v/>
      </c>
      <c r="K33" s="23">
        <f>SUM(E33:J33)</f>
        <v/>
      </c>
      <c r="L33" s="23">
        <f>IF(R33&lt;&gt;"",R33,IF($K33=0,0,E33/$K33))</f>
        <v/>
      </c>
      <c r="M33" s="23">
        <f>IF(S33&lt;&gt;"",S33,IF($K33=0,0,F33/$K33))</f>
        <v/>
      </c>
      <c r="N33" s="23">
        <f>IF(T33&lt;&gt;"",T33,IF($K33=0,0,G33/$K33))</f>
        <v/>
      </c>
      <c r="O33" s="23">
        <f>IF(U33&lt;&gt;"",U33,IF($K33=0,0,H33/$K33))</f>
        <v/>
      </c>
      <c r="P33" s="23">
        <f>IF(V33&lt;&gt;"",V33,IF($K33=0,0,I33/$K33))</f>
        <v/>
      </c>
      <c r="Q33" s="23">
        <f>IF(W33&lt;&gt;"",W33,IF($K33=0,0,J33/$K33))</f>
        <v/>
      </c>
      <c r="R33" s="24" t="n"/>
      <c r="S33" s="24" t="n"/>
      <c r="T33" s="24" t="n"/>
      <c r="U33" s="24" t="n"/>
      <c r="V33" s="24" t="n"/>
      <c r="W33" s="24" t="n"/>
    </row>
    <row r="34">
      <c r="A34" s="4" t="inlineStr">
        <is>
          <t>AB</t>
        </is>
      </c>
      <c r="B34" s="4" t="n">
        <v>2070</v>
      </c>
      <c r="C34" s="4" t="inlineStr">
        <is>
          <t>Share_Max</t>
        </is>
      </c>
      <c r="D34" s="4">
        <f>Conversion!$B$20</f>
        <v/>
      </c>
      <c r="E34" s="23">
        <f>IF($D34="Conservative",IF(INDEX(Report_Scenarios!$A$7:$A$13,MIN(MATCH(MEDIAN($B34-Conversion!$B$16,2020,2050),Report_Scenarios!$A$7:$A$13,1)+1,7))=INDEX(Report_Scenarios!$A$7:$A$13,MATCH(MEDIAN($B34-Conversion!$B$16,2020,2050),Report_Scenarios!$A$7:$A$13,1)),INDEX(Report_Scenarios!$B$7:$B$13,MATCH(MEDIAN($B34-Conversion!$B$16,2020,2050),Report_Scenarios!$A$7:$A$13,1)),INDEX(Report_Scenarios!$B$7:$B$13,MATCH(MEDIAN($B34-Conversion!$B$16,2020,2050),Report_Scenarios!$A$7:$A$13,1))+(INDEX(Report_Scenarios!$B$7:$B$13,MIN(MATCH(MEDIAN($B34-Conversion!$B$16,2020,2050),Report_Scenarios!$A$7:$A$13,1)+1,7))-INDEX(Report_Scenarios!$B$7:$B$13,MATCH(MEDIAN($B34-Conversion!$B$16,2020,2050),Report_Scenarios!$A$7:$A$13,1)))*(MEDIAN($B34-Conversion!$B$16,2020,2050)-INDEX(Report_Scenarios!$A$7:$A$13,MATCH(MEDIAN($B34-Conversion!$B$16,2020,2050),Report_Scenarios!$A$7:$A$13,1)))/(INDEX(Report_Scenarios!$A$7:$A$13,MIN(MATCH(MEDIAN($B34-Conversion!$B$16,2020,2050),Report_Scenarios!$A$7:$A$13,1)+1,7))-INDEX(Report_Scenarios!$A$7:$A$13,MATCH(MEDIAN($B34-Conversion!$B$16,2020,2050),Report_Scenarios!$A$7:$A$13,1)))),IF($D34="Central",IF(INDEX(Report_Scenarios!$A$18:$A$24,MIN(MATCH(MEDIAN($B34-Conversion!$B$16,2020,2050),Report_Scenarios!$A$18:$A$24,1)+1,7))=INDEX(Report_Scenarios!$A$18:$A$24,MATCH(MEDIAN($B34-Conversion!$B$16,2020,2050),Report_Scenarios!$A$18:$A$24,1)),INDEX(Report_Scenarios!$B$18:$B$24,MATCH(MEDIAN($B34-Conversion!$B$16,2020,2050),Report_Scenarios!$A$18:$A$24,1)),INDEX(Report_Scenarios!$B$18:$B$24,MATCH(MEDIAN($B34-Conversion!$B$16,2020,2050),Report_Scenarios!$A$18:$A$24,1))+(INDEX(Report_Scenarios!$B$18:$B$24,MIN(MATCH(MEDIAN($B34-Conversion!$B$16,2020,2050),Report_Scenarios!$A$18:$A$24,1)+1,7))-INDEX(Report_Scenarios!$B$18:$B$24,MATCH(MEDIAN($B34-Conversion!$B$16,2020,2050),Report_Scenarios!$A$18:$A$24,1)))*(MEDIAN($B34-Conversion!$B$16,2020,2050)-INDEX(Report_Scenarios!$A$18:$A$24,MATCH(MEDIAN($B34-Conversion!$B$16,2020,2050),Report_Scenarios!$A$18:$A$24,1)))/(INDEX(Report_Scenarios!$A$18:$A$24,MIN(MATCH(MEDIAN($B34-Conversion!$B$16,2020,2050),Report_Scenarios!$A$18:$A$24,1)+1,7))-INDEX(Report_Scenarios!$A$18:$A$24,MATCH(MEDIAN($B34-Conversion!$B$16,2020,2050),Report_Scenarios!$A$18:$A$24,1)))),IF(INDEX(Report_Scenarios!$A$29:$A$35,MIN(MATCH(MEDIAN($B34-Conversion!$B$16,2020,2050),Report_Scenarios!$A$29:$A$35,1)+1,7))=INDEX(Report_Scenarios!$A$29:$A$35,MATCH(MEDIAN($B34-Conversion!$B$16,2020,2050),Report_Scenarios!$A$29:$A$35,1)),INDEX(Report_Scenarios!$B$29:$B$35,MATCH(MEDIAN($B34-Conversion!$B$16,2020,2050),Report_Scenarios!$A$29:$A$35,1)),INDEX(Report_Scenarios!$B$29:$B$35,MATCH(MEDIAN($B34-Conversion!$B$16,2020,2050),Report_Scenarios!$A$29:$A$35,1))+(INDEX(Report_Scenarios!$B$29:$B$35,MIN(MATCH(MEDIAN($B34-Conversion!$B$16,2020,2050),Report_Scenarios!$A$29:$A$35,1)+1,7))-INDEX(Report_Scenarios!$B$29:$B$35,MATCH(MEDIAN($B34-Conversion!$B$16,2020,2050),Report_Scenarios!$A$29:$A$35,1)))*(MEDIAN($B34-Conversion!$B$16,2020,2050)-INDEX(Report_Scenarios!$A$29:$A$35,MATCH(MEDIAN($B34-Conversion!$B$16,2020,2050),Report_Scenarios!$A$29:$A$35,1)))/(INDEX(Report_Scenarios!$A$29:$A$35,MIN(MATCH(MEDIAN($B34-Conversion!$B$16,2020,2050),Report_Scenarios!$A$29:$A$35,1)+1,7))-INDEX(Report_Scenarios!$A$29:$A$35,MATCH(MEDIAN($B34-Conversion!$B$16,2020,2050),Report_Scenarios!$A$29:$A$35,1))))))</f>
        <v/>
      </c>
      <c r="F34" s="23">
        <f>IF($D34="Conservative",IF(INDEX(Report_Scenarios!$A$7:$A$13,MIN(MATCH(MEDIAN($B34-Conversion!$B$16,2020,2050),Report_Scenarios!$A$7:$A$13,1)+1,7))=INDEX(Report_Scenarios!$A$7:$A$13,MATCH(MEDIAN($B34-Conversion!$B$16,2020,2050),Report_Scenarios!$A$7:$A$13,1)),INDEX(Report_Scenarios!$C$7:$C$13,MATCH(MEDIAN($B34-Conversion!$B$16,2020,2050),Report_Scenarios!$A$7:$A$13,1)),INDEX(Report_Scenarios!$C$7:$C$13,MATCH(MEDIAN($B34-Conversion!$B$16,2020,2050),Report_Scenarios!$A$7:$A$13,1))+(INDEX(Report_Scenarios!$C$7:$C$13,MIN(MATCH(MEDIAN($B34-Conversion!$B$16,2020,2050),Report_Scenarios!$A$7:$A$13,1)+1,7))-INDEX(Report_Scenarios!$C$7:$C$13,MATCH(MEDIAN($B34-Conversion!$B$16,2020,2050),Report_Scenarios!$A$7:$A$13,1)))*(MEDIAN($B34-Conversion!$B$16,2020,2050)-INDEX(Report_Scenarios!$A$7:$A$13,MATCH(MEDIAN($B34-Conversion!$B$16,2020,2050),Report_Scenarios!$A$7:$A$13,1)))/(INDEX(Report_Scenarios!$A$7:$A$13,MIN(MATCH(MEDIAN($B34-Conversion!$B$16,2020,2050),Report_Scenarios!$A$7:$A$13,1)+1,7))-INDEX(Report_Scenarios!$A$7:$A$13,MATCH(MEDIAN($B34-Conversion!$B$16,2020,2050),Report_Scenarios!$A$7:$A$13,1)))),IF($D34="Central",IF(INDEX(Report_Scenarios!$A$18:$A$24,MIN(MATCH(MEDIAN($B34-Conversion!$B$16,2020,2050),Report_Scenarios!$A$18:$A$24,1)+1,7))=INDEX(Report_Scenarios!$A$18:$A$24,MATCH(MEDIAN($B34-Conversion!$B$16,2020,2050),Report_Scenarios!$A$18:$A$24,1)),INDEX(Report_Scenarios!$C$18:$C$24,MATCH(MEDIAN($B34-Conversion!$B$16,2020,2050),Report_Scenarios!$A$18:$A$24,1)),INDEX(Report_Scenarios!$C$18:$C$24,MATCH(MEDIAN($B34-Conversion!$B$16,2020,2050),Report_Scenarios!$A$18:$A$24,1))+(INDEX(Report_Scenarios!$C$18:$C$24,MIN(MATCH(MEDIAN($B34-Conversion!$B$16,2020,2050),Report_Scenarios!$A$18:$A$24,1)+1,7))-INDEX(Report_Scenarios!$C$18:$C$24,MATCH(MEDIAN($B34-Conversion!$B$16,2020,2050),Report_Scenarios!$A$18:$A$24,1)))*(MEDIAN($B34-Conversion!$B$16,2020,2050)-INDEX(Report_Scenarios!$A$18:$A$24,MATCH(MEDIAN($B34-Conversion!$B$16,2020,2050),Report_Scenarios!$A$18:$A$24,1)))/(INDEX(Report_Scenarios!$A$18:$A$24,MIN(MATCH(MEDIAN($B34-Conversion!$B$16,2020,2050),Report_Scenarios!$A$18:$A$24,1)+1,7))-INDEX(Report_Scenarios!$A$18:$A$24,MATCH(MEDIAN($B34-Conversion!$B$16,2020,2050),Report_Scenarios!$A$18:$A$24,1)))),IF(INDEX(Report_Scenarios!$A$29:$A$35,MIN(MATCH(MEDIAN($B34-Conversion!$B$16,2020,2050),Report_Scenarios!$A$29:$A$35,1)+1,7))=INDEX(Report_Scenarios!$A$29:$A$35,MATCH(MEDIAN($B34-Conversion!$B$16,2020,2050),Report_Scenarios!$A$29:$A$35,1)),INDEX(Report_Scenarios!$C$29:$C$35,MATCH(MEDIAN($B34-Conversion!$B$16,2020,2050),Report_Scenarios!$A$29:$A$35,1)),INDEX(Report_Scenarios!$C$29:$C$35,MATCH(MEDIAN($B34-Conversion!$B$16,2020,2050),Report_Scenarios!$A$29:$A$35,1))+(INDEX(Report_Scenarios!$C$29:$C$35,MIN(MATCH(MEDIAN($B34-Conversion!$B$16,2020,2050),Report_Scenarios!$A$29:$A$35,1)+1,7))-INDEX(Report_Scenarios!$C$29:$C$35,MATCH(MEDIAN($B34-Conversion!$B$16,2020,2050),Report_Scenarios!$A$29:$A$35,1)))*(MEDIAN($B34-Conversion!$B$16,2020,2050)-INDEX(Report_Scenarios!$A$29:$A$35,MATCH(MEDIAN($B34-Conversion!$B$16,2020,2050),Report_Scenarios!$A$29:$A$35,1)))/(INDEX(Report_Scenarios!$A$29:$A$35,MIN(MATCH(MEDIAN($B34-Conversion!$B$16,2020,2050),Report_Scenarios!$A$29:$A$35,1)+1,7))-INDEX(Report_Scenarios!$A$29:$A$35,MATCH(MEDIAN($B34-Conversion!$B$16,2020,2050),Report_Scenarios!$A$29:$A$35,1))))))</f>
        <v/>
      </c>
      <c r="G34" s="23">
        <f>IF($D34="Conservative",IF(INDEX(Report_Scenarios!$A$7:$A$13,MIN(MATCH(MEDIAN($B34-Conversion!$B$16,2020,2050),Report_Scenarios!$A$7:$A$13,1)+1,7))=INDEX(Report_Scenarios!$A$7:$A$13,MATCH(MEDIAN($B34-Conversion!$B$16,2020,2050),Report_Scenarios!$A$7:$A$13,1)),INDEX(Report_Scenarios!$D$7:$D$13,MATCH(MEDIAN($B34-Conversion!$B$16,2020,2050),Report_Scenarios!$A$7:$A$13,1)),INDEX(Report_Scenarios!$D$7:$D$13,MATCH(MEDIAN($B34-Conversion!$B$16,2020,2050),Report_Scenarios!$A$7:$A$13,1))+(INDEX(Report_Scenarios!$D$7:$D$13,MIN(MATCH(MEDIAN($B34-Conversion!$B$16,2020,2050),Report_Scenarios!$A$7:$A$13,1)+1,7))-INDEX(Report_Scenarios!$D$7:$D$13,MATCH(MEDIAN($B34-Conversion!$B$16,2020,2050),Report_Scenarios!$A$7:$A$13,1)))*(MEDIAN($B34-Conversion!$B$16,2020,2050)-INDEX(Report_Scenarios!$A$7:$A$13,MATCH(MEDIAN($B34-Conversion!$B$16,2020,2050),Report_Scenarios!$A$7:$A$13,1)))/(INDEX(Report_Scenarios!$A$7:$A$13,MIN(MATCH(MEDIAN($B34-Conversion!$B$16,2020,2050),Report_Scenarios!$A$7:$A$13,1)+1,7))-INDEX(Report_Scenarios!$A$7:$A$13,MATCH(MEDIAN($B34-Conversion!$B$16,2020,2050),Report_Scenarios!$A$7:$A$13,1)))),IF($D34="Central",IF(INDEX(Report_Scenarios!$A$18:$A$24,MIN(MATCH(MEDIAN($B34-Conversion!$B$16,2020,2050),Report_Scenarios!$A$18:$A$24,1)+1,7))=INDEX(Report_Scenarios!$A$18:$A$24,MATCH(MEDIAN($B34-Conversion!$B$16,2020,2050),Report_Scenarios!$A$18:$A$24,1)),INDEX(Report_Scenarios!$D$18:$D$24,MATCH(MEDIAN($B34-Conversion!$B$16,2020,2050),Report_Scenarios!$A$18:$A$24,1)),INDEX(Report_Scenarios!$D$18:$D$24,MATCH(MEDIAN($B34-Conversion!$B$16,2020,2050),Report_Scenarios!$A$18:$A$24,1))+(INDEX(Report_Scenarios!$D$18:$D$24,MIN(MATCH(MEDIAN($B34-Conversion!$B$16,2020,2050),Report_Scenarios!$A$18:$A$24,1)+1,7))-INDEX(Report_Scenarios!$D$18:$D$24,MATCH(MEDIAN($B34-Conversion!$B$16,2020,2050),Report_Scenarios!$A$18:$A$24,1)))*(MEDIAN($B34-Conversion!$B$16,2020,2050)-INDEX(Report_Scenarios!$A$18:$A$24,MATCH(MEDIAN($B34-Conversion!$B$16,2020,2050),Report_Scenarios!$A$18:$A$24,1)))/(INDEX(Report_Scenarios!$A$18:$A$24,MIN(MATCH(MEDIAN($B34-Conversion!$B$16,2020,2050),Report_Scenarios!$A$18:$A$24,1)+1,7))-INDEX(Report_Scenarios!$A$18:$A$24,MATCH(MEDIAN($B34-Conversion!$B$16,2020,2050),Report_Scenarios!$A$18:$A$24,1)))),IF(INDEX(Report_Scenarios!$A$29:$A$35,MIN(MATCH(MEDIAN($B34-Conversion!$B$16,2020,2050),Report_Scenarios!$A$29:$A$35,1)+1,7))=INDEX(Report_Scenarios!$A$29:$A$35,MATCH(MEDIAN($B34-Conversion!$B$16,2020,2050),Report_Scenarios!$A$29:$A$35,1)),INDEX(Report_Scenarios!$D$29:$D$35,MATCH(MEDIAN($B34-Conversion!$B$16,2020,2050),Report_Scenarios!$A$29:$A$35,1)),INDEX(Report_Scenarios!$D$29:$D$35,MATCH(MEDIAN($B34-Conversion!$B$16,2020,2050),Report_Scenarios!$A$29:$A$35,1))+(INDEX(Report_Scenarios!$D$29:$D$35,MIN(MATCH(MEDIAN($B34-Conversion!$B$16,2020,2050),Report_Scenarios!$A$29:$A$35,1)+1,7))-INDEX(Report_Scenarios!$D$29:$D$35,MATCH(MEDIAN($B34-Conversion!$B$16,2020,2050),Report_Scenarios!$A$29:$A$35,1)))*(MEDIAN($B34-Conversion!$B$16,2020,2050)-INDEX(Report_Scenarios!$A$29:$A$35,MATCH(MEDIAN($B34-Conversion!$B$16,2020,2050),Report_Scenarios!$A$29:$A$35,1)))/(INDEX(Report_Scenarios!$A$29:$A$35,MIN(MATCH(MEDIAN($B34-Conversion!$B$16,2020,2050),Report_Scenarios!$A$29:$A$35,1)+1,7))-INDEX(Report_Scenarios!$A$29:$A$35,MATCH(MEDIAN($B34-Conversion!$B$16,2020,2050),Report_Scenarios!$A$29:$A$35,1))))))</f>
        <v/>
      </c>
      <c r="H34" s="23">
        <f>IF($D34="Conservative",IF(INDEX(Report_Scenarios!$A$7:$A$13,MIN(MATCH(MEDIAN($B34-Conversion!$B$16,2020,2050),Report_Scenarios!$A$7:$A$13,1)+1,7))=INDEX(Report_Scenarios!$A$7:$A$13,MATCH(MEDIAN($B34-Conversion!$B$16,2020,2050),Report_Scenarios!$A$7:$A$13,1)),INDEX(Report_Scenarios!$E$7:$E$13,MATCH(MEDIAN($B34-Conversion!$B$16,2020,2050),Report_Scenarios!$A$7:$A$13,1)),INDEX(Report_Scenarios!$E$7:$E$13,MATCH(MEDIAN($B34-Conversion!$B$16,2020,2050),Report_Scenarios!$A$7:$A$13,1))+(INDEX(Report_Scenarios!$E$7:$E$13,MIN(MATCH(MEDIAN($B34-Conversion!$B$16,2020,2050),Report_Scenarios!$A$7:$A$13,1)+1,7))-INDEX(Report_Scenarios!$E$7:$E$13,MATCH(MEDIAN($B34-Conversion!$B$16,2020,2050),Report_Scenarios!$A$7:$A$13,1)))*(MEDIAN($B34-Conversion!$B$16,2020,2050)-INDEX(Report_Scenarios!$A$7:$A$13,MATCH(MEDIAN($B34-Conversion!$B$16,2020,2050),Report_Scenarios!$A$7:$A$13,1)))/(INDEX(Report_Scenarios!$A$7:$A$13,MIN(MATCH(MEDIAN($B34-Conversion!$B$16,2020,2050),Report_Scenarios!$A$7:$A$13,1)+1,7))-INDEX(Report_Scenarios!$A$7:$A$13,MATCH(MEDIAN($B34-Conversion!$B$16,2020,2050),Report_Scenarios!$A$7:$A$13,1)))),IF($D34="Central",IF(INDEX(Report_Scenarios!$A$18:$A$24,MIN(MATCH(MEDIAN($B34-Conversion!$B$16,2020,2050),Report_Scenarios!$A$18:$A$24,1)+1,7))=INDEX(Report_Scenarios!$A$18:$A$24,MATCH(MEDIAN($B34-Conversion!$B$16,2020,2050),Report_Scenarios!$A$18:$A$24,1)),INDEX(Report_Scenarios!$E$18:$E$24,MATCH(MEDIAN($B34-Conversion!$B$16,2020,2050),Report_Scenarios!$A$18:$A$24,1)),INDEX(Report_Scenarios!$E$18:$E$24,MATCH(MEDIAN($B34-Conversion!$B$16,2020,2050),Report_Scenarios!$A$18:$A$24,1))+(INDEX(Report_Scenarios!$E$18:$E$24,MIN(MATCH(MEDIAN($B34-Conversion!$B$16,2020,2050),Report_Scenarios!$A$18:$A$24,1)+1,7))-INDEX(Report_Scenarios!$E$18:$E$24,MATCH(MEDIAN($B34-Conversion!$B$16,2020,2050),Report_Scenarios!$A$18:$A$24,1)))*(MEDIAN($B34-Conversion!$B$16,2020,2050)-INDEX(Report_Scenarios!$A$18:$A$24,MATCH(MEDIAN($B34-Conversion!$B$16,2020,2050),Report_Scenarios!$A$18:$A$24,1)))/(INDEX(Report_Scenarios!$A$18:$A$24,MIN(MATCH(MEDIAN($B34-Conversion!$B$16,2020,2050),Report_Scenarios!$A$18:$A$24,1)+1,7))-INDEX(Report_Scenarios!$A$18:$A$24,MATCH(MEDIAN($B34-Conversion!$B$16,2020,2050),Report_Scenarios!$A$18:$A$24,1)))),IF(INDEX(Report_Scenarios!$A$29:$A$35,MIN(MATCH(MEDIAN($B34-Conversion!$B$16,2020,2050),Report_Scenarios!$A$29:$A$35,1)+1,7))=INDEX(Report_Scenarios!$A$29:$A$35,MATCH(MEDIAN($B34-Conversion!$B$16,2020,2050),Report_Scenarios!$A$29:$A$35,1)),INDEX(Report_Scenarios!$E$29:$E$35,MATCH(MEDIAN($B34-Conversion!$B$16,2020,2050),Report_Scenarios!$A$29:$A$35,1)),INDEX(Report_Scenarios!$E$29:$E$35,MATCH(MEDIAN($B34-Conversion!$B$16,2020,2050),Report_Scenarios!$A$29:$A$35,1))+(INDEX(Report_Scenarios!$E$29:$E$35,MIN(MATCH(MEDIAN($B34-Conversion!$B$16,2020,2050),Report_Scenarios!$A$29:$A$35,1)+1,7))-INDEX(Report_Scenarios!$E$29:$E$35,MATCH(MEDIAN($B34-Conversion!$B$16,2020,2050),Report_Scenarios!$A$29:$A$35,1)))*(MEDIAN($B34-Conversion!$B$16,2020,2050)-INDEX(Report_Scenarios!$A$29:$A$35,MATCH(MEDIAN($B34-Conversion!$B$16,2020,2050),Report_Scenarios!$A$29:$A$35,1)))/(INDEX(Report_Scenarios!$A$29:$A$35,MIN(MATCH(MEDIAN($B34-Conversion!$B$16,2020,2050),Report_Scenarios!$A$29:$A$35,1)+1,7))-INDEX(Report_Scenarios!$A$29:$A$35,MATCH(MEDIAN($B34-Conversion!$B$16,2020,2050),Report_Scenarios!$A$29:$A$35,1))))))</f>
        <v/>
      </c>
      <c r="I34" s="23">
        <f>IF($D34="Conservative",IF(INDEX(Report_Scenarios!$A$7:$A$13,MIN(MATCH(MEDIAN($B34-Conversion!$B$16,2020,2050),Report_Scenarios!$A$7:$A$13,1)+1,7))=INDEX(Report_Scenarios!$A$7:$A$13,MATCH(MEDIAN($B34-Conversion!$B$16,2020,2050),Report_Scenarios!$A$7:$A$13,1)),INDEX(Report_Scenarios!$F$7:$F$13,MATCH(MEDIAN($B34-Conversion!$B$16,2020,2050),Report_Scenarios!$A$7:$A$13,1)),INDEX(Report_Scenarios!$F$7:$F$13,MATCH(MEDIAN($B34-Conversion!$B$16,2020,2050),Report_Scenarios!$A$7:$A$13,1))+(INDEX(Report_Scenarios!$F$7:$F$13,MIN(MATCH(MEDIAN($B34-Conversion!$B$16,2020,2050),Report_Scenarios!$A$7:$A$13,1)+1,7))-INDEX(Report_Scenarios!$F$7:$F$13,MATCH(MEDIAN($B34-Conversion!$B$16,2020,2050),Report_Scenarios!$A$7:$A$13,1)))*(MEDIAN($B34-Conversion!$B$16,2020,2050)-INDEX(Report_Scenarios!$A$7:$A$13,MATCH(MEDIAN($B34-Conversion!$B$16,2020,2050),Report_Scenarios!$A$7:$A$13,1)))/(INDEX(Report_Scenarios!$A$7:$A$13,MIN(MATCH(MEDIAN($B34-Conversion!$B$16,2020,2050),Report_Scenarios!$A$7:$A$13,1)+1,7))-INDEX(Report_Scenarios!$A$7:$A$13,MATCH(MEDIAN($B34-Conversion!$B$16,2020,2050),Report_Scenarios!$A$7:$A$13,1)))),IF($D34="Central",IF(INDEX(Report_Scenarios!$A$18:$A$24,MIN(MATCH(MEDIAN($B34-Conversion!$B$16,2020,2050),Report_Scenarios!$A$18:$A$24,1)+1,7))=INDEX(Report_Scenarios!$A$18:$A$24,MATCH(MEDIAN($B34-Conversion!$B$16,2020,2050),Report_Scenarios!$A$18:$A$24,1)),INDEX(Report_Scenarios!$F$18:$F$24,MATCH(MEDIAN($B34-Conversion!$B$16,2020,2050),Report_Scenarios!$A$18:$A$24,1)),INDEX(Report_Scenarios!$F$18:$F$24,MATCH(MEDIAN($B34-Conversion!$B$16,2020,2050),Report_Scenarios!$A$18:$A$24,1))+(INDEX(Report_Scenarios!$F$18:$F$24,MIN(MATCH(MEDIAN($B34-Conversion!$B$16,2020,2050),Report_Scenarios!$A$18:$A$24,1)+1,7))-INDEX(Report_Scenarios!$F$18:$F$24,MATCH(MEDIAN($B34-Conversion!$B$16,2020,2050),Report_Scenarios!$A$18:$A$24,1)))*(MEDIAN($B34-Conversion!$B$16,2020,2050)-INDEX(Report_Scenarios!$A$18:$A$24,MATCH(MEDIAN($B34-Conversion!$B$16,2020,2050),Report_Scenarios!$A$18:$A$24,1)))/(INDEX(Report_Scenarios!$A$18:$A$24,MIN(MATCH(MEDIAN($B34-Conversion!$B$16,2020,2050),Report_Scenarios!$A$18:$A$24,1)+1,7))-INDEX(Report_Scenarios!$A$18:$A$24,MATCH(MEDIAN($B34-Conversion!$B$16,2020,2050),Report_Scenarios!$A$18:$A$24,1)))),IF(INDEX(Report_Scenarios!$A$29:$A$35,MIN(MATCH(MEDIAN($B34-Conversion!$B$16,2020,2050),Report_Scenarios!$A$29:$A$35,1)+1,7))=INDEX(Report_Scenarios!$A$29:$A$35,MATCH(MEDIAN($B34-Conversion!$B$16,2020,2050),Report_Scenarios!$A$29:$A$35,1)),INDEX(Report_Scenarios!$F$29:$F$35,MATCH(MEDIAN($B34-Conversion!$B$16,2020,2050),Report_Scenarios!$A$29:$A$35,1)),INDEX(Report_Scenarios!$F$29:$F$35,MATCH(MEDIAN($B34-Conversion!$B$16,2020,2050),Report_Scenarios!$A$29:$A$35,1))+(INDEX(Report_Scenarios!$F$29:$F$35,MIN(MATCH(MEDIAN($B34-Conversion!$B$16,2020,2050),Report_Scenarios!$A$29:$A$35,1)+1,7))-INDEX(Report_Scenarios!$F$29:$F$35,MATCH(MEDIAN($B34-Conversion!$B$16,2020,2050),Report_Scenarios!$A$29:$A$35,1)))*(MEDIAN($B34-Conversion!$B$16,2020,2050)-INDEX(Report_Scenarios!$A$29:$A$35,MATCH(MEDIAN($B34-Conversion!$B$16,2020,2050),Report_Scenarios!$A$29:$A$35,1)))/(INDEX(Report_Scenarios!$A$29:$A$35,MIN(MATCH(MEDIAN($B34-Conversion!$B$16,2020,2050),Report_Scenarios!$A$29:$A$35,1)+1,7))-INDEX(Report_Scenarios!$A$29:$A$35,MATCH(MEDIAN($B34-Conversion!$B$16,2020,2050),Report_Scenarios!$A$29:$A$35,1))))))</f>
        <v/>
      </c>
      <c r="J34" s="23">
        <f>IF($D34="Conservative",IF(INDEX(Report_Scenarios!$A$7:$A$13,MIN(MATCH(MEDIAN($B34-Conversion!$B$16,2020,2050),Report_Scenarios!$A$7:$A$13,1)+1,7))=INDEX(Report_Scenarios!$A$7:$A$13,MATCH(MEDIAN($B34-Conversion!$B$16,2020,2050),Report_Scenarios!$A$7:$A$13,1)),INDEX(Report_Scenarios!$G$7:$G$13,MATCH(MEDIAN($B34-Conversion!$B$16,2020,2050),Report_Scenarios!$A$7:$A$13,1)),INDEX(Report_Scenarios!$G$7:$G$13,MATCH(MEDIAN($B34-Conversion!$B$16,2020,2050),Report_Scenarios!$A$7:$A$13,1))+(INDEX(Report_Scenarios!$G$7:$G$13,MIN(MATCH(MEDIAN($B34-Conversion!$B$16,2020,2050),Report_Scenarios!$A$7:$A$13,1)+1,7))-INDEX(Report_Scenarios!$G$7:$G$13,MATCH(MEDIAN($B34-Conversion!$B$16,2020,2050),Report_Scenarios!$A$7:$A$13,1)))*(MEDIAN($B34-Conversion!$B$16,2020,2050)-INDEX(Report_Scenarios!$A$7:$A$13,MATCH(MEDIAN($B34-Conversion!$B$16,2020,2050),Report_Scenarios!$A$7:$A$13,1)))/(INDEX(Report_Scenarios!$A$7:$A$13,MIN(MATCH(MEDIAN($B34-Conversion!$B$16,2020,2050),Report_Scenarios!$A$7:$A$13,1)+1,7))-INDEX(Report_Scenarios!$A$7:$A$13,MATCH(MEDIAN($B34-Conversion!$B$16,2020,2050),Report_Scenarios!$A$7:$A$13,1)))),IF($D34="Central",IF(INDEX(Report_Scenarios!$A$18:$A$24,MIN(MATCH(MEDIAN($B34-Conversion!$B$16,2020,2050),Report_Scenarios!$A$18:$A$24,1)+1,7))=INDEX(Report_Scenarios!$A$18:$A$24,MATCH(MEDIAN($B34-Conversion!$B$16,2020,2050),Report_Scenarios!$A$18:$A$24,1)),INDEX(Report_Scenarios!$G$18:$G$24,MATCH(MEDIAN($B34-Conversion!$B$16,2020,2050),Report_Scenarios!$A$18:$A$24,1)),INDEX(Report_Scenarios!$G$18:$G$24,MATCH(MEDIAN($B34-Conversion!$B$16,2020,2050),Report_Scenarios!$A$18:$A$24,1))+(INDEX(Report_Scenarios!$G$18:$G$24,MIN(MATCH(MEDIAN($B34-Conversion!$B$16,2020,2050),Report_Scenarios!$A$18:$A$24,1)+1,7))-INDEX(Report_Scenarios!$G$18:$G$24,MATCH(MEDIAN($B34-Conversion!$B$16,2020,2050),Report_Scenarios!$A$18:$A$24,1)))*(MEDIAN($B34-Conversion!$B$16,2020,2050)-INDEX(Report_Scenarios!$A$18:$A$24,MATCH(MEDIAN($B34-Conversion!$B$16,2020,2050),Report_Scenarios!$A$18:$A$24,1)))/(INDEX(Report_Scenarios!$A$18:$A$24,MIN(MATCH(MEDIAN($B34-Conversion!$B$16,2020,2050),Report_Scenarios!$A$18:$A$24,1)+1,7))-INDEX(Report_Scenarios!$A$18:$A$24,MATCH(MEDIAN($B34-Conversion!$B$16,2020,2050),Report_Scenarios!$A$18:$A$24,1)))),IF(INDEX(Report_Scenarios!$A$29:$A$35,MIN(MATCH(MEDIAN($B34-Conversion!$B$16,2020,2050),Report_Scenarios!$A$29:$A$35,1)+1,7))=INDEX(Report_Scenarios!$A$29:$A$35,MATCH(MEDIAN($B34-Conversion!$B$16,2020,2050),Report_Scenarios!$A$29:$A$35,1)),INDEX(Report_Scenarios!$G$29:$G$35,MATCH(MEDIAN($B34-Conversion!$B$16,2020,2050),Report_Scenarios!$A$29:$A$35,1)),INDEX(Report_Scenarios!$G$29:$G$35,MATCH(MEDIAN($B34-Conversion!$B$16,2020,2050),Report_Scenarios!$A$29:$A$35,1))+(INDEX(Report_Scenarios!$G$29:$G$35,MIN(MATCH(MEDIAN($B34-Conversion!$B$16,2020,2050),Report_Scenarios!$A$29:$A$35,1)+1,7))-INDEX(Report_Scenarios!$G$29:$G$35,MATCH(MEDIAN($B34-Conversion!$B$16,2020,2050),Report_Scenarios!$A$29:$A$35,1)))*(MEDIAN($B34-Conversion!$B$16,2020,2050)-INDEX(Report_Scenarios!$A$29:$A$35,MATCH(MEDIAN($B34-Conversion!$B$16,2020,2050),Report_Scenarios!$A$29:$A$35,1)))/(INDEX(Report_Scenarios!$A$29:$A$35,MIN(MATCH(MEDIAN($B34-Conversion!$B$16,2020,2050),Report_Scenarios!$A$29:$A$35,1)+1,7))-INDEX(Report_Scenarios!$A$29:$A$35,MATCH(MEDIAN($B34-Conversion!$B$16,2020,2050),Report_Scenarios!$A$29:$A$35,1))))))</f>
        <v/>
      </c>
      <c r="K34" s="23">
        <f>SUM(E34:J34)</f>
        <v/>
      </c>
      <c r="L34" s="23">
        <f>IF(R34&lt;&gt;"",R34,IF($K34=0,0,E34/$K34))</f>
        <v/>
      </c>
      <c r="M34" s="23">
        <f>IF(S34&lt;&gt;"",S34,IF($K34=0,0,F34/$K34))</f>
        <v/>
      </c>
      <c r="N34" s="23">
        <f>IF(T34&lt;&gt;"",T34,IF($K34=0,0,G34/$K34))</f>
        <v/>
      </c>
      <c r="O34" s="23">
        <f>IF(U34&lt;&gt;"",U34,IF($K34=0,0,H34/$K34))</f>
        <v/>
      </c>
      <c r="P34" s="23">
        <f>IF(V34&lt;&gt;"",V34,IF($K34=0,0,I34/$K34))</f>
        <v/>
      </c>
      <c r="Q34" s="23">
        <f>IF(W34&lt;&gt;"",W34,IF($K34=0,0,J34/$K34))</f>
        <v/>
      </c>
      <c r="R34" s="24" t="n"/>
      <c r="S34" s="24" t="n"/>
      <c r="T34" s="24" t="n"/>
      <c r="U34" s="24" t="n"/>
      <c r="V34" s="24" t="n"/>
      <c r="W34" s="24" t="n"/>
    </row>
    <row r="35">
      <c r="A35" s="4" t="inlineStr">
        <is>
          <t>CD</t>
        </is>
      </c>
      <c r="B35" s="4" t="n">
        <v>2020</v>
      </c>
      <c r="C35" s="4" t="inlineStr">
        <is>
          <t>Share_Min</t>
        </is>
      </c>
      <c r="D35" s="4">
        <f>Conversion!$B$18</f>
        <v/>
      </c>
      <c r="E35" s="23">
        <f>IF($D35="Conservative",IF(INDEX(Report_Scenarios!$A$7:$A$13,MIN(MATCH(MEDIAN($B35-Conversion!$B$15,2020,2050),Report_Scenarios!$A$7:$A$13,1)+1,7))=INDEX(Report_Scenarios!$A$7:$A$13,MATCH(MEDIAN($B35-Conversion!$B$15,2020,2050),Report_Scenarios!$A$7:$A$13,1)),INDEX(Report_Scenarios!$B$7:$B$13,MATCH(MEDIAN($B35-Conversion!$B$15,2020,2050),Report_Scenarios!$A$7:$A$13,1)),INDEX(Report_Scenarios!$B$7:$B$13,MATCH(MEDIAN($B35-Conversion!$B$15,2020,2050),Report_Scenarios!$A$7:$A$13,1))+(INDEX(Report_Scenarios!$B$7:$B$13,MIN(MATCH(MEDIAN($B35-Conversion!$B$15,2020,2050),Report_Scenarios!$A$7:$A$13,1)+1,7))-INDEX(Report_Scenarios!$B$7:$B$13,MATCH(MEDIAN($B35-Conversion!$B$15,2020,2050),Report_Scenarios!$A$7:$A$13,1)))*(MEDIAN($B35-Conversion!$B$15,2020,2050)-INDEX(Report_Scenarios!$A$7:$A$13,MATCH(MEDIAN($B35-Conversion!$B$15,2020,2050),Report_Scenarios!$A$7:$A$13,1)))/(INDEX(Report_Scenarios!$A$7:$A$13,MIN(MATCH(MEDIAN($B35-Conversion!$B$15,2020,2050),Report_Scenarios!$A$7:$A$13,1)+1,7))-INDEX(Report_Scenarios!$A$7:$A$13,MATCH(MEDIAN($B35-Conversion!$B$15,2020,2050),Report_Scenarios!$A$7:$A$13,1)))),IF($D35="Central",IF(INDEX(Report_Scenarios!$A$18:$A$24,MIN(MATCH(MEDIAN($B35-Conversion!$B$15,2020,2050),Report_Scenarios!$A$18:$A$24,1)+1,7))=INDEX(Report_Scenarios!$A$18:$A$24,MATCH(MEDIAN($B35-Conversion!$B$15,2020,2050),Report_Scenarios!$A$18:$A$24,1)),INDEX(Report_Scenarios!$B$18:$B$24,MATCH(MEDIAN($B35-Conversion!$B$15,2020,2050),Report_Scenarios!$A$18:$A$24,1)),INDEX(Report_Scenarios!$B$18:$B$24,MATCH(MEDIAN($B35-Conversion!$B$15,2020,2050),Report_Scenarios!$A$18:$A$24,1))+(INDEX(Report_Scenarios!$B$18:$B$24,MIN(MATCH(MEDIAN($B35-Conversion!$B$15,2020,2050),Report_Scenarios!$A$18:$A$24,1)+1,7))-INDEX(Report_Scenarios!$B$18:$B$24,MATCH(MEDIAN($B35-Conversion!$B$15,2020,2050),Report_Scenarios!$A$18:$A$24,1)))*(MEDIAN($B35-Conversion!$B$15,2020,2050)-INDEX(Report_Scenarios!$A$18:$A$24,MATCH(MEDIAN($B35-Conversion!$B$15,2020,2050),Report_Scenarios!$A$18:$A$24,1)))/(INDEX(Report_Scenarios!$A$18:$A$24,MIN(MATCH(MEDIAN($B35-Conversion!$B$15,2020,2050),Report_Scenarios!$A$18:$A$24,1)+1,7))-INDEX(Report_Scenarios!$A$18:$A$24,MATCH(MEDIAN($B35-Conversion!$B$15,2020,2050),Report_Scenarios!$A$18:$A$24,1)))),IF(INDEX(Report_Scenarios!$A$29:$A$35,MIN(MATCH(MEDIAN($B35-Conversion!$B$15,2020,2050),Report_Scenarios!$A$29:$A$35,1)+1,7))=INDEX(Report_Scenarios!$A$29:$A$35,MATCH(MEDIAN($B35-Conversion!$B$15,2020,2050),Report_Scenarios!$A$29:$A$35,1)),INDEX(Report_Scenarios!$B$29:$B$35,MATCH(MEDIAN($B35-Conversion!$B$15,2020,2050),Report_Scenarios!$A$29:$A$35,1)),INDEX(Report_Scenarios!$B$29:$B$35,MATCH(MEDIAN($B35-Conversion!$B$15,2020,2050),Report_Scenarios!$A$29:$A$35,1))+(INDEX(Report_Scenarios!$B$29:$B$35,MIN(MATCH(MEDIAN($B35-Conversion!$B$15,2020,2050),Report_Scenarios!$A$29:$A$35,1)+1,7))-INDEX(Report_Scenarios!$B$29:$B$35,MATCH(MEDIAN($B35-Conversion!$B$15,2020,2050),Report_Scenarios!$A$29:$A$35,1)))*(MEDIAN($B35-Conversion!$B$15,2020,2050)-INDEX(Report_Scenarios!$A$29:$A$35,MATCH(MEDIAN($B35-Conversion!$B$15,2020,2050),Report_Scenarios!$A$29:$A$35,1)))/(INDEX(Report_Scenarios!$A$29:$A$35,MIN(MATCH(MEDIAN($B35-Conversion!$B$15,2020,2050),Report_Scenarios!$A$29:$A$35,1)+1,7))-INDEX(Report_Scenarios!$A$29:$A$35,MATCH(MEDIAN($B35-Conversion!$B$15,2020,2050),Report_Scenarios!$A$29:$A$35,1))))))</f>
        <v/>
      </c>
      <c r="F35" s="23">
        <f>IF($D35="Conservative",IF(INDEX(Report_Scenarios!$A$7:$A$13,MIN(MATCH(MEDIAN($B35-Conversion!$B$15,2020,2050),Report_Scenarios!$A$7:$A$13,1)+1,7))=INDEX(Report_Scenarios!$A$7:$A$13,MATCH(MEDIAN($B35-Conversion!$B$15,2020,2050),Report_Scenarios!$A$7:$A$13,1)),INDEX(Report_Scenarios!$C$7:$C$13,MATCH(MEDIAN($B35-Conversion!$B$15,2020,2050),Report_Scenarios!$A$7:$A$13,1)),INDEX(Report_Scenarios!$C$7:$C$13,MATCH(MEDIAN($B35-Conversion!$B$15,2020,2050),Report_Scenarios!$A$7:$A$13,1))+(INDEX(Report_Scenarios!$C$7:$C$13,MIN(MATCH(MEDIAN($B35-Conversion!$B$15,2020,2050),Report_Scenarios!$A$7:$A$13,1)+1,7))-INDEX(Report_Scenarios!$C$7:$C$13,MATCH(MEDIAN($B35-Conversion!$B$15,2020,2050),Report_Scenarios!$A$7:$A$13,1)))*(MEDIAN($B35-Conversion!$B$15,2020,2050)-INDEX(Report_Scenarios!$A$7:$A$13,MATCH(MEDIAN($B35-Conversion!$B$15,2020,2050),Report_Scenarios!$A$7:$A$13,1)))/(INDEX(Report_Scenarios!$A$7:$A$13,MIN(MATCH(MEDIAN($B35-Conversion!$B$15,2020,2050),Report_Scenarios!$A$7:$A$13,1)+1,7))-INDEX(Report_Scenarios!$A$7:$A$13,MATCH(MEDIAN($B35-Conversion!$B$15,2020,2050),Report_Scenarios!$A$7:$A$13,1)))),IF($D35="Central",IF(INDEX(Report_Scenarios!$A$18:$A$24,MIN(MATCH(MEDIAN($B35-Conversion!$B$15,2020,2050),Report_Scenarios!$A$18:$A$24,1)+1,7))=INDEX(Report_Scenarios!$A$18:$A$24,MATCH(MEDIAN($B35-Conversion!$B$15,2020,2050),Report_Scenarios!$A$18:$A$24,1)),INDEX(Report_Scenarios!$C$18:$C$24,MATCH(MEDIAN($B35-Conversion!$B$15,2020,2050),Report_Scenarios!$A$18:$A$24,1)),INDEX(Report_Scenarios!$C$18:$C$24,MATCH(MEDIAN($B35-Conversion!$B$15,2020,2050),Report_Scenarios!$A$18:$A$24,1))+(INDEX(Report_Scenarios!$C$18:$C$24,MIN(MATCH(MEDIAN($B35-Conversion!$B$15,2020,2050),Report_Scenarios!$A$18:$A$24,1)+1,7))-INDEX(Report_Scenarios!$C$18:$C$24,MATCH(MEDIAN($B35-Conversion!$B$15,2020,2050),Report_Scenarios!$A$18:$A$24,1)))*(MEDIAN($B35-Conversion!$B$15,2020,2050)-INDEX(Report_Scenarios!$A$18:$A$24,MATCH(MEDIAN($B35-Conversion!$B$15,2020,2050),Report_Scenarios!$A$18:$A$24,1)))/(INDEX(Report_Scenarios!$A$18:$A$24,MIN(MATCH(MEDIAN($B35-Conversion!$B$15,2020,2050),Report_Scenarios!$A$18:$A$24,1)+1,7))-INDEX(Report_Scenarios!$A$18:$A$24,MATCH(MEDIAN($B35-Conversion!$B$15,2020,2050),Report_Scenarios!$A$18:$A$24,1)))),IF(INDEX(Report_Scenarios!$A$29:$A$35,MIN(MATCH(MEDIAN($B35-Conversion!$B$15,2020,2050),Report_Scenarios!$A$29:$A$35,1)+1,7))=INDEX(Report_Scenarios!$A$29:$A$35,MATCH(MEDIAN($B35-Conversion!$B$15,2020,2050),Report_Scenarios!$A$29:$A$35,1)),INDEX(Report_Scenarios!$C$29:$C$35,MATCH(MEDIAN($B35-Conversion!$B$15,2020,2050),Report_Scenarios!$A$29:$A$35,1)),INDEX(Report_Scenarios!$C$29:$C$35,MATCH(MEDIAN($B35-Conversion!$B$15,2020,2050),Report_Scenarios!$A$29:$A$35,1))+(INDEX(Report_Scenarios!$C$29:$C$35,MIN(MATCH(MEDIAN($B35-Conversion!$B$15,2020,2050),Report_Scenarios!$A$29:$A$35,1)+1,7))-INDEX(Report_Scenarios!$C$29:$C$35,MATCH(MEDIAN($B35-Conversion!$B$15,2020,2050),Report_Scenarios!$A$29:$A$35,1)))*(MEDIAN($B35-Conversion!$B$15,2020,2050)-INDEX(Report_Scenarios!$A$29:$A$35,MATCH(MEDIAN($B35-Conversion!$B$15,2020,2050),Report_Scenarios!$A$29:$A$35,1)))/(INDEX(Report_Scenarios!$A$29:$A$35,MIN(MATCH(MEDIAN($B35-Conversion!$B$15,2020,2050),Report_Scenarios!$A$29:$A$35,1)+1,7))-INDEX(Report_Scenarios!$A$29:$A$35,MATCH(MEDIAN($B35-Conversion!$B$15,2020,2050),Report_Scenarios!$A$29:$A$35,1))))))</f>
        <v/>
      </c>
      <c r="G35" s="23">
        <f>IF($D35="Conservative",IF(INDEX(Report_Scenarios!$A$7:$A$13,MIN(MATCH(MEDIAN($B35-Conversion!$B$15,2020,2050),Report_Scenarios!$A$7:$A$13,1)+1,7))=INDEX(Report_Scenarios!$A$7:$A$13,MATCH(MEDIAN($B35-Conversion!$B$15,2020,2050),Report_Scenarios!$A$7:$A$13,1)),INDEX(Report_Scenarios!$D$7:$D$13,MATCH(MEDIAN($B35-Conversion!$B$15,2020,2050),Report_Scenarios!$A$7:$A$13,1)),INDEX(Report_Scenarios!$D$7:$D$13,MATCH(MEDIAN($B35-Conversion!$B$15,2020,2050),Report_Scenarios!$A$7:$A$13,1))+(INDEX(Report_Scenarios!$D$7:$D$13,MIN(MATCH(MEDIAN($B35-Conversion!$B$15,2020,2050),Report_Scenarios!$A$7:$A$13,1)+1,7))-INDEX(Report_Scenarios!$D$7:$D$13,MATCH(MEDIAN($B35-Conversion!$B$15,2020,2050),Report_Scenarios!$A$7:$A$13,1)))*(MEDIAN($B35-Conversion!$B$15,2020,2050)-INDEX(Report_Scenarios!$A$7:$A$13,MATCH(MEDIAN($B35-Conversion!$B$15,2020,2050),Report_Scenarios!$A$7:$A$13,1)))/(INDEX(Report_Scenarios!$A$7:$A$13,MIN(MATCH(MEDIAN($B35-Conversion!$B$15,2020,2050),Report_Scenarios!$A$7:$A$13,1)+1,7))-INDEX(Report_Scenarios!$A$7:$A$13,MATCH(MEDIAN($B35-Conversion!$B$15,2020,2050),Report_Scenarios!$A$7:$A$13,1)))),IF($D35="Central",IF(INDEX(Report_Scenarios!$A$18:$A$24,MIN(MATCH(MEDIAN($B35-Conversion!$B$15,2020,2050),Report_Scenarios!$A$18:$A$24,1)+1,7))=INDEX(Report_Scenarios!$A$18:$A$24,MATCH(MEDIAN($B35-Conversion!$B$15,2020,2050),Report_Scenarios!$A$18:$A$24,1)),INDEX(Report_Scenarios!$D$18:$D$24,MATCH(MEDIAN($B35-Conversion!$B$15,2020,2050),Report_Scenarios!$A$18:$A$24,1)),INDEX(Report_Scenarios!$D$18:$D$24,MATCH(MEDIAN($B35-Conversion!$B$15,2020,2050),Report_Scenarios!$A$18:$A$24,1))+(INDEX(Report_Scenarios!$D$18:$D$24,MIN(MATCH(MEDIAN($B35-Conversion!$B$15,2020,2050),Report_Scenarios!$A$18:$A$24,1)+1,7))-INDEX(Report_Scenarios!$D$18:$D$24,MATCH(MEDIAN($B35-Conversion!$B$15,2020,2050),Report_Scenarios!$A$18:$A$24,1)))*(MEDIAN($B35-Conversion!$B$15,2020,2050)-INDEX(Report_Scenarios!$A$18:$A$24,MATCH(MEDIAN($B35-Conversion!$B$15,2020,2050),Report_Scenarios!$A$18:$A$24,1)))/(INDEX(Report_Scenarios!$A$18:$A$24,MIN(MATCH(MEDIAN($B35-Conversion!$B$15,2020,2050),Report_Scenarios!$A$18:$A$24,1)+1,7))-INDEX(Report_Scenarios!$A$18:$A$24,MATCH(MEDIAN($B35-Conversion!$B$15,2020,2050),Report_Scenarios!$A$18:$A$24,1)))),IF(INDEX(Report_Scenarios!$A$29:$A$35,MIN(MATCH(MEDIAN($B35-Conversion!$B$15,2020,2050),Report_Scenarios!$A$29:$A$35,1)+1,7))=INDEX(Report_Scenarios!$A$29:$A$35,MATCH(MEDIAN($B35-Conversion!$B$15,2020,2050),Report_Scenarios!$A$29:$A$35,1)),INDEX(Report_Scenarios!$D$29:$D$35,MATCH(MEDIAN($B35-Conversion!$B$15,2020,2050),Report_Scenarios!$A$29:$A$35,1)),INDEX(Report_Scenarios!$D$29:$D$35,MATCH(MEDIAN($B35-Conversion!$B$15,2020,2050),Report_Scenarios!$A$29:$A$35,1))+(INDEX(Report_Scenarios!$D$29:$D$35,MIN(MATCH(MEDIAN($B35-Conversion!$B$15,2020,2050),Report_Scenarios!$A$29:$A$35,1)+1,7))-INDEX(Report_Scenarios!$D$29:$D$35,MATCH(MEDIAN($B35-Conversion!$B$15,2020,2050),Report_Scenarios!$A$29:$A$35,1)))*(MEDIAN($B35-Conversion!$B$15,2020,2050)-INDEX(Report_Scenarios!$A$29:$A$35,MATCH(MEDIAN($B35-Conversion!$B$15,2020,2050),Report_Scenarios!$A$29:$A$35,1)))/(INDEX(Report_Scenarios!$A$29:$A$35,MIN(MATCH(MEDIAN($B35-Conversion!$B$15,2020,2050),Report_Scenarios!$A$29:$A$35,1)+1,7))-INDEX(Report_Scenarios!$A$29:$A$35,MATCH(MEDIAN($B35-Conversion!$B$15,2020,2050),Report_Scenarios!$A$29:$A$35,1))))))</f>
        <v/>
      </c>
      <c r="H35" s="23">
        <f>IF($D35="Conservative",IF(INDEX(Report_Scenarios!$A$7:$A$13,MIN(MATCH(MEDIAN($B35-Conversion!$B$15,2020,2050),Report_Scenarios!$A$7:$A$13,1)+1,7))=INDEX(Report_Scenarios!$A$7:$A$13,MATCH(MEDIAN($B35-Conversion!$B$15,2020,2050),Report_Scenarios!$A$7:$A$13,1)),INDEX(Report_Scenarios!$E$7:$E$13,MATCH(MEDIAN($B35-Conversion!$B$15,2020,2050),Report_Scenarios!$A$7:$A$13,1)),INDEX(Report_Scenarios!$E$7:$E$13,MATCH(MEDIAN($B35-Conversion!$B$15,2020,2050),Report_Scenarios!$A$7:$A$13,1))+(INDEX(Report_Scenarios!$E$7:$E$13,MIN(MATCH(MEDIAN($B35-Conversion!$B$15,2020,2050),Report_Scenarios!$A$7:$A$13,1)+1,7))-INDEX(Report_Scenarios!$E$7:$E$13,MATCH(MEDIAN($B35-Conversion!$B$15,2020,2050),Report_Scenarios!$A$7:$A$13,1)))*(MEDIAN($B35-Conversion!$B$15,2020,2050)-INDEX(Report_Scenarios!$A$7:$A$13,MATCH(MEDIAN($B35-Conversion!$B$15,2020,2050),Report_Scenarios!$A$7:$A$13,1)))/(INDEX(Report_Scenarios!$A$7:$A$13,MIN(MATCH(MEDIAN($B35-Conversion!$B$15,2020,2050),Report_Scenarios!$A$7:$A$13,1)+1,7))-INDEX(Report_Scenarios!$A$7:$A$13,MATCH(MEDIAN($B35-Conversion!$B$15,2020,2050),Report_Scenarios!$A$7:$A$13,1)))),IF($D35="Central",IF(INDEX(Report_Scenarios!$A$18:$A$24,MIN(MATCH(MEDIAN($B35-Conversion!$B$15,2020,2050),Report_Scenarios!$A$18:$A$24,1)+1,7))=INDEX(Report_Scenarios!$A$18:$A$24,MATCH(MEDIAN($B35-Conversion!$B$15,2020,2050),Report_Scenarios!$A$18:$A$24,1)),INDEX(Report_Scenarios!$E$18:$E$24,MATCH(MEDIAN($B35-Conversion!$B$15,2020,2050),Report_Scenarios!$A$18:$A$24,1)),INDEX(Report_Scenarios!$E$18:$E$24,MATCH(MEDIAN($B35-Conversion!$B$15,2020,2050),Report_Scenarios!$A$18:$A$24,1))+(INDEX(Report_Scenarios!$E$18:$E$24,MIN(MATCH(MEDIAN($B35-Conversion!$B$15,2020,2050),Report_Scenarios!$A$18:$A$24,1)+1,7))-INDEX(Report_Scenarios!$E$18:$E$24,MATCH(MEDIAN($B35-Conversion!$B$15,2020,2050),Report_Scenarios!$A$18:$A$24,1)))*(MEDIAN($B35-Conversion!$B$15,2020,2050)-INDEX(Report_Scenarios!$A$18:$A$24,MATCH(MEDIAN($B35-Conversion!$B$15,2020,2050),Report_Scenarios!$A$18:$A$24,1)))/(INDEX(Report_Scenarios!$A$18:$A$24,MIN(MATCH(MEDIAN($B35-Conversion!$B$15,2020,2050),Report_Scenarios!$A$18:$A$24,1)+1,7))-INDEX(Report_Scenarios!$A$18:$A$24,MATCH(MEDIAN($B35-Conversion!$B$15,2020,2050),Report_Scenarios!$A$18:$A$24,1)))),IF(INDEX(Report_Scenarios!$A$29:$A$35,MIN(MATCH(MEDIAN($B35-Conversion!$B$15,2020,2050),Report_Scenarios!$A$29:$A$35,1)+1,7))=INDEX(Report_Scenarios!$A$29:$A$35,MATCH(MEDIAN($B35-Conversion!$B$15,2020,2050),Report_Scenarios!$A$29:$A$35,1)),INDEX(Report_Scenarios!$E$29:$E$35,MATCH(MEDIAN($B35-Conversion!$B$15,2020,2050),Report_Scenarios!$A$29:$A$35,1)),INDEX(Report_Scenarios!$E$29:$E$35,MATCH(MEDIAN($B35-Conversion!$B$15,2020,2050),Report_Scenarios!$A$29:$A$35,1))+(INDEX(Report_Scenarios!$E$29:$E$35,MIN(MATCH(MEDIAN($B35-Conversion!$B$15,2020,2050),Report_Scenarios!$A$29:$A$35,1)+1,7))-INDEX(Report_Scenarios!$E$29:$E$35,MATCH(MEDIAN($B35-Conversion!$B$15,2020,2050),Report_Scenarios!$A$29:$A$35,1)))*(MEDIAN($B35-Conversion!$B$15,2020,2050)-INDEX(Report_Scenarios!$A$29:$A$35,MATCH(MEDIAN($B35-Conversion!$B$15,2020,2050),Report_Scenarios!$A$29:$A$35,1)))/(INDEX(Report_Scenarios!$A$29:$A$35,MIN(MATCH(MEDIAN($B35-Conversion!$B$15,2020,2050),Report_Scenarios!$A$29:$A$35,1)+1,7))-INDEX(Report_Scenarios!$A$29:$A$35,MATCH(MEDIAN($B35-Conversion!$B$15,2020,2050),Report_Scenarios!$A$29:$A$35,1))))))</f>
        <v/>
      </c>
      <c r="I35" s="23">
        <f>IF($D35="Conservative",IF(INDEX(Report_Scenarios!$A$7:$A$13,MIN(MATCH(MEDIAN($B35-Conversion!$B$15,2020,2050),Report_Scenarios!$A$7:$A$13,1)+1,7))=INDEX(Report_Scenarios!$A$7:$A$13,MATCH(MEDIAN($B35-Conversion!$B$15,2020,2050),Report_Scenarios!$A$7:$A$13,1)),INDEX(Report_Scenarios!$F$7:$F$13,MATCH(MEDIAN($B35-Conversion!$B$15,2020,2050),Report_Scenarios!$A$7:$A$13,1)),INDEX(Report_Scenarios!$F$7:$F$13,MATCH(MEDIAN($B35-Conversion!$B$15,2020,2050),Report_Scenarios!$A$7:$A$13,1))+(INDEX(Report_Scenarios!$F$7:$F$13,MIN(MATCH(MEDIAN($B35-Conversion!$B$15,2020,2050),Report_Scenarios!$A$7:$A$13,1)+1,7))-INDEX(Report_Scenarios!$F$7:$F$13,MATCH(MEDIAN($B35-Conversion!$B$15,2020,2050),Report_Scenarios!$A$7:$A$13,1)))*(MEDIAN($B35-Conversion!$B$15,2020,2050)-INDEX(Report_Scenarios!$A$7:$A$13,MATCH(MEDIAN($B35-Conversion!$B$15,2020,2050),Report_Scenarios!$A$7:$A$13,1)))/(INDEX(Report_Scenarios!$A$7:$A$13,MIN(MATCH(MEDIAN($B35-Conversion!$B$15,2020,2050),Report_Scenarios!$A$7:$A$13,1)+1,7))-INDEX(Report_Scenarios!$A$7:$A$13,MATCH(MEDIAN($B35-Conversion!$B$15,2020,2050),Report_Scenarios!$A$7:$A$13,1)))),IF($D35="Central",IF(INDEX(Report_Scenarios!$A$18:$A$24,MIN(MATCH(MEDIAN($B35-Conversion!$B$15,2020,2050),Report_Scenarios!$A$18:$A$24,1)+1,7))=INDEX(Report_Scenarios!$A$18:$A$24,MATCH(MEDIAN($B35-Conversion!$B$15,2020,2050),Report_Scenarios!$A$18:$A$24,1)),INDEX(Report_Scenarios!$F$18:$F$24,MATCH(MEDIAN($B35-Conversion!$B$15,2020,2050),Report_Scenarios!$A$18:$A$24,1)),INDEX(Report_Scenarios!$F$18:$F$24,MATCH(MEDIAN($B35-Conversion!$B$15,2020,2050),Report_Scenarios!$A$18:$A$24,1))+(INDEX(Report_Scenarios!$F$18:$F$24,MIN(MATCH(MEDIAN($B35-Conversion!$B$15,2020,2050),Report_Scenarios!$A$18:$A$24,1)+1,7))-INDEX(Report_Scenarios!$F$18:$F$24,MATCH(MEDIAN($B35-Conversion!$B$15,2020,2050),Report_Scenarios!$A$18:$A$24,1)))*(MEDIAN($B35-Conversion!$B$15,2020,2050)-INDEX(Report_Scenarios!$A$18:$A$24,MATCH(MEDIAN($B35-Conversion!$B$15,2020,2050),Report_Scenarios!$A$18:$A$24,1)))/(INDEX(Report_Scenarios!$A$18:$A$24,MIN(MATCH(MEDIAN($B35-Conversion!$B$15,2020,2050),Report_Scenarios!$A$18:$A$24,1)+1,7))-INDEX(Report_Scenarios!$A$18:$A$24,MATCH(MEDIAN($B35-Conversion!$B$15,2020,2050),Report_Scenarios!$A$18:$A$24,1)))),IF(INDEX(Report_Scenarios!$A$29:$A$35,MIN(MATCH(MEDIAN($B35-Conversion!$B$15,2020,2050),Report_Scenarios!$A$29:$A$35,1)+1,7))=INDEX(Report_Scenarios!$A$29:$A$35,MATCH(MEDIAN($B35-Conversion!$B$15,2020,2050),Report_Scenarios!$A$29:$A$35,1)),INDEX(Report_Scenarios!$F$29:$F$35,MATCH(MEDIAN($B35-Conversion!$B$15,2020,2050),Report_Scenarios!$A$29:$A$35,1)),INDEX(Report_Scenarios!$F$29:$F$35,MATCH(MEDIAN($B35-Conversion!$B$15,2020,2050),Report_Scenarios!$A$29:$A$35,1))+(INDEX(Report_Scenarios!$F$29:$F$35,MIN(MATCH(MEDIAN($B35-Conversion!$B$15,2020,2050),Report_Scenarios!$A$29:$A$35,1)+1,7))-INDEX(Report_Scenarios!$F$29:$F$35,MATCH(MEDIAN($B35-Conversion!$B$15,2020,2050),Report_Scenarios!$A$29:$A$35,1)))*(MEDIAN($B35-Conversion!$B$15,2020,2050)-INDEX(Report_Scenarios!$A$29:$A$35,MATCH(MEDIAN($B35-Conversion!$B$15,2020,2050),Report_Scenarios!$A$29:$A$35,1)))/(INDEX(Report_Scenarios!$A$29:$A$35,MIN(MATCH(MEDIAN($B35-Conversion!$B$15,2020,2050),Report_Scenarios!$A$29:$A$35,1)+1,7))-INDEX(Report_Scenarios!$A$29:$A$35,MATCH(MEDIAN($B35-Conversion!$B$15,2020,2050),Report_Scenarios!$A$29:$A$35,1))))))</f>
        <v/>
      </c>
      <c r="J35" s="23">
        <f>IF($D35="Conservative",IF(INDEX(Report_Scenarios!$A$7:$A$13,MIN(MATCH(MEDIAN($B35-Conversion!$B$15,2020,2050),Report_Scenarios!$A$7:$A$13,1)+1,7))=INDEX(Report_Scenarios!$A$7:$A$13,MATCH(MEDIAN($B35-Conversion!$B$15,2020,2050),Report_Scenarios!$A$7:$A$13,1)),INDEX(Report_Scenarios!$G$7:$G$13,MATCH(MEDIAN($B35-Conversion!$B$15,2020,2050),Report_Scenarios!$A$7:$A$13,1)),INDEX(Report_Scenarios!$G$7:$G$13,MATCH(MEDIAN($B35-Conversion!$B$15,2020,2050),Report_Scenarios!$A$7:$A$13,1))+(INDEX(Report_Scenarios!$G$7:$G$13,MIN(MATCH(MEDIAN($B35-Conversion!$B$15,2020,2050),Report_Scenarios!$A$7:$A$13,1)+1,7))-INDEX(Report_Scenarios!$G$7:$G$13,MATCH(MEDIAN($B35-Conversion!$B$15,2020,2050),Report_Scenarios!$A$7:$A$13,1)))*(MEDIAN($B35-Conversion!$B$15,2020,2050)-INDEX(Report_Scenarios!$A$7:$A$13,MATCH(MEDIAN($B35-Conversion!$B$15,2020,2050),Report_Scenarios!$A$7:$A$13,1)))/(INDEX(Report_Scenarios!$A$7:$A$13,MIN(MATCH(MEDIAN($B35-Conversion!$B$15,2020,2050),Report_Scenarios!$A$7:$A$13,1)+1,7))-INDEX(Report_Scenarios!$A$7:$A$13,MATCH(MEDIAN($B35-Conversion!$B$15,2020,2050),Report_Scenarios!$A$7:$A$13,1)))),IF($D35="Central",IF(INDEX(Report_Scenarios!$A$18:$A$24,MIN(MATCH(MEDIAN($B35-Conversion!$B$15,2020,2050),Report_Scenarios!$A$18:$A$24,1)+1,7))=INDEX(Report_Scenarios!$A$18:$A$24,MATCH(MEDIAN($B35-Conversion!$B$15,2020,2050),Report_Scenarios!$A$18:$A$24,1)),INDEX(Report_Scenarios!$G$18:$G$24,MATCH(MEDIAN($B35-Conversion!$B$15,2020,2050),Report_Scenarios!$A$18:$A$24,1)),INDEX(Report_Scenarios!$G$18:$G$24,MATCH(MEDIAN($B35-Conversion!$B$15,2020,2050),Report_Scenarios!$A$18:$A$24,1))+(INDEX(Report_Scenarios!$G$18:$G$24,MIN(MATCH(MEDIAN($B35-Conversion!$B$15,2020,2050),Report_Scenarios!$A$18:$A$24,1)+1,7))-INDEX(Report_Scenarios!$G$18:$G$24,MATCH(MEDIAN($B35-Conversion!$B$15,2020,2050),Report_Scenarios!$A$18:$A$24,1)))*(MEDIAN($B35-Conversion!$B$15,2020,2050)-INDEX(Report_Scenarios!$A$18:$A$24,MATCH(MEDIAN($B35-Conversion!$B$15,2020,2050),Report_Scenarios!$A$18:$A$24,1)))/(INDEX(Report_Scenarios!$A$18:$A$24,MIN(MATCH(MEDIAN($B35-Conversion!$B$15,2020,2050),Report_Scenarios!$A$18:$A$24,1)+1,7))-INDEX(Report_Scenarios!$A$18:$A$24,MATCH(MEDIAN($B35-Conversion!$B$15,2020,2050),Report_Scenarios!$A$18:$A$24,1)))),IF(INDEX(Report_Scenarios!$A$29:$A$35,MIN(MATCH(MEDIAN($B35-Conversion!$B$15,2020,2050),Report_Scenarios!$A$29:$A$35,1)+1,7))=INDEX(Report_Scenarios!$A$29:$A$35,MATCH(MEDIAN($B35-Conversion!$B$15,2020,2050),Report_Scenarios!$A$29:$A$35,1)),INDEX(Report_Scenarios!$G$29:$G$35,MATCH(MEDIAN($B35-Conversion!$B$15,2020,2050),Report_Scenarios!$A$29:$A$35,1)),INDEX(Report_Scenarios!$G$29:$G$35,MATCH(MEDIAN($B35-Conversion!$B$15,2020,2050),Report_Scenarios!$A$29:$A$35,1))+(INDEX(Report_Scenarios!$G$29:$G$35,MIN(MATCH(MEDIAN($B35-Conversion!$B$15,2020,2050),Report_Scenarios!$A$29:$A$35,1)+1,7))-INDEX(Report_Scenarios!$G$29:$G$35,MATCH(MEDIAN($B35-Conversion!$B$15,2020,2050),Report_Scenarios!$A$29:$A$35,1)))*(MEDIAN($B35-Conversion!$B$15,2020,2050)-INDEX(Report_Scenarios!$A$29:$A$35,MATCH(MEDIAN($B35-Conversion!$B$15,2020,2050),Report_Scenarios!$A$29:$A$35,1)))/(INDEX(Report_Scenarios!$A$29:$A$35,MIN(MATCH(MEDIAN($B35-Conversion!$B$15,2020,2050),Report_Scenarios!$A$29:$A$35,1)+1,7))-INDEX(Report_Scenarios!$A$29:$A$35,MATCH(MEDIAN($B35-Conversion!$B$15,2020,2050),Report_Scenarios!$A$29:$A$35,1))))))</f>
        <v/>
      </c>
      <c r="K35" s="23">
        <f>SUM(E35:J35)</f>
        <v/>
      </c>
      <c r="L35" s="23">
        <f>IF(R35&lt;&gt;"",R35,IF($K35=0,0,E35/$K35))</f>
        <v/>
      </c>
      <c r="M35" s="23">
        <f>IF(S35&lt;&gt;"",S35,IF($K35=0,0,F35/$K35))</f>
        <v/>
      </c>
      <c r="N35" s="23">
        <f>IF(T35&lt;&gt;"",T35,IF($K35=0,0,G35/$K35))</f>
        <v/>
      </c>
      <c r="O35" s="23">
        <f>IF(U35&lt;&gt;"",U35,IF($K35=0,0,H35/$K35))</f>
        <v/>
      </c>
      <c r="P35" s="23">
        <f>IF(V35&lt;&gt;"",V35,IF($K35=0,0,I35/$K35))</f>
        <v/>
      </c>
      <c r="Q35" s="23">
        <f>IF(W35&lt;&gt;"",W35,IF($K35=0,0,J35/$K35))</f>
        <v/>
      </c>
      <c r="R35" s="24" t="n"/>
      <c r="S35" s="24" t="n"/>
      <c r="T35" s="24" t="n"/>
      <c r="U35" s="24" t="n"/>
      <c r="V35" s="24" t="n"/>
      <c r="W35" s="24" t="n"/>
    </row>
    <row r="36">
      <c r="A36" s="4" t="inlineStr">
        <is>
          <t>CD</t>
        </is>
      </c>
      <c r="B36" s="4" t="n">
        <v>2020</v>
      </c>
      <c r="C36" s="4" t="inlineStr">
        <is>
          <t>Share_Mode</t>
        </is>
      </c>
      <c r="D36" s="4">
        <f>Conversion!$B$19</f>
        <v/>
      </c>
      <c r="E36" s="23">
        <f>IF($D36="Conservative",IF(INDEX(Report_Scenarios!$A$7:$A$13,MIN(MATCH(MEDIAN($B36-Conversion!$B$15,2020,2050),Report_Scenarios!$A$7:$A$13,1)+1,7))=INDEX(Report_Scenarios!$A$7:$A$13,MATCH(MEDIAN($B36-Conversion!$B$15,2020,2050),Report_Scenarios!$A$7:$A$13,1)),INDEX(Report_Scenarios!$B$7:$B$13,MATCH(MEDIAN($B36-Conversion!$B$15,2020,2050),Report_Scenarios!$A$7:$A$13,1)),INDEX(Report_Scenarios!$B$7:$B$13,MATCH(MEDIAN($B36-Conversion!$B$15,2020,2050),Report_Scenarios!$A$7:$A$13,1))+(INDEX(Report_Scenarios!$B$7:$B$13,MIN(MATCH(MEDIAN($B36-Conversion!$B$15,2020,2050),Report_Scenarios!$A$7:$A$13,1)+1,7))-INDEX(Report_Scenarios!$B$7:$B$13,MATCH(MEDIAN($B36-Conversion!$B$15,2020,2050),Report_Scenarios!$A$7:$A$13,1)))*(MEDIAN($B36-Conversion!$B$15,2020,2050)-INDEX(Report_Scenarios!$A$7:$A$13,MATCH(MEDIAN($B36-Conversion!$B$15,2020,2050),Report_Scenarios!$A$7:$A$13,1)))/(INDEX(Report_Scenarios!$A$7:$A$13,MIN(MATCH(MEDIAN($B36-Conversion!$B$15,2020,2050),Report_Scenarios!$A$7:$A$13,1)+1,7))-INDEX(Report_Scenarios!$A$7:$A$13,MATCH(MEDIAN($B36-Conversion!$B$15,2020,2050),Report_Scenarios!$A$7:$A$13,1)))),IF($D36="Central",IF(INDEX(Report_Scenarios!$A$18:$A$24,MIN(MATCH(MEDIAN($B36-Conversion!$B$15,2020,2050),Report_Scenarios!$A$18:$A$24,1)+1,7))=INDEX(Report_Scenarios!$A$18:$A$24,MATCH(MEDIAN($B36-Conversion!$B$15,2020,2050),Report_Scenarios!$A$18:$A$24,1)),INDEX(Report_Scenarios!$B$18:$B$24,MATCH(MEDIAN($B36-Conversion!$B$15,2020,2050),Report_Scenarios!$A$18:$A$24,1)),INDEX(Report_Scenarios!$B$18:$B$24,MATCH(MEDIAN($B36-Conversion!$B$15,2020,2050),Report_Scenarios!$A$18:$A$24,1))+(INDEX(Report_Scenarios!$B$18:$B$24,MIN(MATCH(MEDIAN($B36-Conversion!$B$15,2020,2050),Report_Scenarios!$A$18:$A$24,1)+1,7))-INDEX(Report_Scenarios!$B$18:$B$24,MATCH(MEDIAN($B36-Conversion!$B$15,2020,2050),Report_Scenarios!$A$18:$A$24,1)))*(MEDIAN($B36-Conversion!$B$15,2020,2050)-INDEX(Report_Scenarios!$A$18:$A$24,MATCH(MEDIAN($B36-Conversion!$B$15,2020,2050),Report_Scenarios!$A$18:$A$24,1)))/(INDEX(Report_Scenarios!$A$18:$A$24,MIN(MATCH(MEDIAN($B36-Conversion!$B$15,2020,2050),Report_Scenarios!$A$18:$A$24,1)+1,7))-INDEX(Report_Scenarios!$A$18:$A$24,MATCH(MEDIAN($B36-Conversion!$B$15,2020,2050),Report_Scenarios!$A$18:$A$24,1)))),IF(INDEX(Report_Scenarios!$A$29:$A$35,MIN(MATCH(MEDIAN($B36-Conversion!$B$15,2020,2050),Report_Scenarios!$A$29:$A$35,1)+1,7))=INDEX(Report_Scenarios!$A$29:$A$35,MATCH(MEDIAN($B36-Conversion!$B$15,2020,2050),Report_Scenarios!$A$29:$A$35,1)),INDEX(Report_Scenarios!$B$29:$B$35,MATCH(MEDIAN($B36-Conversion!$B$15,2020,2050),Report_Scenarios!$A$29:$A$35,1)),INDEX(Report_Scenarios!$B$29:$B$35,MATCH(MEDIAN($B36-Conversion!$B$15,2020,2050),Report_Scenarios!$A$29:$A$35,1))+(INDEX(Report_Scenarios!$B$29:$B$35,MIN(MATCH(MEDIAN($B36-Conversion!$B$15,2020,2050),Report_Scenarios!$A$29:$A$35,1)+1,7))-INDEX(Report_Scenarios!$B$29:$B$35,MATCH(MEDIAN($B36-Conversion!$B$15,2020,2050),Report_Scenarios!$A$29:$A$35,1)))*(MEDIAN($B36-Conversion!$B$15,2020,2050)-INDEX(Report_Scenarios!$A$29:$A$35,MATCH(MEDIAN($B36-Conversion!$B$15,2020,2050),Report_Scenarios!$A$29:$A$35,1)))/(INDEX(Report_Scenarios!$A$29:$A$35,MIN(MATCH(MEDIAN($B36-Conversion!$B$15,2020,2050),Report_Scenarios!$A$29:$A$35,1)+1,7))-INDEX(Report_Scenarios!$A$29:$A$35,MATCH(MEDIAN($B36-Conversion!$B$15,2020,2050),Report_Scenarios!$A$29:$A$35,1))))))</f>
        <v/>
      </c>
      <c r="F36" s="23">
        <f>IF($D36="Conservative",IF(INDEX(Report_Scenarios!$A$7:$A$13,MIN(MATCH(MEDIAN($B36-Conversion!$B$15,2020,2050),Report_Scenarios!$A$7:$A$13,1)+1,7))=INDEX(Report_Scenarios!$A$7:$A$13,MATCH(MEDIAN($B36-Conversion!$B$15,2020,2050),Report_Scenarios!$A$7:$A$13,1)),INDEX(Report_Scenarios!$C$7:$C$13,MATCH(MEDIAN($B36-Conversion!$B$15,2020,2050),Report_Scenarios!$A$7:$A$13,1)),INDEX(Report_Scenarios!$C$7:$C$13,MATCH(MEDIAN($B36-Conversion!$B$15,2020,2050),Report_Scenarios!$A$7:$A$13,1))+(INDEX(Report_Scenarios!$C$7:$C$13,MIN(MATCH(MEDIAN($B36-Conversion!$B$15,2020,2050),Report_Scenarios!$A$7:$A$13,1)+1,7))-INDEX(Report_Scenarios!$C$7:$C$13,MATCH(MEDIAN($B36-Conversion!$B$15,2020,2050),Report_Scenarios!$A$7:$A$13,1)))*(MEDIAN($B36-Conversion!$B$15,2020,2050)-INDEX(Report_Scenarios!$A$7:$A$13,MATCH(MEDIAN($B36-Conversion!$B$15,2020,2050),Report_Scenarios!$A$7:$A$13,1)))/(INDEX(Report_Scenarios!$A$7:$A$13,MIN(MATCH(MEDIAN($B36-Conversion!$B$15,2020,2050),Report_Scenarios!$A$7:$A$13,1)+1,7))-INDEX(Report_Scenarios!$A$7:$A$13,MATCH(MEDIAN($B36-Conversion!$B$15,2020,2050),Report_Scenarios!$A$7:$A$13,1)))),IF($D36="Central",IF(INDEX(Report_Scenarios!$A$18:$A$24,MIN(MATCH(MEDIAN($B36-Conversion!$B$15,2020,2050),Report_Scenarios!$A$18:$A$24,1)+1,7))=INDEX(Report_Scenarios!$A$18:$A$24,MATCH(MEDIAN($B36-Conversion!$B$15,2020,2050),Report_Scenarios!$A$18:$A$24,1)),INDEX(Report_Scenarios!$C$18:$C$24,MATCH(MEDIAN($B36-Conversion!$B$15,2020,2050),Report_Scenarios!$A$18:$A$24,1)),INDEX(Report_Scenarios!$C$18:$C$24,MATCH(MEDIAN($B36-Conversion!$B$15,2020,2050),Report_Scenarios!$A$18:$A$24,1))+(INDEX(Report_Scenarios!$C$18:$C$24,MIN(MATCH(MEDIAN($B36-Conversion!$B$15,2020,2050),Report_Scenarios!$A$18:$A$24,1)+1,7))-INDEX(Report_Scenarios!$C$18:$C$24,MATCH(MEDIAN($B36-Conversion!$B$15,2020,2050),Report_Scenarios!$A$18:$A$24,1)))*(MEDIAN($B36-Conversion!$B$15,2020,2050)-INDEX(Report_Scenarios!$A$18:$A$24,MATCH(MEDIAN($B36-Conversion!$B$15,2020,2050),Report_Scenarios!$A$18:$A$24,1)))/(INDEX(Report_Scenarios!$A$18:$A$24,MIN(MATCH(MEDIAN($B36-Conversion!$B$15,2020,2050),Report_Scenarios!$A$18:$A$24,1)+1,7))-INDEX(Report_Scenarios!$A$18:$A$24,MATCH(MEDIAN($B36-Conversion!$B$15,2020,2050),Report_Scenarios!$A$18:$A$24,1)))),IF(INDEX(Report_Scenarios!$A$29:$A$35,MIN(MATCH(MEDIAN($B36-Conversion!$B$15,2020,2050),Report_Scenarios!$A$29:$A$35,1)+1,7))=INDEX(Report_Scenarios!$A$29:$A$35,MATCH(MEDIAN($B36-Conversion!$B$15,2020,2050),Report_Scenarios!$A$29:$A$35,1)),INDEX(Report_Scenarios!$C$29:$C$35,MATCH(MEDIAN($B36-Conversion!$B$15,2020,2050),Report_Scenarios!$A$29:$A$35,1)),INDEX(Report_Scenarios!$C$29:$C$35,MATCH(MEDIAN($B36-Conversion!$B$15,2020,2050),Report_Scenarios!$A$29:$A$35,1))+(INDEX(Report_Scenarios!$C$29:$C$35,MIN(MATCH(MEDIAN($B36-Conversion!$B$15,2020,2050),Report_Scenarios!$A$29:$A$35,1)+1,7))-INDEX(Report_Scenarios!$C$29:$C$35,MATCH(MEDIAN($B36-Conversion!$B$15,2020,2050),Report_Scenarios!$A$29:$A$35,1)))*(MEDIAN($B36-Conversion!$B$15,2020,2050)-INDEX(Report_Scenarios!$A$29:$A$35,MATCH(MEDIAN($B36-Conversion!$B$15,2020,2050),Report_Scenarios!$A$29:$A$35,1)))/(INDEX(Report_Scenarios!$A$29:$A$35,MIN(MATCH(MEDIAN($B36-Conversion!$B$15,2020,2050),Report_Scenarios!$A$29:$A$35,1)+1,7))-INDEX(Report_Scenarios!$A$29:$A$35,MATCH(MEDIAN($B36-Conversion!$B$15,2020,2050),Report_Scenarios!$A$29:$A$35,1))))))</f>
        <v/>
      </c>
      <c r="G36" s="23">
        <f>IF($D36="Conservative",IF(INDEX(Report_Scenarios!$A$7:$A$13,MIN(MATCH(MEDIAN($B36-Conversion!$B$15,2020,2050),Report_Scenarios!$A$7:$A$13,1)+1,7))=INDEX(Report_Scenarios!$A$7:$A$13,MATCH(MEDIAN($B36-Conversion!$B$15,2020,2050),Report_Scenarios!$A$7:$A$13,1)),INDEX(Report_Scenarios!$D$7:$D$13,MATCH(MEDIAN($B36-Conversion!$B$15,2020,2050),Report_Scenarios!$A$7:$A$13,1)),INDEX(Report_Scenarios!$D$7:$D$13,MATCH(MEDIAN($B36-Conversion!$B$15,2020,2050),Report_Scenarios!$A$7:$A$13,1))+(INDEX(Report_Scenarios!$D$7:$D$13,MIN(MATCH(MEDIAN($B36-Conversion!$B$15,2020,2050),Report_Scenarios!$A$7:$A$13,1)+1,7))-INDEX(Report_Scenarios!$D$7:$D$13,MATCH(MEDIAN($B36-Conversion!$B$15,2020,2050),Report_Scenarios!$A$7:$A$13,1)))*(MEDIAN($B36-Conversion!$B$15,2020,2050)-INDEX(Report_Scenarios!$A$7:$A$13,MATCH(MEDIAN($B36-Conversion!$B$15,2020,2050),Report_Scenarios!$A$7:$A$13,1)))/(INDEX(Report_Scenarios!$A$7:$A$13,MIN(MATCH(MEDIAN($B36-Conversion!$B$15,2020,2050),Report_Scenarios!$A$7:$A$13,1)+1,7))-INDEX(Report_Scenarios!$A$7:$A$13,MATCH(MEDIAN($B36-Conversion!$B$15,2020,2050),Report_Scenarios!$A$7:$A$13,1)))),IF($D36="Central",IF(INDEX(Report_Scenarios!$A$18:$A$24,MIN(MATCH(MEDIAN($B36-Conversion!$B$15,2020,2050),Report_Scenarios!$A$18:$A$24,1)+1,7))=INDEX(Report_Scenarios!$A$18:$A$24,MATCH(MEDIAN($B36-Conversion!$B$15,2020,2050),Report_Scenarios!$A$18:$A$24,1)),INDEX(Report_Scenarios!$D$18:$D$24,MATCH(MEDIAN($B36-Conversion!$B$15,2020,2050),Report_Scenarios!$A$18:$A$24,1)),INDEX(Report_Scenarios!$D$18:$D$24,MATCH(MEDIAN($B36-Conversion!$B$15,2020,2050),Report_Scenarios!$A$18:$A$24,1))+(INDEX(Report_Scenarios!$D$18:$D$24,MIN(MATCH(MEDIAN($B36-Conversion!$B$15,2020,2050),Report_Scenarios!$A$18:$A$24,1)+1,7))-INDEX(Report_Scenarios!$D$18:$D$24,MATCH(MEDIAN($B36-Conversion!$B$15,2020,2050),Report_Scenarios!$A$18:$A$24,1)))*(MEDIAN($B36-Conversion!$B$15,2020,2050)-INDEX(Report_Scenarios!$A$18:$A$24,MATCH(MEDIAN($B36-Conversion!$B$15,2020,2050),Report_Scenarios!$A$18:$A$24,1)))/(INDEX(Report_Scenarios!$A$18:$A$24,MIN(MATCH(MEDIAN($B36-Conversion!$B$15,2020,2050),Report_Scenarios!$A$18:$A$24,1)+1,7))-INDEX(Report_Scenarios!$A$18:$A$24,MATCH(MEDIAN($B36-Conversion!$B$15,2020,2050),Report_Scenarios!$A$18:$A$24,1)))),IF(INDEX(Report_Scenarios!$A$29:$A$35,MIN(MATCH(MEDIAN($B36-Conversion!$B$15,2020,2050),Report_Scenarios!$A$29:$A$35,1)+1,7))=INDEX(Report_Scenarios!$A$29:$A$35,MATCH(MEDIAN($B36-Conversion!$B$15,2020,2050),Report_Scenarios!$A$29:$A$35,1)),INDEX(Report_Scenarios!$D$29:$D$35,MATCH(MEDIAN($B36-Conversion!$B$15,2020,2050),Report_Scenarios!$A$29:$A$35,1)),INDEX(Report_Scenarios!$D$29:$D$35,MATCH(MEDIAN($B36-Conversion!$B$15,2020,2050),Report_Scenarios!$A$29:$A$35,1))+(INDEX(Report_Scenarios!$D$29:$D$35,MIN(MATCH(MEDIAN($B36-Conversion!$B$15,2020,2050),Report_Scenarios!$A$29:$A$35,1)+1,7))-INDEX(Report_Scenarios!$D$29:$D$35,MATCH(MEDIAN($B36-Conversion!$B$15,2020,2050),Report_Scenarios!$A$29:$A$35,1)))*(MEDIAN($B36-Conversion!$B$15,2020,2050)-INDEX(Report_Scenarios!$A$29:$A$35,MATCH(MEDIAN($B36-Conversion!$B$15,2020,2050),Report_Scenarios!$A$29:$A$35,1)))/(INDEX(Report_Scenarios!$A$29:$A$35,MIN(MATCH(MEDIAN($B36-Conversion!$B$15,2020,2050),Report_Scenarios!$A$29:$A$35,1)+1,7))-INDEX(Report_Scenarios!$A$29:$A$35,MATCH(MEDIAN($B36-Conversion!$B$15,2020,2050),Report_Scenarios!$A$29:$A$35,1))))))</f>
        <v/>
      </c>
      <c r="H36" s="23">
        <f>IF($D36="Conservative",IF(INDEX(Report_Scenarios!$A$7:$A$13,MIN(MATCH(MEDIAN($B36-Conversion!$B$15,2020,2050),Report_Scenarios!$A$7:$A$13,1)+1,7))=INDEX(Report_Scenarios!$A$7:$A$13,MATCH(MEDIAN($B36-Conversion!$B$15,2020,2050),Report_Scenarios!$A$7:$A$13,1)),INDEX(Report_Scenarios!$E$7:$E$13,MATCH(MEDIAN($B36-Conversion!$B$15,2020,2050),Report_Scenarios!$A$7:$A$13,1)),INDEX(Report_Scenarios!$E$7:$E$13,MATCH(MEDIAN($B36-Conversion!$B$15,2020,2050),Report_Scenarios!$A$7:$A$13,1))+(INDEX(Report_Scenarios!$E$7:$E$13,MIN(MATCH(MEDIAN($B36-Conversion!$B$15,2020,2050),Report_Scenarios!$A$7:$A$13,1)+1,7))-INDEX(Report_Scenarios!$E$7:$E$13,MATCH(MEDIAN($B36-Conversion!$B$15,2020,2050),Report_Scenarios!$A$7:$A$13,1)))*(MEDIAN($B36-Conversion!$B$15,2020,2050)-INDEX(Report_Scenarios!$A$7:$A$13,MATCH(MEDIAN($B36-Conversion!$B$15,2020,2050),Report_Scenarios!$A$7:$A$13,1)))/(INDEX(Report_Scenarios!$A$7:$A$13,MIN(MATCH(MEDIAN($B36-Conversion!$B$15,2020,2050),Report_Scenarios!$A$7:$A$13,1)+1,7))-INDEX(Report_Scenarios!$A$7:$A$13,MATCH(MEDIAN($B36-Conversion!$B$15,2020,2050),Report_Scenarios!$A$7:$A$13,1)))),IF($D36="Central",IF(INDEX(Report_Scenarios!$A$18:$A$24,MIN(MATCH(MEDIAN($B36-Conversion!$B$15,2020,2050),Report_Scenarios!$A$18:$A$24,1)+1,7))=INDEX(Report_Scenarios!$A$18:$A$24,MATCH(MEDIAN($B36-Conversion!$B$15,2020,2050),Report_Scenarios!$A$18:$A$24,1)),INDEX(Report_Scenarios!$E$18:$E$24,MATCH(MEDIAN($B36-Conversion!$B$15,2020,2050),Report_Scenarios!$A$18:$A$24,1)),INDEX(Report_Scenarios!$E$18:$E$24,MATCH(MEDIAN($B36-Conversion!$B$15,2020,2050),Report_Scenarios!$A$18:$A$24,1))+(INDEX(Report_Scenarios!$E$18:$E$24,MIN(MATCH(MEDIAN($B36-Conversion!$B$15,2020,2050),Report_Scenarios!$A$18:$A$24,1)+1,7))-INDEX(Report_Scenarios!$E$18:$E$24,MATCH(MEDIAN($B36-Conversion!$B$15,2020,2050),Report_Scenarios!$A$18:$A$24,1)))*(MEDIAN($B36-Conversion!$B$15,2020,2050)-INDEX(Report_Scenarios!$A$18:$A$24,MATCH(MEDIAN($B36-Conversion!$B$15,2020,2050),Report_Scenarios!$A$18:$A$24,1)))/(INDEX(Report_Scenarios!$A$18:$A$24,MIN(MATCH(MEDIAN($B36-Conversion!$B$15,2020,2050),Report_Scenarios!$A$18:$A$24,1)+1,7))-INDEX(Report_Scenarios!$A$18:$A$24,MATCH(MEDIAN($B36-Conversion!$B$15,2020,2050),Report_Scenarios!$A$18:$A$24,1)))),IF(INDEX(Report_Scenarios!$A$29:$A$35,MIN(MATCH(MEDIAN($B36-Conversion!$B$15,2020,2050),Report_Scenarios!$A$29:$A$35,1)+1,7))=INDEX(Report_Scenarios!$A$29:$A$35,MATCH(MEDIAN($B36-Conversion!$B$15,2020,2050),Report_Scenarios!$A$29:$A$35,1)),INDEX(Report_Scenarios!$E$29:$E$35,MATCH(MEDIAN($B36-Conversion!$B$15,2020,2050),Report_Scenarios!$A$29:$A$35,1)),INDEX(Report_Scenarios!$E$29:$E$35,MATCH(MEDIAN($B36-Conversion!$B$15,2020,2050),Report_Scenarios!$A$29:$A$35,1))+(INDEX(Report_Scenarios!$E$29:$E$35,MIN(MATCH(MEDIAN($B36-Conversion!$B$15,2020,2050),Report_Scenarios!$A$29:$A$35,1)+1,7))-INDEX(Report_Scenarios!$E$29:$E$35,MATCH(MEDIAN($B36-Conversion!$B$15,2020,2050),Report_Scenarios!$A$29:$A$35,1)))*(MEDIAN($B36-Conversion!$B$15,2020,2050)-INDEX(Report_Scenarios!$A$29:$A$35,MATCH(MEDIAN($B36-Conversion!$B$15,2020,2050),Report_Scenarios!$A$29:$A$35,1)))/(INDEX(Report_Scenarios!$A$29:$A$35,MIN(MATCH(MEDIAN($B36-Conversion!$B$15,2020,2050),Report_Scenarios!$A$29:$A$35,1)+1,7))-INDEX(Report_Scenarios!$A$29:$A$35,MATCH(MEDIAN($B36-Conversion!$B$15,2020,2050),Report_Scenarios!$A$29:$A$35,1))))))</f>
        <v/>
      </c>
      <c r="I36" s="23">
        <f>IF($D36="Conservative",IF(INDEX(Report_Scenarios!$A$7:$A$13,MIN(MATCH(MEDIAN($B36-Conversion!$B$15,2020,2050),Report_Scenarios!$A$7:$A$13,1)+1,7))=INDEX(Report_Scenarios!$A$7:$A$13,MATCH(MEDIAN($B36-Conversion!$B$15,2020,2050),Report_Scenarios!$A$7:$A$13,1)),INDEX(Report_Scenarios!$F$7:$F$13,MATCH(MEDIAN($B36-Conversion!$B$15,2020,2050),Report_Scenarios!$A$7:$A$13,1)),INDEX(Report_Scenarios!$F$7:$F$13,MATCH(MEDIAN($B36-Conversion!$B$15,2020,2050),Report_Scenarios!$A$7:$A$13,1))+(INDEX(Report_Scenarios!$F$7:$F$13,MIN(MATCH(MEDIAN($B36-Conversion!$B$15,2020,2050),Report_Scenarios!$A$7:$A$13,1)+1,7))-INDEX(Report_Scenarios!$F$7:$F$13,MATCH(MEDIAN($B36-Conversion!$B$15,2020,2050),Report_Scenarios!$A$7:$A$13,1)))*(MEDIAN($B36-Conversion!$B$15,2020,2050)-INDEX(Report_Scenarios!$A$7:$A$13,MATCH(MEDIAN($B36-Conversion!$B$15,2020,2050),Report_Scenarios!$A$7:$A$13,1)))/(INDEX(Report_Scenarios!$A$7:$A$13,MIN(MATCH(MEDIAN($B36-Conversion!$B$15,2020,2050),Report_Scenarios!$A$7:$A$13,1)+1,7))-INDEX(Report_Scenarios!$A$7:$A$13,MATCH(MEDIAN($B36-Conversion!$B$15,2020,2050),Report_Scenarios!$A$7:$A$13,1)))),IF($D36="Central",IF(INDEX(Report_Scenarios!$A$18:$A$24,MIN(MATCH(MEDIAN($B36-Conversion!$B$15,2020,2050),Report_Scenarios!$A$18:$A$24,1)+1,7))=INDEX(Report_Scenarios!$A$18:$A$24,MATCH(MEDIAN($B36-Conversion!$B$15,2020,2050),Report_Scenarios!$A$18:$A$24,1)),INDEX(Report_Scenarios!$F$18:$F$24,MATCH(MEDIAN($B36-Conversion!$B$15,2020,2050),Report_Scenarios!$A$18:$A$24,1)),INDEX(Report_Scenarios!$F$18:$F$24,MATCH(MEDIAN($B36-Conversion!$B$15,2020,2050),Report_Scenarios!$A$18:$A$24,1))+(INDEX(Report_Scenarios!$F$18:$F$24,MIN(MATCH(MEDIAN($B36-Conversion!$B$15,2020,2050),Report_Scenarios!$A$18:$A$24,1)+1,7))-INDEX(Report_Scenarios!$F$18:$F$24,MATCH(MEDIAN($B36-Conversion!$B$15,2020,2050),Report_Scenarios!$A$18:$A$24,1)))*(MEDIAN($B36-Conversion!$B$15,2020,2050)-INDEX(Report_Scenarios!$A$18:$A$24,MATCH(MEDIAN($B36-Conversion!$B$15,2020,2050),Report_Scenarios!$A$18:$A$24,1)))/(INDEX(Report_Scenarios!$A$18:$A$24,MIN(MATCH(MEDIAN($B36-Conversion!$B$15,2020,2050),Report_Scenarios!$A$18:$A$24,1)+1,7))-INDEX(Report_Scenarios!$A$18:$A$24,MATCH(MEDIAN($B36-Conversion!$B$15,2020,2050),Report_Scenarios!$A$18:$A$24,1)))),IF(INDEX(Report_Scenarios!$A$29:$A$35,MIN(MATCH(MEDIAN($B36-Conversion!$B$15,2020,2050),Report_Scenarios!$A$29:$A$35,1)+1,7))=INDEX(Report_Scenarios!$A$29:$A$35,MATCH(MEDIAN($B36-Conversion!$B$15,2020,2050),Report_Scenarios!$A$29:$A$35,1)),INDEX(Report_Scenarios!$F$29:$F$35,MATCH(MEDIAN($B36-Conversion!$B$15,2020,2050),Report_Scenarios!$A$29:$A$35,1)),INDEX(Report_Scenarios!$F$29:$F$35,MATCH(MEDIAN($B36-Conversion!$B$15,2020,2050),Report_Scenarios!$A$29:$A$35,1))+(INDEX(Report_Scenarios!$F$29:$F$35,MIN(MATCH(MEDIAN($B36-Conversion!$B$15,2020,2050),Report_Scenarios!$A$29:$A$35,1)+1,7))-INDEX(Report_Scenarios!$F$29:$F$35,MATCH(MEDIAN($B36-Conversion!$B$15,2020,2050),Report_Scenarios!$A$29:$A$35,1)))*(MEDIAN($B36-Conversion!$B$15,2020,2050)-INDEX(Report_Scenarios!$A$29:$A$35,MATCH(MEDIAN($B36-Conversion!$B$15,2020,2050),Report_Scenarios!$A$29:$A$35,1)))/(INDEX(Report_Scenarios!$A$29:$A$35,MIN(MATCH(MEDIAN($B36-Conversion!$B$15,2020,2050),Report_Scenarios!$A$29:$A$35,1)+1,7))-INDEX(Report_Scenarios!$A$29:$A$35,MATCH(MEDIAN($B36-Conversion!$B$15,2020,2050),Report_Scenarios!$A$29:$A$35,1))))))</f>
        <v/>
      </c>
      <c r="J36" s="23">
        <f>IF($D36="Conservative",IF(INDEX(Report_Scenarios!$A$7:$A$13,MIN(MATCH(MEDIAN($B36-Conversion!$B$15,2020,2050),Report_Scenarios!$A$7:$A$13,1)+1,7))=INDEX(Report_Scenarios!$A$7:$A$13,MATCH(MEDIAN($B36-Conversion!$B$15,2020,2050),Report_Scenarios!$A$7:$A$13,1)),INDEX(Report_Scenarios!$G$7:$G$13,MATCH(MEDIAN($B36-Conversion!$B$15,2020,2050),Report_Scenarios!$A$7:$A$13,1)),INDEX(Report_Scenarios!$G$7:$G$13,MATCH(MEDIAN($B36-Conversion!$B$15,2020,2050),Report_Scenarios!$A$7:$A$13,1))+(INDEX(Report_Scenarios!$G$7:$G$13,MIN(MATCH(MEDIAN($B36-Conversion!$B$15,2020,2050),Report_Scenarios!$A$7:$A$13,1)+1,7))-INDEX(Report_Scenarios!$G$7:$G$13,MATCH(MEDIAN($B36-Conversion!$B$15,2020,2050),Report_Scenarios!$A$7:$A$13,1)))*(MEDIAN($B36-Conversion!$B$15,2020,2050)-INDEX(Report_Scenarios!$A$7:$A$13,MATCH(MEDIAN($B36-Conversion!$B$15,2020,2050),Report_Scenarios!$A$7:$A$13,1)))/(INDEX(Report_Scenarios!$A$7:$A$13,MIN(MATCH(MEDIAN($B36-Conversion!$B$15,2020,2050),Report_Scenarios!$A$7:$A$13,1)+1,7))-INDEX(Report_Scenarios!$A$7:$A$13,MATCH(MEDIAN($B36-Conversion!$B$15,2020,2050),Report_Scenarios!$A$7:$A$13,1)))),IF($D36="Central",IF(INDEX(Report_Scenarios!$A$18:$A$24,MIN(MATCH(MEDIAN($B36-Conversion!$B$15,2020,2050),Report_Scenarios!$A$18:$A$24,1)+1,7))=INDEX(Report_Scenarios!$A$18:$A$24,MATCH(MEDIAN($B36-Conversion!$B$15,2020,2050),Report_Scenarios!$A$18:$A$24,1)),INDEX(Report_Scenarios!$G$18:$G$24,MATCH(MEDIAN($B36-Conversion!$B$15,2020,2050),Report_Scenarios!$A$18:$A$24,1)),INDEX(Report_Scenarios!$G$18:$G$24,MATCH(MEDIAN($B36-Conversion!$B$15,2020,2050),Report_Scenarios!$A$18:$A$24,1))+(INDEX(Report_Scenarios!$G$18:$G$24,MIN(MATCH(MEDIAN($B36-Conversion!$B$15,2020,2050),Report_Scenarios!$A$18:$A$24,1)+1,7))-INDEX(Report_Scenarios!$G$18:$G$24,MATCH(MEDIAN($B36-Conversion!$B$15,2020,2050),Report_Scenarios!$A$18:$A$24,1)))*(MEDIAN($B36-Conversion!$B$15,2020,2050)-INDEX(Report_Scenarios!$A$18:$A$24,MATCH(MEDIAN($B36-Conversion!$B$15,2020,2050),Report_Scenarios!$A$18:$A$24,1)))/(INDEX(Report_Scenarios!$A$18:$A$24,MIN(MATCH(MEDIAN($B36-Conversion!$B$15,2020,2050),Report_Scenarios!$A$18:$A$24,1)+1,7))-INDEX(Report_Scenarios!$A$18:$A$24,MATCH(MEDIAN($B36-Conversion!$B$15,2020,2050),Report_Scenarios!$A$18:$A$24,1)))),IF(INDEX(Report_Scenarios!$A$29:$A$35,MIN(MATCH(MEDIAN($B36-Conversion!$B$15,2020,2050),Report_Scenarios!$A$29:$A$35,1)+1,7))=INDEX(Report_Scenarios!$A$29:$A$35,MATCH(MEDIAN($B36-Conversion!$B$15,2020,2050),Report_Scenarios!$A$29:$A$35,1)),INDEX(Report_Scenarios!$G$29:$G$35,MATCH(MEDIAN($B36-Conversion!$B$15,2020,2050),Report_Scenarios!$A$29:$A$35,1)),INDEX(Report_Scenarios!$G$29:$G$35,MATCH(MEDIAN($B36-Conversion!$B$15,2020,2050),Report_Scenarios!$A$29:$A$35,1))+(INDEX(Report_Scenarios!$G$29:$G$35,MIN(MATCH(MEDIAN($B36-Conversion!$B$15,2020,2050),Report_Scenarios!$A$29:$A$35,1)+1,7))-INDEX(Report_Scenarios!$G$29:$G$35,MATCH(MEDIAN($B36-Conversion!$B$15,2020,2050),Report_Scenarios!$A$29:$A$35,1)))*(MEDIAN($B36-Conversion!$B$15,2020,2050)-INDEX(Report_Scenarios!$A$29:$A$35,MATCH(MEDIAN($B36-Conversion!$B$15,2020,2050),Report_Scenarios!$A$29:$A$35,1)))/(INDEX(Report_Scenarios!$A$29:$A$35,MIN(MATCH(MEDIAN($B36-Conversion!$B$15,2020,2050),Report_Scenarios!$A$29:$A$35,1)+1,7))-INDEX(Report_Scenarios!$A$29:$A$35,MATCH(MEDIAN($B36-Conversion!$B$15,2020,2050),Report_Scenarios!$A$29:$A$35,1))))))</f>
        <v/>
      </c>
      <c r="K36" s="23">
        <f>SUM(E36:J36)</f>
        <v/>
      </c>
      <c r="L36" s="23">
        <f>IF(R36&lt;&gt;"",R36,IF($K36=0,0,E36/$K36))</f>
        <v/>
      </c>
      <c r="M36" s="23">
        <f>IF(S36&lt;&gt;"",S36,IF($K36=0,0,F36/$K36))</f>
        <v/>
      </c>
      <c r="N36" s="23">
        <f>IF(T36&lt;&gt;"",T36,IF($K36=0,0,G36/$K36))</f>
        <v/>
      </c>
      <c r="O36" s="23">
        <f>IF(U36&lt;&gt;"",U36,IF($K36=0,0,H36/$K36))</f>
        <v/>
      </c>
      <c r="P36" s="23">
        <f>IF(V36&lt;&gt;"",V36,IF($K36=0,0,I36/$K36))</f>
        <v/>
      </c>
      <c r="Q36" s="23">
        <f>IF(W36&lt;&gt;"",W36,IF($K36=0,0,J36/$K36))</f>
        <v/>
      </c>
      <c r="R36" s="24" t="n"/>
      <c r="S36" s="24" t="n"/>
      <c r="T36" s="24" t="n"/>
      <c r="U36" s="24" t="n"/>
      <c r="V36" s="24" t="n"/>
      <c r="W36" s="24" t="n"/>
    </row>
    <row r="37">
      <c r="A37" s="4" t="inlineStr">
        <is>
          <t>CD</t>
        </is>
      </c>
      <c r="B37" s="4" t="n">
        <v>2020</v>
      </c>
      <c r="C37" s="4" t="inlineStr">
        <is>
          <t>Share_Max</t>
        </is>
      </c>
      <c r="D37" s="4">
        <f>Conversion!$B$20</f>
        <v/>
      </c>
      <c r="E37" s="23">
        <f>IF($D37="Conservative",IF(INDEX(Report_Scenarios!$A$7:$A$13,MIN(MATCH(MEDIAN($B37-Conversion!$B$15,2020,2050),Report_Scenarios!$A$7:$A$13,1)+1,7))=INDEX(Report_Scenarios!$A$7:$A$13,MATCH(MEDIAN($B37-Conversion!$B$15,2020,2050),Report_Scenarios!$A$7:$A$13,1)),INDEX(Report_Scenarios!$B$7:$B$13,MATCH(MEDIAN($B37-Conversion!$B$15,2020,2050),Report_Scenarios!$A$7:$A$13,1)),INDEX(Report_Scenarios!$B$7:$B$13,MATCH(MEDIAN($B37-Conversion!$B$15,2020,2050),Report_Scenarios!$A$7:$A$13,1))+(INDEX(Report_Scenarios!$B$7:$B$13,MIN(MATCH(MEDIAN($B37-Conversion!$B$15,2020,2050),Report_Scenarios!$A$7:$A$13,1)+1,7))-INDEX(Report_Scenarios!$B$7:$B$13,MATCH(MEDIAN($B37-Conversion!$B$15,2020,2050),Report_Scenarios!$A$7:$A$13,1)))*(MEDIAN($B37-Conversion!$B$15,2020,2050)-INDEX(Report_Scenarios!$A$7:$A$13,MATCH(MEDIAN($B37-Conversion!$B$15,2020,2050),Report_Scenarios!$A$7:$A$13,1)))/(INDEX(Report_Scenarios!$A$7:$A$13,MIN(MATCH(MEDIAN($B37-Conversion!$B$15,2020,2050),Report_Scenarios!$A$7:$A$13,1)+1,7))-INDEX(Report_Scenarios!$A$7:$A$13,MATCH(MEDIAN($B37-Conversion!$B$15,2020,2050),Report_Scenarios!$A$7:$A$13,1)))),IF($D37="Central",IF(INDEX(Report_Scenarios!$A$18:$A$24,MIN(MATCH(MEDIAN($B37-Conversion!$B$15,2020,2050),Report_Scenarios!$A$18:$A$24,1)+1,7))=INDEX(Report_Scenarios!$A$18:$A$24,MATCH(MEDIAN($B37-Conversion!$B$15,2020,2050),Report_Scenarios!$A$18:$A$24,1)),INDEX(Report_Scenarios!$B$18:$B$24,MATCH(MEDIAN($B37-Conversion!$B$15,2020,2050),Report_Scenarios!$A$18:$A$24,1)),INDEX(Report_Scenarios!$B$18:$B$24,MATCH(MEDIAN($B37-Conversion!$B$15,2020,2050),Report_Scenarios!$A$18:$A$24,1))+(INDEX(Report_Scenarios!$B$18:$B$24,MIN(MATCH(MEDIAN($B37-Conversion!$B$15,2020,2050),Report_Scenarios!$A$18:$A$24,1)+1,7))-INDEX(Report_Scenarios!$B$18:$B$24,MATCH(MEDIAN($B37-Conversion!$B$15,2020,2050),Report_Scenarios!$A$18:$A$24,1)))*(MEDIAN($B37-Conversion!$B$15,2020,2050)-INDEX(Report_Scenarios!$A$18:$A$24,MATCH(MEDIAN($B37-Conversion!$B$15,2020,2050),Report_Scenarios!$A$18:$A$24,1)))/(INDEX(Report_Scenarios!$A$18:$A$24,MIN(MATCH(MEDIAN($B37-Conversion!$B$15,2020,2050),Report_Scenarios!$A$18:$A$24,1)+1,7))-INDEX(Report_Scenarios!$A$18:$A$24,MATCH(MEDIAN($B37-Conversion!$B$15,2020,2050),Report_Scenarios!$A$18:$A$24,1)))),IF(INDEX(Report_Scenarios!$A$29:$A$35,MIN(MATCH(MEDIAN($B37-Conversion!$B$15,2020,2050),Report_Scenarios!$A$29:$A$35,1)+1,7))=INDEX(Report_Scenarios!$A$29:$A$35,MATCH(MEDIAN($B37-Conversion!$B$15,2020,2050),Report_Scenarios!$A$29:$A$35,1)),INDEX(Report_Scenarios!$B$29:$B$35,MATCH(MEDIAN($B37-Conversion!$B$15,2020,2050),Report_Scenarios!$A$29:$A$35,1)),INDEX(Report_Scenarios!$B$29:$B$35,MATCH(MEDIAN($B37-Conversion!$B$15,2020,2050),Report_Scenarios!$A$29:$A$35,1))+(INDEX(Report_Scenarios!$B$29:$B$35,MIN(MATCH(MEDIAN($B37-Conversion!$B$15,2020,2050),Report_Scenarios!$A$29:$A$35,1)+1,7))-INDEX(Report_Scenarios!$B$29:$B$35,MATCH(MEDIAN($B37-Conversion!$B$15,2020,2050),Report_Scenarios!$A$29:$A$35,1)))*(MEDIAN($B37-Conversion!$B$15,2020,2050)-INDEX(Report_Scenarios!$A$29:$A$35,MATCH(MEDIAN($B37-Conversion!$B$15,2020,2050),Report_Scenarios!$A$29:$A$35,1)))/(INDEX(Report_Scenarios!$A$29:$A$35,MIN(MATCH(MEDIAN($B37-Conversion!$B$15,2020,2050),Report_Scenarios!$A$29:$A$35,1)+1,7))-INDEX(Report_Scenarios!$A$29:$A$35,MATCH(MEDIAN($B37-Conversion!$B$15,2020,2050),Report_Scenarios!$A$29:$A$35,1))))))</f>
        <v/>
      </c>
      <c r="F37" s="23">
        <f>IF($D37="Conservative",IF(INDEX(Report_Scenarios!$A$7:$A$13,MIN(MATCH(MEDIAN($B37-Conversion!$B$15,2020,2050),Report_Scenarios!$A$7:$A$13,1)+1,7))=INDEX(Report_Scenarios!$A$7:$A$13,MATCH(MEDIAN($B37-Conversion!$B$15,2020,2050),Report_Scenarios!$A$7:$A$13,1)),INDEX(Report_Scenarios!$C$7:$C$13,MATCH(MEDIAN($B37-Conversion!$B$15,2020,2050),Report_Scenarios!$A$7:$A$13,1)),INDEX(Report_Scenarios!$C$7:$C$13,MATCH(MEDIAN($B37-Conversion!$B$15,2020,2050),Report_Scenarios!$A$7:$A$13,1))+(INDEX(Report_Scenarios!$C$7:$C$13,MIN(MATCH(MEDIAN($B37-Conversion!$B$15,2020,2050),Report_Scenarios!$A$7:$A$13,1)+1,7))-INDEX(Report_Scenarios!$C$7:$C$13,MATCH(MEDIAN($B37-Conversion!$B$15,2020,2050),Report_Scenarios!$A$7:$A$13,1)))*(MEDIAN($B37-Conversion!$B$15,2020,2050)-INDEX(Report_Scenarios!$A$7:$A$13,MATCH(MEDIAN($B37-Conversion!$B$15,2020,2050),Report_Scenarios!$A$7:$A$13,1)))/(INDEX(Report_Scenarios!$A$7:$A$13,MIN(MATCH(MEDIAN($B37-Conversion!$B$15,2020,2050),Report_Scenarios!$A$7:$A$13,1)+1,7))-INDEX(Report_Scenarios!$A$7:$A$13,MATCH(MEDIAN($B37-Conversion!$B$15,2020,2050),Report_Scenarios!$A$7:$A$13,1)))),IF($D37="Central",IF(INDEX(Report_Scenarios!$A$18:$A$24,MIN(MATCH(MEDIAN($B37-Conversion!$B$15,2020,2050),Report_Scenarios!$A$18:$A$24,1)+1,7))=INDEX(Report_Scenarios!$A$18:$A$24,MATCH(MEDIAN($B37-Conversion!$B$15,2020,2050),Report_Scenarios!$A$18:$A$24,1)),INDEX(Report_Scenarios!$C$18:$C$24,MATCH(MEDIAN($B37-Conversion!$B$15,2020,2050),Report_Scenarios!$A$18:$A$24,1)),INDEX(Report_Scenarios!$C$18:$C$24,MATCH(MEDIAN($B37-Conversion!$B$15,2020,2050),Report_Scenarios!$A$18:$A$24,1))+(INDEX(Report_Scenarios!$C$18:$C$24,MIN(MATCH(MEDIAN($B37-Conversion!$B$15,2020,2050),Report_Scenarios!$A$18:$A$24,1)+1,7))-INDEX(Report_Scenarios!$C$18:$C$24,MATCH(MEDIAN($B37-Conversion!$B$15,2020,2050),Report_Scenarios!$A$18:$A$24,1)))*(MEDIAN($B37-Conversion!$B$15,2020,2050)-INDEX(Report_Scenarios!$A$18:$A$24,MATCH(MEDIAN($B37-Conversion!$B$15,2020,2050),Report_Scenarios!$A$18:$A$24,1)))/(INDEX(Report_Scenarios!$A$18:$A$24,MIN(MATCH(MEDIAN($B37-Conversion!$B$15,2020,2050),Report_Scenarios!$A$18:$A$24,1)+1,7))-INDEX(Report_Scenarios!$A$18:$A$24,MATCH(MEDIAN($B37-Conversion!$B$15,2020,2050),Report_Scenarios!$A$18:$A$24,1)))),IF(INDEX(Report_Scenarios!$A$29:$A$35,MIN(MATCH(MEDIAN($B37-Conversion!$B$15,2020,2050),Report_Scenarios!$A$29:$A$35,1)+1,7))=INDEX(Report_Scenarios!$A$29:$A$35,MATCH(MEDIAN($B37-Conversion!$B$15,2020,2050),Report_Scenarios!$A$29:$A$35,1)),INDEX(Report_Scenarios!$C$29:$C$35,MATCH(MEDIAN($B37-Conversion!$B$15,2020,2050),Report_Scenarios!$A$29:$A$35,1)),INDEX(Report_Scenarios!$C$29:$C$35,MATCH(MEDIAN($B37-Conversion!$B$15,2020,2050),Report_Scenarios!$A$29:$A$35,1))+(INDEX(Report_Scenarios!$C$29:$C$35,MIN(MATCH(MEDIAN($B37-Conversion!$B$15,2020,2050),Report_Scenarios!$A$29:$A$35,1)+1,7))-INDEX(Report_Scenarios!$C$29:$C$35,MATCH(MEDIAN($B37-Conversion!$B$15,2020,2050),Report_Scenarios!$A$29:$A$35,1)))*(MEDIAN($B37-Conversion!$B$15,2020,2050)-INDEX(Report_Scenarios!$A$29:$A$35,MATCH(MEDIAN($B37-Conversion!$B$15,2020,2050),Report_Scenarios!$A$29:$A$35,1)))/(INDEX(Report_Scenarios!$A$29:$A$35,MIN(MATCH(MEDIAN($B37-Conversion!$B$15,2020,2050),Report_Scenarios!$A$29:$A$35,1)+1,7))-INDEX(Report_Scenarios!$A$29:$A$35,MATCH(MEDIAN($B37-Conversion!$B$15,2020,2050),Report_Scenarios!$A$29:$A$35,1))))))</f>
        <v/>
      </c>
      <c r="G37" s="23">
        <f>IF($D37="Conservative",IF(INDEX(Report_Scenarios!$A$7:$A$13,MIN(MATCH(MEDIAN($B37-Conversion!$B$15,2020,2050),Report_Scenarios!$A$7:$A$13,1)+1,7))=INDEX(Report_Scenarios!$A$7:$A$13,MATCH(MEDIAN($B37-Conversion!$B$15,2020,2050),Report_Scenarios!$A$7:$A$13,1)),INDEX(Report_Scenarios!$D$7:$D$13,MATCH(MEDIAN($B37-Conversion!$B$15,2020,2050),Report_Scenarios!$A$7:$A$13,1)),INDEX(Report_Scenarios!$D$7:$D$13,MATCH(MEDIAN($B37-Conversion!$B$15,2020,2050),Report_Scenarios!$A$7:$A$13,1))+(INDEX(Report_Scenarios!$D$7:$D$13,MIN(MATCH(MEDIAN($B37-Conversion!$B$15,2020,2050),Report_Scenarios!$A$7:$A$13,1)+1,7))-INDEX(Report_Scenarios!$D$7:$D$13,MATCH(MEDIAN($B37-Conversion!$B$15,2020,2050),Report_Scenarios!$A$7:$A$13,1)))*(MEDIAN($B37-Conversion!$B$15,2020,2050)-INDEX(Report_Scenarios!$A$7:$A$13,MATCH(MEDIAN($B37-Conversion!$B$15,2020,2050),Report_Scenarios!$A$7:$A$13,1)))/(INDEX(Report_Scenarios!$A$7:$A$13,MIN(MATCH(MEDIAN($B37-Conversion!$B$15,2020,2050),Report_Scenarios!$A$7:$A$13,1)+1,7))-INDEX(Report_Scenarios!$A$7:$A$13,MATCH(MEDIAN($B37-Conversion!$B$15,2020,2050),Report_Scenarios!$A$7:$A$13,1)))),IF($D37="Central",IF(INDEX(Report_Scenarios!$A$18:$A$24,MIN(MATCH(MEDIAN($B37-Conversion!$B$15,2020,2050),Report_Scenarios!$A$18:$A$24,1)+1,7))=INDEX(Report_Scenarios!$A$18:$A$24,MATCH(MEDIAN($B37-Conversion!$B$15,2020,2050),Report_Scenarios!$A$18:$A$24,1)),INDEX(Report_Scenarios!$D$18:$D$24,MATCH(MEDIAN($B37-Conversion!$B$15,2020,2050),Report_Scenarios!$A$18:$A$24,1)),INDEX(Report_Scenarios!$D$18:$D$24,MATCH(MEDIAN($B37-Conversion!$B$15,2020,2050),Report_Scenarios!$A$18:$A$24,1))+(INDEX(Report_Scenarios!$D$18:$D$24,MIN(MATCH(MEDIAN($B37-Conversion!$B$15,2020,2050),Report_Scenarios!$A$18:$A$24,1)+1,7))-INDEX(Report_Scenarios!$D$18:$D$24,MATCH(MEDIAN($B37-Conversion!$B$15,2020,2050),Report_Scenarios!$A$18:$A$24,1)))*(MEDIAN($B37-Conversion!$B$15,2020,2050)-INDEX(Report_Scenarios!$A$18:$A$24,MATCH(MEDIAN($B37-Conversion!$B$15,2020,2050),Report_Scenarios!$A$18:$A$24,1)))/(INDEX(Report_Scenarios!$A$18:$A$24,MIN(MATCH(MEDIAN($B37-Conversion!$B$15,2020,2050),Report_Scenarios!$A$18:$A$24,1)+1,7))-INDEX(Report_Scenarios!$A$18:$A$24,MATCH(MEDIAN($B37-Conversion!$B$15,2020,2050),Report_Scenarios!$A$18:$A$24,1)))),IF(INDEX(Report_Scenarios!$A$29:$A$35,MIN(MATCH(MEDIAN($B37-Conversion!$B$15,2020,2050),Report_Scenarios!$A$29:$A$35,1)+1,7))=INDEX(Report_Scenarios!$A$29:$A$35,MATCH(MEDIAN($B37-Conversion!$B$15,2020,2050),Report_Scenarios!$A$29:$A$35,1)),INDEX(Report_Scenarios!$D$29:$D$35,MATCH(MEDIAN($B37-Conversion!$B$15,2020,2050),Report_Scenarios!$A$29:$A$35,1)),INDEX(Report_Scenarios!$D$29:$D$35,MATCH(MEDIAN($B37-Conversion!$B$15,2020,2050),Report_Scenarios!$A$29:$A$35,1))+(INDEX(Report_Scenarios!$D$29:$D$35,MIN(MATCH(MEDIAN($B37-Conversion!$B$15,2020,2050),Report_Scenarios!$A$29:$A$35,1)+1,7))-INDEX(Report_Scenarios!$D$29:$D$35,MATCH(MEDIAN($B37-Conversion!$B$15,2020,2050),Report_Scenarios!$A$29:$A$35,1)))*(MEDIAN($B37-Conversion!$B$15,2020,2050)-INDEX(Report_Scenarios!$A$29:$A$35,MATCH(MEDIAN($B37-Conversion!$B$15,2020,2050),Report_Scenarios!$A$29:$A$35,1)))/(INDEX(Report_Scenarios!$A$29:$A$35,MIN(MATCH(MEDIAN($B37-Conversion!$B$15,2020,2050),Report_Scenarios!$A$29:$A$35,1)+1,7))-INDEX(Report_Scenarios!$A$29:$A$35,MATCH(MEDIAN($B37-Conversion!$B$15,2020,2050),Report_Scenarios!$A$29:$A$35,1))))))</f>
        <v/>
      </c>
      <c r="H37" s="23">
        <f>IF($D37="Conservative",IF(INDEX(Report_Scenarios!$A$7:$A$13,MIN(MATCH(MEDIAN($B37-Conversion!$B$15,2020,2050),Report_Scenarios!$A$7:$A$13,1)+1,7))=INDEX(Report_Scenarios!$A$7:$A$13,MATCH(MEDIAN($B37-Conversion!$B$15,2020,2050),Report_Scenarios!$A$7:$A$13,1)),INDEX(Report_Scenarios!$E$7:$E$13,MATCH(MEDIAN($B37-Conversion!$B$15,2020,2050),Report_Scenarios!$A$7:$A$13,1)),INDEX(Report_Scenarios!$E$7:$E$13,MATCH(MEDIAN($B37-Conversion!$B$15,2020,2050),Report_Scenarios!$A$7:$A$13,1))+(INDEX(Report_Scenarios!$E$7:$E$13,MIN(MATCH(MEDIAN($B37-Conversion!$B$15,2020,2050),Report_Scenarios!$A$7:$A$13,1)+1,7))-INDEX(Report_Scenarios!$E$7:$E$13,MATCH(MEDIAN($B37-Conversion!$B$15,2020,2050),Report_Scenarios!$A$7:$A$13,1)))*(MEDIAN($B37-Conversion!$B$15,2020,2050)-INDEX(Report_Scenarios!$A$7:$A$13,MATCH(MEDIAN($B37-Conversion!$B$15,2020,2050),Report_Scenarios!$A$7:$A$13,1)))/(INDEX(Report_Scenarios!$A$7:$A$13,MIN(MATCH(MEDIAN($B37-Conversion!$B$15,2020,2050),Report_Scenarios!$A$7:$A$13,1)+1,7))-INDEX(Report_Scenarios!$A$7:$A$13,MATCH(MEDIAN($B37-Conversion!$B$15,2020,2050),Report_Scenarios!$A$7:$A$13,1)))),IF($D37="Central",IF(INDEX(Report_Scenarios!$A$18:$A$24,MIN(MATCH(MEDIAN($B37-Conversion!$B$15,2020,2050),Report_Scenarios!$A$18:$A$24,1)+1,7))=INDEX(Report_Scenarios!$A$18:$A$24,MATCH(MEDIAN($B37-Conversion!$B$15,2020,2050),Report_Scenarios!$A$18:$A$24,1)),INDEX(Report_Scenarios!$E$18:$E$24,MATCH(MEDIAN($B37-Conversion!$B$15,2020,2050),Report_Scenarios!$A$18:$A$24,1)),INDEX(Report_Scenarios!$E$18:$E$24,MATCH(MEDIAN($B37-Conversion!$B$15,2020,2050),Report_Scenarios!$A$18:$A$24,1))+(INDEX(Report_Scenarios!$E$18:$E$24,MIN(MATCH(MEDIAN($B37-Conversion!$B$15,2020,2050),Report_Scenarios!$A$18:$A$24,1)+1,7))-INDEX(Report_Scenarios!$E$18:$E$24,MATCH(MEDIAN($B37-Conversion!$B$15,2020,2050),Report_Scenarios!$A$18:$A$24,1)))*(MEDIAN($B37-Conversion!$B$15,2020,2050)-INDEX(Report_Scenarios!$A$18:$A$24,MATCH(MEDIAN($B37-Conversion!$B$15,2020,2050),Report_Scenarios!$A$18:$A$24,1)))/(INDEX(Report_Scenarios!$A$18:$A$24,MIN(MATCH(MEDIAN($B37-Conversion!$B$15,2020,2050),Report_Scenarios!$A$18:$A$24,1)+1,7))-INDEX(Report_Scenarios!$A$18:$A$24,MATCH(MEDIAN($B37-Conversion!$B$15,2020,2050),Report_Scenarios!$A$18:$A$24,1)))),IF(INDEX(Report_Scenarios!$A$29:$A$35,MIN(MATCH(MEDIAN($B37-Conversion!$B$15,2020,2050),Report_Scenarios!$A$29:$A$35,1)+1,7))=INDEX(Report_Scenarios!$A$29:$A$35,MATCH(MEDIAN($B37-Conversion!$B$15,2020,2050),Report_Scenarios!$A$29:$A$35,1)),INDEX(Report_Scenarios!$E$29:$E$35,MATCH(MEDIAN($B37-Conversion!$B$15,2020,2050),Report_Scenarios!$A$29:$A$35,1)),INDEX(Report_Scenarios!$E$29:$E$35,MATCH(MEDIAN($B37-Conversion!$B$15,2020,2050),Report_Scenarios!$A$29:$A$35,1))+(INDEX(Report_Scenarios!$E$29:$E$35,MIN(MATCH(MEDIAN($B37-Conversion!$B$15,2020,2050),Report_Scenarios!$A$29:$A$35,1)+1,7))-INDEX(Report_Scenarios!$E$29:$E$35,MATCH(MEDIAN($B37-Conversion!$B$15,2020,2050),Report_Scenarios!$A$29:$A$35,1)))*(MEDIAN($B37-Conversion!$B$15,2020,2050)-INDEX(Report_Scenarios!$A$29:$A$35,MATCH(MEDIAN($B37-Conversion!$B$15,2020,2050),Report_Scenarios!$A$29:$A$35,1)))/(INDEX(Report_Scenarios!$A$29:$A$35,MIN(MATCH(MEDIAN($B37-Conversion!$B$15,2020,2050),Report_Scenarios!$A$29:$A$35,1)+1,7))-INDEX(Report_Scenarios!$A$29:$A$35,MATCH(MEDIAN($B37-Conversion!$B$15,2020,2050),Report_Scenarios!$A$29:$A$35,1))))))</f>
        <v/>
      </c>
      <c r="I37" s="23">
        <f>IF($D37="Conservative",IF(INDEX(Report_Scenarios!$A$7:$A$13,MIN(MATCH(MEDIAN($B37-Conversion!$B$15,2020,2050),Report_Scenarios!$A$7:$A$13,1)+1,7))=INDEX(Report_Scenarios!$A$7:$A$13,MATCH(MEDIAN($B37-Conversion!$B$15,2020,2050),Report_Scenarios!$A$7:$A$13,1)),INDEX(Report_Scenarios!$F$7:$F$13,MATCH(MEDIAN($B37-Conversion!$B$15,2020,2050),Report_Scenarios!$A$7:$A$13,1)),INDEX(Report_Scenarios!$F$7:$F$13,MATCH(MEDIAN($B37-Conversion!$B$15,2020,2050),Report_Scenarios!$A$7:$A$13,1))+(INDEX(Report_Scenarios!$F$7:$F$13,MIN(MATCH(MEDIAN($B37-Conversion!$B$15,2020,2050),Report_Scenarios!$A$7:$A$13,1)+1,7))-INDEX(Report_Scenarios!$F$7:$F$13,MATCH(MEDIAN($B37-Conversion!$B$15,2020,2050),Report_Scenarios!$A$7:$A$13,1)))*(MEDIAN($B37-Conversion!$B$15,2020,2050)-INDEX(Report_Scenarios!$A$7:$A$13,MATCH(MEDIAN($B37-Conversion!$B$15,2020,2050),Report_Scenarios!$A$7:$A$13,1)))/(INDEX(Report_Scenarios!$A$7:$A$13,MIN(MATCH(MEDIAN($B37-Conversion!$B$15,2020,2050),Report_Scenarios!$A$7:$A$13,1)+1,7))-INDEX(Report_Scenarios!$A$7:$A$13,MATCH(MEDIAN($B37-Conversion!$B$15,2020,2050),Report_Scenarios!$A$7:$A$13,1)))),IF($D37="Central",IF(INDEX(Report_Scenarios!$A$18:$A$24,MIN(MATCH(MEDIAN($B37-Conversion!$B$15,2020,2050),Report_Scenarios!$A$18:$A$24,1)+1,7))=INDEX(Report_Scenarios!$A$18:$A$24,MATCH(MEDIAN($B37-Conversion!$B$15,2020,2050),Report_Scenarios!$A$18:$A$24,1)),INDEX(Report_Scenarios!$F$18:$F$24,MATCH(MEDIAN($B37-Conversion!$B$15,2020,2050),Report_Scenarios!$A$18:$A$24,1)),INDEX(Report_Scenarios!$F$18:$F$24,MATCH(MEDIAN($B37-Conversion!$B$15,2020,2050),Report_Scenarios!$A$18:$A$24,1))+(INDEX(Report_Scenarios!$F$18:$F$24,MIN(MATCH(MEDIAN($B37-Conversion!$B$15,2020,2050),Report_Scenarios!$A$18:$A$24,1)+1,7))-INDEX(Report_Scenarios!$F$18:$F$24,MATCH(MEDIAN($B37-Conversion!$B$15,2020,2050),Report_Scenarios!$A$18:$A$24,1)))*(MEDIAN($B37-Conversion!$B$15,2020,2050)-INDEX(Report_Scenarios!$A$18:$A$24,MATCH(MEDIAN($B37-Conversion!$B$15,2020,2050),Report_Scenarios!$A$18:$A$24,1)))/(INDEX(Report_Scenarios!$A$18:$A$24,MIN(MATCH(MEDIAN($B37-Conversion!$B$15,2020,2050),Report_Scenarios!$A$18:$A$24,1)+1,7))-INDEX(Report_Scenarios!$A$18:$A$24,MATCH(MEDIAN($B37-Conversion!$B$15,2020,2050),Report_Scenarios!$A$18:$A$24,1)))),IF(INDEX(Report_Scenarios!$A$29:$A$35,MIN(MATCH(MEDIAN($B37-Conversion!$B$15,2020,2050),Report_Scenarios!$A$29:$A$35,1)+1,7))=INDEX(Report_Scenarios!$A$29:$A$35,MATCH(MEDIAN($B37-Conversion!$B$15,2020,2050),Report_Scenarios!$A$29:$A$35,1)),INDEX(Report_Scenarios!$F$29:$F$35,MATCH(MEDIAN($B37-Conversion!$B$15,2020,2050),Report_Scenarios!$A$29:$A$35,1)),INDEX(Report_Scenarios!$F$29:$F$35,MATCH(MEDIAN($B37-Conversion!$B$15,2020,2050),Report_Scenarios!$A$29:$A$35,1))+(INDEX(Report_Scenarios!$F$29:$F$35,MIN(MATCH(MEDIAN($B37-Conversion!$B$15,2020,2050),Report_Scenarios!$A$29:$A$35,1)+1,7))-INDEX(Report_Scenarios!$F$29:$F$35,MATCH(MEDIAN($B37-Conversion!$B$15,2020,2050),Report_Scenarios!$A$29:$A$35,1)))*(MEDIAN($B37-Conversion!$B$15,2020,2050)-INDEX(Report_Scenarios!$A$29:$A$35,MATCH(MEDIAN($B37-Conversion!$B$15,2020,2050),Report_Scenarios!$A$29:$A$35,1)))/(INDEX(Report_Scenarios!$A$29:$A$35,MIN(MATCH(MEDIAN($B37-Conversion!$B$15,2020,2050),Report_Scenarios!$A$29:$A$35,1)+1,7))-INDEX(Report_Scenarios!$A$29:$A$35,MATCH(MEDIAN($B37-Conversion!$B$15,2020,2050),Report_Scenarios!$A$29:$A$35,1))))))</f>
        <v/>
      </c>
      <c r="J37" s="23">
        <f>IF($D37="Conservative",IF(INDEX(Report_Scenarios!$A$7:$A$13,MIN(MATCH(MEDIAN($B37-Conversion!$B$15,2020,2050),Report_Scenarios!$A$7:$A$13,1)+1,7))=INDEX(Report_Scenarios!$A$7:$A$13,MATCH(MEDIAN($B37-Conversion!$B$15,2020,2050),Report_Scenarios!$A$7:$A$13,1)),INDEX(Report_Scenarios!$G$7:$G$13,MATCH(MEDIAN($B37-Conversion!$B$15,2020,2050),Report_Scenarios!$A$7:$A$13,1)),INDEX(Report_Scenarios!$G$7:$G$13,MATCH(MEDIAN($B37-Conversion!$B$15,2020,2050),Report_Scenarios!$A$7:$A$13,1))+(INDEX(Report_Scenarios!$G$7:$G$13,MIN(MATCH(MEDIAN($B37-Conversion!$B$15,2020,2050),Report_Scenarios!$A$7:$A$13,1)+1,7))-INDEX(Report_Scenarios!$G$7:$G$13,MATCH(MEDIAN($B37-Conversion!$B$15,2020,2050),Report_Scenarios!$A$7:$A$13,1)))*(MEDIAN($B37-Conversion!$B$15,2020,2050)-INDEX(Report_Scenarios!$A$7:$A$13,MATCH(MEDIAN($B37-Conversion!$B$15,2020,2050),Report_Scenarios!$A$7:$A$13,1)))/(INDEX(Report_Scenarios!$A$7:$A$13,MIN(MATCH(MEDIAN($B37-Conversion!$B$15,2020,2050),Report_Scenarios!$A$7:$A$13,1)+1,7))-INDEX(Report_Scenarios!$A$7:$A$13,MATCH(MEDIAN($B37-Conversion!$B$15,2020,2050),Report_Scenarios!$A$7:$A$13,1)))),IF($D37="Central",IF(INDEX(Report_Scenarios!$A$18:$A$24,MIN(MATCH(MEDIAN($B37-Conversion!$B$15,2020,2050),Report_Scenarios!$A$18:$A$24,1)+1,7))=INDEX(Report_Scenarios!$A$18:$A$24,MATCH(MEDIAN($B37-Conversion!$B$15,2020,2050),Report_Scenarios!$A$18:$A$24,1)),INDEX(Report_Scenarios!$G$18:$G$24,MATCH(MEDIAN($B37-Conversion!$B$15,2020,2050),Report_Scenarios!$A$18:$A$24,1)),INDEX(Report_Scenarios!$G$18:$G$24,MATCH(MEDIAN($B37-Conversion!$B$15,2020,2050),Report_Scenarios!$A$18:$A$24,1))+(INDEX(Report_Scenarios!$G$18:$G$24,MIN(MATCH(MEDIAN($B37-Conversion!$B$15,2020,2050),Report_Scenarios!$A$18:$A$24,1)+1,7))-INDEX(Report_Scenarios!$G$18:$G$24,MATCH(MEDIAN($B37-Conversion!$B$15,2020,2050),Report_Scenarios!$A$18:$A$24,1)))*(MEDIAN($B37-Conversion!$B$15,2020,2050)-INDEX(Report_Scenarios!$A$18:$A$24,MATCH(MEDIAN($B37-Conversion!$B$15,2020,2050),Report_Scenarios!$A$18:$A$24,1)))/(INDEX(Report_Scenarios!$A$18:$A$24,MIN(MATCH(MEDIAN($B37-Conversion!$B$15,2020,2050),Report_Scenarios!$A$18:$A$24,1)+1,7))-INDEX(Report_Scenarios!$A$18:$A$24,MATCH(MEDIAN($B37-Conversion!$B$15,2020,2050),Report_Scenarios!$A$18:$A$24,1)))),IF(INDEX(Report_Scenarios!$A$29:$A$35,MIN(MATCH(MEDIAN($B37-Conversion!$B$15,2020,2050),Report_Scenarios!$A$29:$A$35,1)+1,7))=INDEX(Report_Scenarios!$A$29:$A$35,MATCH(MEDIAN($B37-Conversion!$B$15,2020,2050),Report_Scenarios!$A$29:$A$35,1)),INDEX(Report_Scenarios!$G$29:$G$35,MATCH(MEDIAN($B37-Conversion!$B$15,2020,2050),Report_Scenarios!$A$29:$A$35,1)),INDEX(Report_Scenarios!$G$29:$G$35,MATCH(MEDIAN($B37-Conversion!$B$15,2020,2050),Report_Scenarios!$A$29:$A$35,1))+(INDEX(Report_Scenarios!$G$29:$G$35,MIN(MATCH(MEDIAN($B37-Conversion!$B$15,2020,2050),Report_Scenarios!$A$29:$A$35,1)+1,7))-INDEX(Report_Scenarios!$G$29:$G$35,MATCH(MEDIAN($B37-Conversion!$B$15,2020,2050),Report_Scenarios!$A$29:$A$35,1)))*(MEDIAN($B37-Conversion!$B$15,2020,2050)-INDEX(Report_Scenarios!$A$29:$A$35,MATCH(MEDIAN($B37-Conversion!$B$15,2020,2050),Report_Scenarios!$A$29:$A$35,1)))/(INDEX(Report_Scenarios!$A$29:$A$35,MIN(MATCH(MEDIAN($B37-Conversion!$B$15,2020,2050),Report_Scenarios!$A$29:$A$35,1)+1,7))-INDEX(Report_Scenarios!$A$29:$A$35,MATCH(MEDIAN($B37-Conversion!$B$15,2020,2050),Report_Scenarios!$A$29:$A$35,1))))))</f>
        <v/>
      </c>
      <c r="K37" s="23">
        <f>SUM(E37:J37)</f>
        <v/>
      </c>
      <c r="L37" s="23">
        <f>IF(R37&lt;&gt;"",R37,IF($K37=0,0,E37/$K37))</f>
        <v/>
      </c>
      <c r="M37" s="23">
        <f>IF(S37&lt;&gt;"",S37,IF($K37=0,0,F37/$K37))</f>
        <v/>
      </c>
      <c r="N37" s="23">
        <f>IF(T37&lt;&gt;"",T37,IF($K37=0,0,G37/$K37))</f>
        <v/>
      </c>
      <c r="O37" s="23">
        <f>IF(U37&lt;&gt;"",U37,IF($K37=0,0,H37/$K37))</f>
        <v/>
      </c>
      <c r="P37" s="23">
        <f>IF(V37&lt;&gt;"",V37,IF($K37=0,0,I37/$K37))</f>
        <v/>
      </c>
      <c r="Q37" s="23">
        <f>IF(W37&lt;&gt;"",W37,IF($K37=0,0,J37/$K37))</f>
        <v/>
      </c>
      <c r="R37" s="24" t="n"/>
      <c r="S37" s="24" t="n"/>
      <c r="T37" s="24" t="n"/>
      <c r="U37" s="24" t="n"/>
      <c r="V37" s="24" t="n"/>
      <c r="W37" s="24" t="n"/>
    </row>
    <row r="38">
      <c r="A38" s="4" t="inlineStr">
        <is>
          <t>CD</t>
        </is>
      </c>
      <c r="B38" s="4" t="n">
        <v>2025</v>
      </c>
      <c r="C38" s="4" t="inlineStr">
        <is>
          <t>Share_Min</t>
        </is>
      </c>
      <c r="D38" s="4">
        <f>Conversion!$B$18</f>
        <v/>
      </c>
      <c r="E38" s="23">
        <f>IF($D38="Conservative",IF(INDEX(Report_Scenarios!$A$7:$A$13,MIN(MATCH(MEDIAN($B38-Conversion!$B$15,2020,2050),Report_Scenarios!$A$7:$A$13,1)+1,7))=INDEX(Report_Scenarios!$A$7:$A$13,MATCH(MEDIAN($B38-Conversion!$B$15,2020,2050),Report_Scenarios!$A$7:$A$13,1)),INDEX(Report_Scenarios!$B$7:$B$13,MATCH(MEDIAN($B38-Conversion!$B$15,2020,2050),Report_Scenarios!$A$7:$A$13,1)),INDEX(Report_Scenarios!$B$7:$B$13,MATCH(MEDIAN($B38-Conversion!$B$15,2020,2050),Report_Scenarios!$A$7:$A$13,1))+(INDEX(Report_Scenarios!$B$7:$B$13,MIN(MATCH(MEDIAN($B38-Conversion!$B$15,2020,2050),Report_Scenarios!$A$7:$A$13,1)+1,7))-INDEX(Report_Scenarios!$B$7:$B$13,MATCH(MEDIAN($B38-Conversion!$B$15,2020,2050),Report_Scenarios!$A$7:$A$13,1)))*(MEDIAN($B38-Conversion!$B$15,2020,2050)-INDEX(Report_Scenarios!$A$7:$A$13,MATCH(MEDIAN($B38-Conversion!$B$15,2020,2050),Report_Scenarios!$A$7:$A$13,1)))/(INDEX(Report_Scenarios!$A$7:$A$13,MIN(MATCH(MEDIAN($B38-Conversion!$B$15,2020,2050),Report_Scenarios!$A$7:$A$13,1)+1,7))-INDEX(Report_Scenarios!$A$7:$A$13,MATCH(MEDIAN($B38-Conversion!$B$15,2020,2050),Report_Scenarios!$A$7:$A$13,1)))),IF($D38="Central",IF(INDEX(Report_Scenarios!$A$18:$A$24,MIN(MATCH(MEDIAN($B38-Conversion!$B$15,2020,2050),Report_Scenarios!$A$18:$A$24,1)+1,7))=INDEX(Report_Scenarios!$A$18:$A$24,MATCH(MEDIAN($B38-Conversion!$B$15,2020,2050),Report_Scenarios!$A$18:$A$24,1)),INDEX(Report_Scenarios!$B$18:$B$24,MATCH(MEDIAN($B38-Conversion!$B$15,2020,2050),Report_Scenarios!$A$18:$A$24,1)),INDEX(Report_Scenarios!$B$18:$B$24,MATCH(MEDIAN($B38-Conversion!$B$15,2020,2050),Report_Scenarios!$A$18:$A$24,1))+(INDEX(Report_Scenarios!$B$18:$B$24,MIN(MATCH(MEDIAN($B38-Conversion!$B$15,2020,2050),Report_Scenarios!$A$18:$A$24,1)+1,7))-INDEX(Report_Scenarios!$B$18:$B$24,MATCH(MEDIAN($B38-Conversion!$B$15,2020,2050),Report_Scenarios!$A$18:$A$24,1)))*(MEDIAN($B38-Conversion!$B$15,2020,2050)-INDEX(Report_Scenarios!$A$18:$A$24,MATCH(MEDIAN($B38-Conversion!$B$15,2020,2050),Report_Scenarios!$A$18:$A$24,1)))/(INDEX(Report_Scenarios!$A$18:$A$24,MIN(MATCH(MEDIAN($B38-Conversion!$B$15,2020,2050),Report_Scenarios!$A$18:$A$24,1)+1,7))-INDEX(Report_Scenarios!$A$18:$A$24,MATCH(MEDIAN($B38-Conversion!$B$15,2020,2050),Report_Scenarios!$A$18:$A$24,1)))),IF(INDEX(Report_Scenarios!$A$29:$A$35,MIN(MATCH(MEDIAN($B38-Conversion!$B$15,2020,2050),Report_Scenarios!$A$29:$A$35,1)+1,7))=INDEX(Report_Scenarios!$A$29:$A$35,MATCH(MEDIAN($B38-Conversion!$B$15,2020,2050),Report_Scenarios!$A$29:$A$35,1)),INDEX(Report_Scenarios!$B$29:$B$35,MATCH(MEDIAN($B38-Conversion!$B$15,2020,2050),Report_Scenarios!$A$29:$A$35,1)),INDEX(Report_Scenarios!$B$29:$B$35,MATCH(MEDIAN($B38-Conversion!$B$15,2020,2050),Report_Scenarios!$A$29:$A$35,1))+(INDEX(Report_Scenarios!$B$29:$B$35,MIN(MATCH(MEDIAN($B38-Conversion!$B$15,2020,2050),Report_Scenarios!$A$29:$A$35,1)+1,7))-INDEX(Report_Scenarios!$B$29:$B$35,MATCH(MEDIAN($B38-Conversion!$B$15,2020,2050),Report_Scenarios!$A$29:$A$35,1)))*(MEDIAN($B38-Conversion!$B$15,2020,2050)-INDEX(Report_Scenarios!$A$29:$A$35,MATCH(MEDIAN($B38-Conversion!$B$15,2020,2050),Report_Scenarios!$A$29:$A$35,1)))/(INDEX(Report_Scenarios!$A$29:$A$35,MIN(MATCH(MEDIAN($B38-Conversion!$B$15,2020,2050),Report_Scenarios!$A$29:$A$35,1)+1,7))-INDEX(Report_Scenarios!$A$29:$A$35,MATCH(MEDIAN($B38-Conversion!$B$15,2020,2050),Report_Scenarios!$A$29:$A$35,1))))))</f>
        <v/>
      </c>
      <c r="F38" s="23">
        <f>IF($D38="Conservative",IF(INDEX(Report_Scenarios!$A$7:$A$13,MIN(MATCH(MEDIAN($B38-Conversion!$B$15,2020,2050),Report_Scenarios!$A$7:$A$13,1)+1,7))=INDEX(Report_Scenarios!$A$7:$A$13,MATCH(MEDIAN($B38-Conversion!$B$15,2020,2050),Report_Scenarios!$A$7:$A$13,1)),INDEX(Report_Scenarios!$C$7:$C$13,MATCH(MEDIAN($B38-Conversion!$B$15,2020,2050),Report_Scenarios!$A$7:$A$13,1)),INDEX(Report_Scenarios!$C$7:$C$13,MATCH(MEDIAN($B38-Conversion!$B$15,2020,2050),Report_Scenarios!$A$7:$A$13,1))+(INDEX(Report_Scenarios!$C$7:$C$13,MIN(MATCH(MEDIAN($B38-Conversion!$B$15,2020,2050),Report_Scenarios!$A$7:$A$13,1)+1,7))-INDEX(Report_Scenarios!$C$7:$C$13,MATCH(MEDIAN($B38-Conversion!$B$15,2020,2050),Report_Scenarios!$A$7:$A$13,1)))*(MEDIAN($B38-Conversion!$B$15,2020,2050)-INDEX(Report_Scenarios!$A$7:$A$13,MATCH(MEDIAN($B38-Conversion!$B$15,2020,2050),Report_Scenarios!$A$7:$A$13,1)))/(INDEX(Report_Scenarios!$A$7:$A$13,MIN(MATCH(MEDIAN($B38-Conversion!$B$15,2020,2050),Report_Scenarios!$A$7:$A$13,1)+1,7))-INDEX(Report_Scenarios!$A$7:$A$13,MATCH(MEDIAN($B38-Conversion!$B$15,2020,2050),Report_Scenarios!$A$7:$A$13,1)))),IF($D38="Central",IF(INDEX(Report_Scenarios!$A$18:$A$24,MIN(MATCH(MEDIAN($B38-Conversion!$B$15,2020,2050),Report_Scenarios!$A$18:$A$24,1)+1,7))=INDEX(Report_Scenarios!$A$18:$A$24,MATCH(MEDIAN($B38-Conversion!$B$15,2020,2050),Report_Scenarios!$A$18:$A$24,1)),INDEX(Report_Scenarios!$C$18:$C$24,MATCH(MEDIAN($B38-Conversion!$B$15,2020,2050),Report_Scenarios!$A$18:$A$24,1)),INDEX(Report_Scenarios!$C$18:$C$24,MATCH(MEDIAN($B38-Conversion!$B$15,2020,2050),Report_Scenarios!$A$18:$A$24,1))+(INDEX(Report_Scenarios!$C$18:$C$24,MIN(MATCH(MEDIAN($B38-Conversion!$B$15,2020,2050),Report_Scenarios!$A$18:$A$24,1)+1,7))-INDEX(Report_Scenarios!$C$18:$C$24,MATCH(MEDIAN($B38-Conversion!$B$15,2020,2050),Report_Scenarios!$A$18:$A$24,1)))*(MEDIAN($B38-Conversion!$B$15,2020,2050)-INDEX(Report_Scenarios!$A$18:$A$24,MATCH(MEDIAN($B38-Conversion!$B$15,2020,2050),Report_Scenarios!$A$18:$A$24,1)))/(INDEX(Report_Scenarios!$A$18:$A$24,MIN(MATCH(MEDIAN($B38-Conversion!$B$15,2020,2050),Report_Scenarios!$A$18:$A$24,1)+1,7))-INDEX(Report_Scenarios!$A$18:$A$24,MATCH(MEDIAN($B38-Conversion!$B$15,2020,2050),Report_Scenarios!$A$18:$A$24,1)))),IF(INDEX(Report_Scenarios!$A$29:$A$35,MIN(MATCH(MEDIAN($B38-Conversion!$B$15,2020,2050),Report_Scenarios!$A$29:$A$35,1)+1,7))=INDEX(Report_Scenarios!$A$29:$A$35,MATCH(MEDIAN($B38-Conversion!$B$15,2020,2050),Report_Scenarios!$A$29:$A$35,1)),INDEX(Report_Scenarios!$C$29:$C$35,MATCH(MEDIAN($B38-Conversion!$B$15,2020,2050),Report_Scenarios!$A$29:$A$35,1)),INDEX(Report_Scenarios!$C$29:$C$35,MATCH(MEDIAN($B38-Conversion!$B$15,2020,2050),Report_Scenarios!$A$29:$A$35,1))+(INDEX(Report_Scenarios!$C$29:$C$35,MIN(MATCH(MEDIAN($B38-Conversion!$B$15,2020,2050),Report_Scenarios!$A$29:$A$35,1)+1,7))-INDEX(Report_Scenarios!$C$29:$C$35,MATCH(MEDIAN($B38-Conversion!$B$15,2020,2050),Report_Scenarios!$A$29:$A$35,1)))*(MEDIAN($B38-Conversion!$B$15,2020,2050)-INDEX(Report_Scenarios!$A$29:$A$35,MATCH(MEDIAN($B38-Conversion!$B$15,2020,2050),Report_Scenarios!$A$29:$A$35,1)))/(INDEX(Report_Scenarios!$A$29:$A$35,MIN(MATCH(MEDIAN($B38-Conversion!$B$15,2020,2050),Report_Scenarios!$A$29:$A$35,1)+1,7))-INDEX(Report_Scenarios!$A$29:$A$35,MATCH(MEDIAN($B38-Conversion!$B$15,2020,2050),Report_Scenarios!$A$29:$A$35,1))))))</f>
        <v/>
      </c>
      <c r="G38" s="23">
        <f>IF($D38="Conservative",IF(INDEX(Report_Scenarios!$A$7:$A$13,MIN(MATCH(MEDIAN($B38-Conversion!$B$15,2020,2050),Report_Scenarios!$A$7:$A$13,1)+1,7))=INDEX(Report_Scenarios!$A$7:$A$13,MATCH(MEDIAN($B38-Conversion!$B$15,2020,2050),Report_Scenarios!$A$7:$A$13,1)),INDEX(Report_Scenarios!$D$7:$D$13,MATCH(MEDIAN($B38-Conversion!$B$15,2020,2050),Report_Scenarios!$A$7:$A$13,1)),INDEX(Report_Scenarios!$D$7:$D$13,MATCH(MEDIAN($B38-Conversion!$B$15,2020,2050),Report_Scenarios!$A$7:$A$13,1))+(INDEX(Report_Scenarios!$D$7:$D$13,MIN(MATCH(MEDIAN($B38-Conversion!$B$15,2020,2050),Report_Scenarios!$A$7:$A$13,1)+1,7))-INDEX(Report_Scenarios!$D$7:$D$13,MATCH(MEDIAN($B38-Conversion!$B$15,2020,2050),Report_Scenarios!$A$7:$A$13,1)))*(MEDIAN($B38-Conversion!$B$15,2020,2050)-INDEX(Report_Scenarios!$A$7:$A$13,MATCH(MEDIAN($B38-Conversion!$B$15,2020,2050),Report_Scenarios!$A$7:$A$13,1)))/(INDEX(Report_Scenarios!$A$7:$A$13,MIN(MATCH(MEDIAN($B38-Conversion!$B$15,2020,2050),Report_Scenarios!$A$7:$A$13,1)+1,7))-INDEX(Report_Scenarios!$A$7:$A$13,MATCH(MEDIAN($B38-Conversion!$B$15,2020,2050),Report_Scenarios!$A$7:$A$13,1)))),IF($D38="Central",IF(INDEX(Report_Scenarios!$A$18:$A$24,MIN(MATCH(MEDIAN($B38-Conversion!$B$15,2020,2050),Report_Scenarios!$A$18:$A$24,1)+1,7))=INDEX(Report_Scenarios!$A$18:$A$24,MATCH(MEDIAN($B38-Conversion!$B$15,2020,2050),Report_Scenarios!$A$18:$A$24,1)),INDEX(Report_Scenarios!$D$18:$D$24,MATCH(MEDIAN($B38-Conversion!$B$15,2020,2050),Report_Scenarios!$A$18:$A$24,1)),INDEX(Report_Scenarios!$D$18:$D$24,MATCH(MEDIAN($B38-Conversion!$B$15,2020,2050),Report_Scenarios!$A$18:$A$24,1))+(INDEX(Report_Scenarios!$D$18:$D$24,MIN(MATCH(MEDIAN($B38-Conversion!$B$15,2020,2050),Report_Scenarios!$A$18:$A$24,1)+1,7))-INDEX(Report_Scenarios!$D$18:$D$24,MATCH(MEDIAN($B38-Conversion!$B$15,2020,2050),Report_Scenarios!$A$18:$A$24,1)))*(MEDIAN($B38-Conversion!$B$15,2020,2050)-INDEX(Report_Scenarios!$A$18:$A$24,MATCH(MEDIAN($B38-Conversion!$B$15,2020,2050),Report_Scenarios!$A$18:$A$24,1)))/(INDEX(Report_Scenarios!$A$18:$A$24,MIN(MATCH(MEDIAN($B38-Conversion!$B$15,2020,2050),Report_Scenarios!$A$18:$A$24,1)+1,7))-INDEX(Report_Scenarios!$A$18:$A$24,MATCH(MEDIAN($B38-Conversion!$B$15,2020,2050),Report_Scenarios!$A$18:$A$24,1)))),IF(INDEX(Report_Scenarios!$A$29:$A$35,MIN(MATCH(MEDIAN($B38-Conversion!$B$15,2020,2050),Report_Scenarios!$A$29:$A$35,1)+1,7))=INDEX(Report_Scenarios!$A$29:$A$35,MATCH(MEDIAN($B38-Conversion!$B$15,2020,2050),Report_Scenarios!$A$29:$A$35,1)),INDEX(Report_Scenarios!$D$29:$D$35,MATCH(MEDIAN($B38-Conversion!$B$15,2020,2050),Report_Scenarios!$A$29:$A$35,1)),INDEX(Report_Scenarios!$D$29:$D$35,MATCH(MEDIAN($B38-Conversion!$B$15,2020,2050),Report_Scenarios!$A$29:$A$35,1))+(INDEX(Report_Scenarios!$D$29:$D$35,MIN(MATCH(MEDIAN($B38-Conversion!$B$15,2020,2050),Report_Scenarios!$A$29:$A$35,1)+1,7))-INDEX(Report_Scenarios!$D$29:$D$35,MATCH(MEDIAN($B38-Conversion!$B$15,2020,2050),Report_Scenarios!$A$29:$A$35,1)))*(MEDIAN($B38-Conversion!$B$15,2020,2050)-INDEX(Report_Scenarios!$A$29:$A$35,MATCH(MEDIAN($B38-Conversion!$B$15,2020,2050),Report_Scenarios!$A$29:$A$35,1)))/(INDEX(Report_Scenarios!$A$29:$A$35,MIN(MATCH(MEDIAN($B38-Conversion!$B$15,2020,2050),Report_Scenarios!$A$29:$A$35,1)+1,7))-INDEX(Report_Scenarios!$A$29:$A$35,MATCH(MEDIAN($B38-Conversion!$B$15,2020,2050),Report_Scenarios!$A$29:$A$35,1))))))</f>
        <v/>
      </c>
      <c r="H38" s="23">
        <f>IF($D38="Conservative",IF(INDEX(Report_Scenarios!$A$7:$A$13,MIN(MATCH(MEDIAN($B38-Conversion!$B$15,2020,2050),Report_Scenarios!$A$7:$A$13,1)+1,7))=INDEX(Report_Scenarios!$A$7:$A$13,MATCH(MEDIAN($B38-Conversion!$B$15,2020,2050),Report_Scenarios!$A$7:$A$13,1)),INDEX(Report_Scenarios!$E$7:$E$13,MATCH(MEDIAN($B38-Conversion!$B$15,2020,2050),Report_Scenarios!$A$7:$A$13,1)),INDEX(Report_Scenarios!$E$7:$E$13,MATCH(MEDIAN($B38-Conversion!$B$15,2020,2050),Report_Scenarios!$A$7:$A$13,1))+(INDEX(Report_Scenarios!$E$7:$E$13,MIN(MATCH(MEDIAN($B38-Conversion!$B$15,2020,2050),Report_Scenarios!$A$7:$A$13,1)+1,7))-INDEX(Report_Scenarios!$E$7:$E$13,MATCH(MEDIAN($B38-Conversion!$B$15,2020,2050),Report_Scenarios!$A$7:$A$13,1)))*(MEDIAN($B38-Conversion!$B$15,2020,2050)-INDEX(Report_Scenarios!$A$7:$A$13,MATCH(MEDIAN($B38-Conversion!$B$15,2020,2050),Report_Scenarios!$A$7:$A$13,1)))/(INDEX(Report_Scenarios!$A$7:$A$13,MIN(MATCH(MEDIAN($B38-Conversion!$B$15,2020,2050),Report_Scenarios!$A$7:$A$13,1)+1,7))-INDEX(Report_Scenarios!$A$7:$A$13,MATCH(MEDIAN($B38-Conversion!$B$15,2020,2050),Report_Scenarios!$A$7:$A$13,1)))),IF($D38="Central",IF(INDEX(Report_Scenarios!$A$18:$A$24,MIN(MATCH(MEDIAN($B38-Conversion!$B$15,2020,2050),Report_Scenarios!$A$18:$A$24,1)+1,7))=INDEX(Report_Scenarios!$A$18:$A$24,MATCH(MEDIAN($B38-Conversion!$B$15,2020,2050),Report_Scenarios!$A$18:$A$24,1)),INDEX(Report_Scenarios!$E$18:$E$24,MATCH(MEDIAN($B38-Conversion!$B$15,2020,2050),Report_Scenarios!$A$18:$A$24,1)),INDEX(Report_Scenarios!$E$18:$E$24,MATCH(MEDIAN($B38-Conversion!$B$15,2020,2050),Report_Scenarios!$A$18:$A$24,1))+(INDEX(Report_Scenarios!$E$18:$E$24,MIN(MATCH(MEDIAN($B38-Conversion!$B$15,2020,2050),Report_Scenarios!$A$18:$A$24,1)+1,7))-INDEX(Report_Scenarios!$E$18:$E$24,MATCH(MEDIAN($B38-Conversion!$B$15,2020,2050),Report_Scenarios!$A$18:$A$24,1)))*(MEDIAN($B38-Conversion!$B$15,2020,2050)-INDEX(Report_Scenarios!$A$18:$A$24,MATCH(MEDIAN($B38-Conversion!$B$15,2020,2050),Report_Scenarios!$A$18:$A$24,1)))/(INDEX(Report_Scenarios!$A$18:$A$24,MIN(MATCH(MEDIAN($B38-Conversion!$B$15,2020,2050),Report_Scenarios!$A$18:$A$24,1)+1,7))-INDEX(Report_Scenarios!$A$18:$A$24,MATCH(MEDIAN($B38-Conversion!$B$15,2020,2050),Report_Scenarios!$A$18:$A$24,1)))),IF(INDEX(Report_Scenarios!$A$29:$A$35,MIN(MATCH(MEDIAN($B38-Conversion!$B$15,2020,2050),Report_Scenarios!$A$29:$A$35,1)+1,7))=INDEX(Report_Scenarios!$A$29:$A$35,MATCH(MEDIAN($B38-Conversion!$B$15,2020,2050),Report_Scenarios!$A$29:$A$35,1)),INDEX(Report_Scenarios!$E$29:$E$35,MATCH(MEDIAN($B38-Conversion!$B$15,2020,2050),Report_Scenarios!$A$29:$A$35,1)),INDEX(Report_Scenarios!$E$29:$E$35,MATCH(MEDIAN($B38-Conversion!$B$15,2020,2050),Report_Scenarios!$A$29:$A$35,1))+(INDEX(Report_Scenarios!$E$29:$E$35,MIN(MATCH(MEDIAN($B38-Conversion!$B$15,2020,2050),Report_Scenarios!$A$29:$A$35,1)+1,7))-INDEX(Report_Scenarios!$E$29:$E$35,MATCH(MEDIAN($B38-Conversion!$B$15,2020,2050),Report_Scenarios!$A$29:$A$35,1)))*(MEDIAN($B38-Conversion!$B$15,2020,2050)-INDEX(Report_Scenarios!$A$29:$A$35,MATCH(MEDIAN($B38-Conversion!$B$15,2020,2050),Report_Scenarios!$A$29:$A$35,1)))/(INDEX(Report_Scenarios!$A$29:$A$35,MIN(MATCH(MEDIAN($B38-Conversion!$B$15,2020,2050),Report_Scenarios!$A$29:$A$35,1)+1,7))-INDEX(Report_Scenarios!$A$29:$A$35,MATCH(MEDIAN($B38-Conversion!$B$15,2020,2050),Report_Scenarios!$A$29:$A$35,1))))))</f>
        <v/>
      </c>
      <c r="I38" s="23">
        <f>IF($D38="Conservative",IF(INDEX(Report_Scenarios!$A$7:$A$13,MIN(MATCH(MEDIAN($B38-Conversion!$B$15,2020,2050),Report_Scenarios!$A$7:$A$13,1)+1,7))=INDEX(Report_Scenarios!$A$7:$A$13,MATCH(MEDIAN($B38-Conversion!$B$15,2020,2050),Report_Scenarios!$A$7:$A$13,1)),INDEX(Report_Scenarios!$F$7:$F$13,MATCH(MEDIAN($B38-Conversion!$B$15,2020,2050),Report_Scenarios!$A$7:$A$13,1)),INDEX(Report_Scenarios!$F$7:$F$13,MATCH(MEDIAN($B38-Conversion!$B$15,2020,2050),Report_Scenarios!$A$7:$A$13,1))+(INDEX(Report_Scenarios!$F$7:$F$13,MIN(MATCH(MEDIAN($B38-Conversion!$B$15,2020,2050),Report_Scenarios!$A$7:$A$13,1)+1,7))-INDEX(Report_Scenarios!$F$7:$F$13,MATCH(MEDIAN($B38-Conversion!$B$15,2020,2050),Report_Scenarios!$A$7:$A$13,1)))*(MEDIAN($B38-Conversion!$B$15,2020,2050)-INDEX(Report_Scenarios!$A$7:$A$13,MATCH(MEDIAN($B38-Conversion!$B$15,2020,2050),Report_Scenarios!$A$7:$A$13,1)))/(INDEX(Report_Scenarios!$A$7:$A$13,MIN(MATCH(MEDIAN($B38-Conversion!$B$15,2020,2050),Report_Scenarios!$A$7:$A$13,1)+1,7))-INDEX(Report_Scenarios!$A$7:$A$13,MATCH(MEDIAN($B38-Conversion!$B$15,2020,2050),Report_Scenarios!$A$7:$A$13,1)))),IF($D38="Central",IF(INDEX(Report_Scenarios!$A$18:$A$24,MIN(MATCH(MEDIAN($B38-Conversion!$B$15,2020,2050),Report_Scenarios!$A$18:$A$24,1)+1,7))=INDEX(Report_Scenarios!$A$18:$A$24,MATCH(MEDIAN($B38-Conversion!$B$15,2020,2050),Report_Scenarios!$A$18:$A$24,1)),INDEX(Report_Scenarios!$F$18:$F$24,MATCH(MEDIAN($B38-Conversion!$B$15,2020,2050),Report_Scenarios!$A$18:$A$24,1)),INDEX(Report_Scenarios!$F$18:$F$24,MATCH(MEDIAN($B38-Conversion!$B$15,2020,2050),Report_Scenarios!$A$18:$A$24,1))+(INDEX(Report_Scenarios!$F$18:$F$24,MIN(MATCH(MEDIAN($B38-Conversion!$B$15,2020,2050),Report_Scenarios!$A$18:$A$24,1)+1,7))-INDEX(Report_Scenarios!$F$18:$F$24,MATCH(MEDIAN($B38-Conversion!$B$15,2020,2050),Report_Scenarios!$A$18:$A$24,1)))*(MEDIAN($B38-Conversion!$B$15,2020,2050)-INDEX(Report_Scenarios!$A$18:$A$24,MATCH(MEDIAN($B38-Conversion!$B$15,2020,2050),Report_Scenarios!$A$18:$A$24,1)))/(INDEX(Report_Scenarios!$A$18:$A$24,MIN(MATCH(MEDIAN($B38-Conversion!$B$15,2020,2050),Report_Scenarios!$A$18:$A$24,1)+1,7))-INDEX(Report_Scenarios!$A$18:$A$24,MATCH(MEDIAN($B38-Conversion!$B$15,2020,2050),Report_Scenarios!$A$18:$A$24,1)))),IF(INDEX(Report_Scenarios!$A$29:$A$35,MIN(MATCH(MEDIAN($B38-Conversion!$B$15,2020,2050),Report_Scenarios!$A$29:$A$35,1)+1,7))=INDEX(Report_Scenarios!$A$29:$A$35,MATCH(MEDIAN($B38-Conversion!$B$15,2020,2050),Report_Scenarios!$A$29:$A$35,1)),INDEX(Report_Scenarios!$F$29:$F$35,MATCH(MEDIAN($B38-Conversion!$B$15,2020,2050),Report_Scenarios!$A$29:$A$35,1)),INDEX(Report_Scenarios!$F$29:$F$35,MATCH(MEDIAN($B38-Conversion!$B$15,2020,2050),Report_Scenarios!$A$29:$A$35,1))+(INDEX(Report_Scenarios!$F$29:$F$35,MIN(MATCH(MEDIAN($B38-Conversion!$B$15,2020,2050),Report_Scenarios!$A$29:$A$35,1)+1,7))-INDEX(Report_Scenarios!$F$29:$F$35,MATCH(MEDIAN($B38-Conversion!$B$15,2020,2050),Report_Scenarios!$A$29:$A$35,1)))*(MEDIAN($B38-Conversion!$B$15,2020,2050)-INDEX(Report_Scenarios!$A$29:$A$35,MATCH(MEDIAN($B38-Conversion!$B$15,2020,2050),Report_Scenarios!$A$29:$A$35,1)))/(INDEX(Report_Scenarios!$A$29:$A$35,MIN(MATCH(MEDIAN($B38-Conversion!$B$15,2020,2050),Report_Scenarios!$A$29:$A$35,1)+1,7))-INDEX(Report_Scenarios!$A$29:$A$35,MATCH(MEDIAN($B38-Conversion!$B$15,2020,2050),Report_Scenarios!$A$29:$A$35,1))))))</f>
        <v/>
      </c>
      <c r="J38" s="23">
        <f>IF($D38="Conservative",IF(INDEX(Report_Scenarios!$A$7:$A$13,MIN(MATCH(MEDIAN($B38-Conversion!$B$15,2020,2050),Report_Scenarios!$A$7:$A$13,1)+1,7))=INDEX(Report_Scenarios!$A$7:$A$13,MATCH(MEDIAN($B38-Conversion!$B$15,2020,2050),Report_Scenarios!$A$7:$A$13,1)),INDEX(Report_Scenarios!$G$7:$G$13,MATCH(MEDIAN($B38-Conversion!$B$15,2020,2050),Report_Scenarios!$A$7:$A$13,1)),INDEX(Report_Scenarios!$G$7:$G$13,MATCH(MEDIAN($B38-Conversion!$B$15,2020,2050),Report_Scenarios!$A$7:$A$13,1))+(INDEX(Report_Scenarios!$G$7:$G$13,MIN(MATCH(MEDIAN($B38-Conversion!$B$15,2020,2050),Report_Scenarios!$A$7:$A$13,1)+1,7))-INDEX(Report_Scenarios!$G$7:$G$13,MATCH(MEDIAN($B38-Conversion!$B$15,2020,2050),Report_Scenarios!$A$7:$A$13,1)))*(MEDIAN($B38-Conversion!$B$15,2020,2050)-INDEX(Report_Scenarios!$A$7:$A$13,MATCH(MEDIAN($B38-Conversion!$B$15,2020,2050),Report_Scenarios!$A$7:$A$13,1)))/(INDEX(Report_Scenarios!$A$7:$A$13,MIN(MATCH(MEDIAN($B38-Conversion!$B$15,2020,2050),Report_Scenarios!$A$7:$A$13,1)+1,7))-INDEX(Report_Scenarios!$A$7:$A$13,MATCH(MEDIAN($B38-Conversion!$B$15,2020,2050),Report_Scenarios!$A$7:$A$13,1)))),IF($D38="Central",IF(INDEX(Report_Scenarios!$A$18:$A$24,MIN(MATCH(MEDIAN($B38-Conversion!$B$15,2020,2050),Report_Scenarios!$A$18:$A$24,1)+1,7))=INDEX(Report_Scenarios!$A$18:$A$24,MATCH(MEDIAN($B38-Conversion!$B$15,2020,2050),Report_Scenarios!$A$18:$A$24,1)),INDEX(Report_Scenarios!$G$18:$G$24,MATCH(MEDIAN($B38-Conversion!$B$15,2020,2050),Report_Scenarios!$A$18:$A$24,1)),INDEX(Report_Scenarios!$G$18:$G$24,MATCH(MEDIAN($B38-Conversion!$B$15,2020,2050),Report_Scenarios!$A$18:$A$24,1))+(INDEX(Report_Scenarios!$G$18:$G$24,MIN(MATCH(MEDIAN($B38-Conversion!$B$15,2020,2050),Report_Scenarios!$A$18:$A$24,1)+1,7))-INDEX(Report_Scenarios!$G$18:$G$24,MATCH(MEDIAN($B38-Conversion!$B$15,2020,2050),Report_Scenarios!$A$18:$A$24,1)))*(MEDIAN($B38-Conversion!$B$15,2020,2050)-INDEX(Report_Scenarios!$A$18:$A$24,MATCH(MEDIAN($B38-Conversion!$B$15,2020,2050),Report_Scenarios!$A$18:$A$24,1)))/(INDEX(Report_Scenarios!$A$18:$A$24,MIN(MATCH(MEDIAN($B38-Conversion!$B$15,2020,2050),Report_Scenarios!$A$18:$A$24,1)+1,7))-INDEX(Report_Scenarios!$A$18:$A$24,MATCH(MEDIAN($B38-Conversion!$B$15,2020,2050),Report_Scenarios!$A$18:$A$24,1)))),IF(INDEX(Report_Scenarios!$A$29:$A$35,MIN(MATCH(MEDIAN($B38-Conversion!$B$15,2020,2050),Report_Scenarios!$A$29:$A$35,1)+1,7))=INDEX(Report_Scenarios!$A$29:$A$35,MATCH(MEDIAN($B38-Conversion!$B$15,2020,2050),Report_Scenarios!$A$29:$A$35,1)),INDEX(Report_Scenarios!$G$29:$G$35,MATCH(MEDIAN($B38-Conversion!$B$15,2020,2050),Report_Scenarios!$A$29:$A$35,1)),INDEX(Report_Scenarios!$G$29:$G$35,MATCH(MEDIAN($B38-Conversion!$B$15,2020,2050),Report_Scenarios!$A$29:$A$35,1))+(INDEX(Report_Scenarios!$G$29:$G$35,MIN(MATCH(MEDIAN($B38-Conversion!$B$15,2020,2050),Report_Scenarios!$A$29:$A$35,1)+1,7))-INDEX(Report_Scenarios!$G$29:$G$35,MATCH(MEDIAN($B38-Conversion!$B$15,2020,2050),Report_Scenarios!$A$29:$A$35,1)))*(MEDIAN($B38-Conversion!$B$15,2020,2050)-INDEX(Report_Scenarios!$A$29:$A$35,MATCH(MEDIAN($B38-Conversion!$B$15,2020,2050),Report_Scenarios!$A$29:$A$35,1)))/(INDEX(Report_Scenarios!$A$29:$A$35,MIN(MATCH(MEDIAN($B38-Conversion!$B$15,2020,2050),Report_Scenarios!$A$29:$A$35,1)+1,7))-INDEX(Report_Scenarios!$A$29:$A$35,MATCH(MEDIAN($B38-Conversion!$B$15,2020,2050),Report_Scenarios!$A$29:$A$35,1))))))</f>
        <v/>
      </c>
      <c r="K38" s="23">
        <f>SUM(E38:J38)</f>
        <v/>
      </c>
      <c r="L38" s="23">
        <f>IF(R38&lt;&gt;"",R38,IF($K38=0,0,E38/$K38))</f>
        <v/>
      </c>
      <c r="M38" s="23">
        <f>IF(S38&lt;&gt;"",S38,IF($K38=0,0,F38/$K38))</f>
        <v/>
      </c>
      <c r="N38" s="23">
        <f>IF(T38&lt;&gt;"",T38,IF($K38=0,0,G38/$K38))</f>
        <v/>
      </c>
      <c r="O38" s="23">
        <f>IF(U38&lt;&gt;"",U38,IF($K38=0,0,H38/$K38))</f>
        <v/>
      </c>
      <c r="P38" s="23">
        <f>IF(V38&lt;&gt;"",V38,IF($K38=0,0,I38/$K38))</f>
        <v/>
      </c>
      <c r="Q38" s="23">
        <f>IF(W38&lt;&gt;"",W38,IF($K38=0,0,J38/$K38))</f>
        <v/>
      </c>
      <c r="R38" s="24" t="n"/>
      <c r="S38" s="24" t="n"/>
      <c r="T38" s="24" t="n"/>
      <c r="U38" s="24" t="n"/>
      <c r="V38" s="24" t="n"/>
      <c r="W38" s="24" t="n"/>
    </row>
    <row r="39">
      <c r="A39" s="4" t="inlineStr">
        <is>
          <t>CD</t>
        </is>
      </c>
      <c r="B39" s="4" t="n">
        <v>2025</v>
      </c>
      <c r="C39" s="4" t="inlineStr">
        <is>
          <t>Share_Mode</t>
        </is>
      </c>
      <c r="D39" s="4">
        <f>Conversion!$B$19</f>
        <v/>
      </c>
      <c r="E39" s="23">
        <f>IF($D39="Conservative",IF(INDEX(Report_Scenarios!$A$7:$A$13,MIN(MATCH(MEDIAN($B39-Conversion!$B$15,2020,2050),Report_Scenarios!$A$7:$A$13,1)+1,7))=INDEX(Report_Scenarios!$A$7:$A$13,MATCH(MEDIAN($B39-Conversion!$B$15,2020,2050),Report_Scenarios!$A$7:$A$13,1)),INDEX(Report_Scenarios!$B$7:$B$13,MATCH(MEDIAN($B39-Conversion!$B$15,2020,2050),Report_Scenarios!$A$7:$A$13,1)),INDEX(Report_Scenarios!$B$7:$B$13,MATCH(MEDIAN($B39-Conversion!$B$15,2020,2050),Report_Scenarios!$A$7:$A$13,1))+(INDEX(Report_Scenarios!$B$7:$B$13,MIN(MATCH(MEDIAN($B39-Conversion!$B$15,2020,2050),Report_Scenarios!$A$7:$A$13,1)+1,7))-INDEX(Report_Scenarios!$B$7:$B$13,MATCH(MEDIAN($B39-Conversion!$B$15,2020,2050),Report_Scenarios!$A$7:$A$13,1)))*(MEDIAN($B39-Conversion!$B$15,2020,2050)-INDEX(Report_Scenarios!$A$7:$A$13,MATCH(MEDIAN($B39-Conversion!$B$15,2020,2050),Report_Scenarios!$A$7:$A$13,1)))/(INDEX(Report_Scenarios!$A$7:$A$13,MIN(MATCH(MEDIAN($B39-Conversion!$B$15,2020,2050),Report_Scenarios!$A$7:$A$13,1)+1,7))-INDEX(Report_Scenarios!$A$7:$A$13,MATCH(MEDIAN($B39-Conversion!$B$15,2020,2050),Report_Scenarios!$A$7:$A$13,1)))),IF($D39="Central",IF(INDEX(Report_Scenarios!$A$18:$A$24,MIN(MATCH(MEDIAN($B39-Conversion!$B$15,2020,2050),Report_Scenarios!$A$18:$A$24,1)+1,7))=INDEX(Report_Scenarios!$A$18:$A$24,MATCH(MEDIAN($B39-Conversion!$B$15,2020,2050),Report_Scenarios!$A$18:$A$24,1)),INDEX(Report_Scenarios!$B$18:$B$24,MATCH(MEDIAN($B39-Conversion!$B$15,2020,2050),Report_Scenarios!$A$18:$A$24,1)),INDEX(Report_Scenarios!$B$18:$B$24,MATCH(MEDIAN($B39-Conversion!$B$15,2020,2050),Report_Scenarios!$A$18:$A$24,1))+(INDEX(Report_Scenarios!$B$18:$B$24,MIN(MATCH(MEDIAN($B39-Conversion!$B$15,2020,2050),Report_Scenarios!$A$18:$A$24,1)+1,7))-INDEX(Report_Scenarios!$B$18:$B$24,MATCH(MEDIAN($B39-Conversion!$B$15,2020,2050),Report_Scenarios!$A$18:$A$24,1)))*(MEDIAN($B39-Conversion!$B$15,2020,2050)-INDEX(Report_Scenarios!$A$18:$A$24,MATCH(MEDIAN($B39-Conversion!$B$15,2020,2050),Report_Scenarios!$A$18:$A$24,1)))/(INDEX(Report_Scenarios!$A$18:$A$24,MIN(MATCH(MEDIAN($B39-Conversion!$B$15,2020,2050),Report_Scenarios!$A$18:$A$24,1)+1,7))-INDEX(Report_Scenarios!$A$18:$A$24,MATCH(MEDIAN($B39-Conversion!$B$15,2020,2050),Report_Scenarios!$A$18:$A$24,1)))),IF(INDEX(Report_Scenarios!$A$29:$A$35,MIN(MATCH(MEDIAN($B39-Conversion!$B$15,2020,2050),Report_Scenarios!$A$29:$A$35,1)+1,7))=INDEX(Report_Scenarios!$A$29:$A$35,MATCH(MEDIAN($B39-Conversion!$B$15,2020,2050),Report_Scenarios!$A$29:$A$35,1)),INDEX(Report_Scenarios!$B$29:$B$35,MATCH(MEDIAN($B39-Conversion!$B$15,2020,2050),Report_Scenarios!$A$29:$A$35,1)),INDEX(Report_Scenarios!$B$29:$B$35,MATCH(MEDIAN($B39-Conversion!$B$15,2020,2050),Report_Scenarios!$A$29:$A$35,1))+(INDEX(Report_Scenarios!$B$29:$B$35,MIN(MATCH(MEDIAN($B39-Conversion!$B$15,2020,2050),Report_Scenarios!$A$29:$A$35,1)+1,7))-INDEX(Report_Scenarios!$B$29:$B$35,MATCH(MEDIAN($B39-Conversion!$B$15,2020,2050),Report_Scenarios!$A$29:$A$35,1)))*(MEDIAN($B39-Conversion!$B$15,2020,2050)-INDEX(Report_Scenarios!$A$29:$A$35,MATCH(MEDIAN($B39-Conversion!$B$15,2020,2050),Report_Scenarios!$A$29:$A$35,1)))/(INDEX(Report_Scenarios!$A$29:$A$35,MIN(MATCH(MEDIAN($B39-Conversion!$B$15,2020,2050),Report_Scenarios!$A$29:$A$35,1)+1,7))-INDEX(Report_Scenarios!$A$29:$A$35,MATCH(MEDIAN($B39-Conversion!$B$15,2020,2050),Report_Scenarios!$A$29:$A$35,1))))))</f>
        <v/>
      </c>
      <c r="F39" s="23">
        <f>IF($D39="Conservative",IF(INDEX(Report_Scenarios!$A$7:$A$13,MIN(MATCH(MEDIAN($B39-Conversion!$B$15,2020,2050),Report_Scenarios!$A$7:$A$13,1)+1,7))=INDEX(Report_Scenarios!$A$7:$A$13,MATCH(MEDIAN($B39-Conversion!$B$15,2020,2050),Report_Scenarios!$A$7:$A$13,1)),INDEX(Report_Scenarios!$C$7:$C$13,MATCH(MEDIAN($B39-Conversion!$B$15,2020,2050),Report_Scenarios!$A$7:$A$13,1)),INDEX(Report_Scenarios!$C$7:$C$13,MATCH(MEDIAN($B39-Conversion!$B$15,2020,2050),Report_Scenarios!$A$7:$A$13,1))+(INDEX(Report_Scenarios!$C$7:$C$13,MIN(MATCH(MEDIAN($B39-Conversion!$B$15,2020,2050),Report_Scenarios!$A$7:$A$13,1)+1,7))-INDEX(Report_Scenarios!$C$7:$C$13,MATCH(MEDIAN($B39-Conversion!$B$15,2020,2050),Report_Scenarios!$A$7:$A$13,1)))*(MEDIAN($B39-Conversion!$B$15,2020,2050)-INDEX(Report_Scenarios!$A$7:$A$13,MATCH(MEDIAN($B39-Conversion!$B$15,2020,2050),Report_Scenarios!$A$7:$A$13,1)))/(INDEX(Report_Scenarios!$A$7:$A$13,MIN(MATCH(MEDIAN($B39-Conversion!$B$15,2020,2050),Report_Scenarios!$A$7:$A$13,1)+1,7))-INDEX(Report_Scenarios!$A$7:$A$13,MATCH(MEDIAN($B39-Conversion!$B$15,2020,2050),Report_Scenarios!$A$7:$A$13,1)))),IF($D39="Central",IF(INDEX(Report_Scenarios!$A$18:$A$24,MIN(MATCH(MEDIAN($B39-Conversion!$B$15,2020,2050),Report_Scenarios!$A$18:$A$24,1)+1,7))=INDEX(Report_Scenarios!$A$18:$A$24,MATCH(MEDIAN($B39-Conversion!$B$15,2020,2050),Report_Scenarios!$A$18:$A$24,1)),INDEX(Report_Scenarios!$C$18:$C$24,MATCH(MEDIAN($B39-Conversion!$B$15,2020,2050),Report_Scenarios!$A$18:$A$24,1)),INDEX(Report_Scenarios!$C$18:$C$24,MATCH(MEDIAN($B39-Conversion!$B$15,2020,2050),Report_Scenarios!$A$18:$A$24,1))+(INDEX(Report_Scenarios!$C$18:$C$24,MIN(MATCH(MEDIAN($B39-Conversion!$B$15,2020,2050),Report_Scenarios!$A$18:$A$24,1)+1,7))-INDEX(Report_Scenarios!$C$18:$C$24,MATCH(MEDIAN($B39-Conversion!$B$15,2020,2050),Report_Scenarios!$A$18:$A$24,1)))*(MEDIAN($B39-Conversion!$B$15,2020,2050)-INDEX(Report_Scenarios!$A$18:$A$24,MATCH(MEDIAN($B39-Conversion!$B$15,2020,2050),Report_Scenarios!$A$18:$A$24,1)))/(INDEX(Report_Scenarios!$A$18:$A$24,MIN(MATCH(MEDIAN($B39-Conversion!$B$15,2020,2050),Report_Scenarios!$A$18:$A$24,1)+1,7))-INDEX(Report_Scenarios!$A$18:$A$24,MATCH(MEDIAN($B39-Conversion!$B$15,2020,2050),Report_Scenarios!$A$18:$A$24,1)))),IF(INDEX(Report_Scenarios!$A$29:$A$35,MIN(MATCH(MEDIAN($B39-Conversion!$B$15,2020,2050),Report_Scenarios!$A$29:$A$35,1)+1,7))=INDEX(Report_Scenarios!$A$29:$A$35,MATCH(MEDIAN($B39-Conversion!$B$15,2020,2050),Report_Scenarios!$A$29:$A$35,1)),INDEX(Report_Scenarios!$C$29:$C$35,MATCH(MEDIAN($B39-Conversion!$B$15,2020,2050),Report_Scenarios!$A$29:$A$35,1)),INDEX(Report_Scenarios!$C$29:$C$35,MATCH(MEDIAN($B39-Conversion!$B$15,2020,2050),Report_Scenarios!$A$29:$A$35,1))+(INDEX(Report_Scenarios!$C$29:$C$35,MIN(MATCH(MEDIAN($B39-Conversion!$B$15,2020,2050),Report_Scenarios!$A$29:$A$35,1)+1,7))-INDEX(Report_Scenarios!$C$29:$C$35,MATCH(MEDIAN($B39-Conversion!$B$15,2020,2050),Report_Scenarios!$A$29:$A$35,1)))*(MEDIAN($B39-Conversion!$B$15,2020,2050)-INDEX(Report_Scenarios!$A$29:$A$35,MATCH(MEDIAN($B39-Conversion!$B$15,2020,2050),Report_Scenarios!$A$29:$A$35,1)))/(INDEX(Report_Scenarios!$A$29:$A$35,MIN(MATCH(MEDIAN($B39-Conversion!$B$15,2020,2050),Report_Scenarios!$A$29:$A$35,1)+1,7))-INDEX(Report_Scenarios!$A$29:$A$35,MATCH(MEDIAN($B39-Conversion!$B$15,2020,2050),Report_Scenarios!$A$29:$A$35,1))))))</f>
        <v/>
      </c>
      <c r="G39" s="23">
        <f>IF($D39="Conservative",IF(INDEX(Report_Scenarios!$A$7:$A$13,MIN(MATCH(MEDIAN($B39-Conversion!$B$15,2020,2050),Report_Scenarios!$A$7:$A$13,1)+1,7))=INDEX(Report_Scenarios!$A$7:$A$13,MATCH(MEDIAN($B39-Conversion!$B$15,2020,2050),Report_Scenarios!$A$7:$A$13,1)),INDEX(Report_Scenarios!$D$7:$D$13,MATCH(MEDIAN($B39-Conversion!$B$15,2020,2050),Report_Scenarios!$A$7:$A$13,1)),INDEX(Report_Scenarios!$D$7:$D$13,MATCH(MEDIAN($B39-Conversion!$B$15,2020,2050),Report_Scenarios!$A$7:$A$13,1))+(INDEX(Report_Scenarios!$D$7:$D$13,MIN(MATCH(MEDIAN($B39-Conversion!$B$15,2020,2050),Report_Scenarios!$A$7:$A$13,1)+1,7))-INDEX(Report_Scenarios!$D$7:$D$13,MATCH(MEDIAN($B39-Conversion!$B$15,2020,2050),Report_Scenarios!$A$7:$A$13,1)))*(MEDIAN($B39-Conversion!$B$15,2020,2050)-INDEX(Report_Scenarios!$A$7:$A$13,MATCH(MEDIAN($B39-Conversion!$B$15,2020,2050),Report_Scenarios!$A$7:$A$13,1)))/(INDEX(Report_Scenarios!$A$7:$A$13,MIN(MATCH(MEDIAN($B39-Conversion!$B$15,2020,2050),Report_Scenarios!$A$7:$A$13,1)+1,7))-INDEX(Report_Scenarios!$A$7:$A$13,MATCH(MEDIAN($B39-Conversion!$B$15,2020,2050),Report_Scenarios!$A$7:$A$13,1)))),IF($D39="Central",IF(INDEX(Report_Scenarios!$A$18:$A$24,MIN(MATCH(MEDIAN($B39-Conversion!$B$15,2020,2050),Report_Scenarios!$A$18:$A$24,1)+1,7))=INDEX(Report_Scenarios!$A$18:$A$24,MATCH(MEDIAN($B39-Conversion!$B$15,2020,2050),Report_Scenarios!$A$18:$A$24,1)),INDEX(Report_Scenarios!$D$18:$D$24,MATCH(MEDIAN($B39-Conversion!$B$15,2020,2050),Report_Scenarios!$A$18:$A$24,1)),INDEX(Report_Scenarios!$D$18:$D$24,MATCH(MEDIAN($B39-Conversion!$B$15,2020,2050),Report_Scenarios!$A$18:$A$24,1))+(INDEX(Report_Scenarios!$D$18:$D$24,MIN(MATCH(MEDIAN($B39-Conversion!$B$15,2020,2050),Report_Scenarios!$A$18:$A$24,1)+1,7))-INDEX(Report_Scenarios!$D$18:$D$24,MATCH(MEDIAN($B39-Conversion!$B$15,2020,2050),Report_Scenarios!$A$18:$A$24,1)))*(MEDIAN($B39-Conversion!$B$15,2020,2050)-INDEX(Report_Scenarios!$A$18:$A$24,MATCH(MEDIAN($B39-Conversion!$B$15,2020,2050),Report_Scenarios!$A$18:$A$24,1)))/(INDEX(Report_Scenarios!$A$18:$A$24,MIN(MATCH(MEDIAN($B39-Conversion!$B$15,2020,2050),Report_Scenarios!$A$18:$A$24,1)+1,7))-INDEX(Report_Scenarios!$A$18:$A$24,MATCH(MEDIAN($B39-Conversion!$B$15,2020,2050),Report_Scenarios!$A$18:$A$24,1)))),IF(INDEX(Report_Scenarios!$A$29:$A$35,MIN(MATCH(MEDIAN($B39-Conversion!$B$15,2020,2050),Report_Scenarios!$A$29:$A$35,1)+1,7))=INDEX(Report_Scenarios!$A$29:$A$35,MATCH(MEDIAN($B39-Conversion!$B$15,2020,2050),Report_Scenarios!$A$29:$A$35,1)),INDEX(Report_Scenarios!$D$29:$D$35,MATCH(MEDIAN($B39-Conversion!$B$15,2020,2050),Report_Scenarios!$A$29:$A$35,1)),INDEX(Report_Scenarios!$D$29:$D$35,MATCH(MEDIAN($B39-Conversion!$B$15,2020,2050),Report_Scenarios!$A$29:$A$35,1))+(INDEX(Report_Scenarios!$D$29:$D$35,MIN(MATCH(MEDIAN($B39-Conversion!$B$15,2020,2050),Report_Scenarios!$A$29:$A$35,1)+1,7))-INDEX(Report_Scenarios!$D$29:$D$35,MATCH(MEDIAN($B39-Conversion!$B$15,2020,2050),Report_Scenarios!$A$29:$A$35,1)))*(MEDIAN($B39-Conversion!$B$15,2020,2050)-INDEX(Report_Scenarios!$A$29:$A$35,MATCH(MEDIAN($B39-Conversion!$B$15,2020,2050),Report_Scenarios!$A$29:$A$35,1)))/(INDEX(Report_Scenarios!$A$29:$A$35,MIN(MATCH(MEDIAN($B39-Conversion!$B$15,2020,2050),Report_Scenarios!$A$29:$A$35,1)+1,7))-INDEX(Report_Scenarios!$A$29:$A$35,MATCH(MEDIAN($B39-Conversion!$B$15,2020,2050),Report_Scenarios!$A$29:$A$35,1))))))</f>
        <v/>
      </c>
      <c r="H39" s="23">
        <f>IF($D39="Conservative",IF(INDEX(Report_Scenarios!$A$7:$A$13,MIN(MATCH(MEDIAN($B39-Conversion!$B$15,2020,2050),Report_Scenarios!$A$7:$A$13,1)+1,7))=INDEX(Report_Scenarios!$A$7:$A$13,MATCH(MEDIAN($B39-Conversion!$B$15,2020,2050),Report_Scenarios!$A$7:$A$13,1)),INDEX(Report_Scenarios!$E$7:$E$13,MATCH(MEDIAN($B39-Conversion!$B$15,2020,2050),Report_Scenarios!$A$7:$A$13,1)),INDEX(Report_Scenarios!$E$7:$E$13,MATCH(MEDIAN($B39-Conversion!$B$15,2020,2050),Report_Scenarios!$A$7:$A$13,1))+(INDEX(Report_Scenarios!$E$7:$E$13,MIN(MATCH(MEDIAN($B39-Conversion!$B$15,2020,2050),Report_Scenarios!$A$7:$A$13,1)+1,7))-INDEX(Report_Scenarios!$E$7:$E$13,MATCH(MEDIAN($B39-Conversion!$B$15,2020,2050),Report_Scenarios!$A$7:$A$13,1)))*(MEDIAN($B39-Conversion!$B$15,2020,2050)-INDEX(Report_Scenarios!$A$7:$A$13,MATCH(MEDIAN($B39-Conversion!$B$15,2020,2050),Report_Scenarios!$A$7:$A$13,1)))/(INDEX(Report_Scenarios!$A$7:$A$13,MIN(MATCH(MEDIAN($B39-Conversion!$B$15,2020,2050),Report_Scenarios!$A$7:$A$13,1)+1,7))-INDEX(Report_Scenarios!$A$7:$A$13,MATCH(MEDIAN($B39-Conversion!$B$15,2020,2050),Report_Scenarios!$A$7:$A$13,1)))),IF($D39="Central",IF(INDEX(Report_Scenarios!$A$18:$A$24,MIN(MATCH(MEDIAN($B39-Conversion!$B$15,2020,2050),Report_Scenarios!$A$18:$A$24,1)+1,7))=INDEX(Report_Scenarios!$A$18:$A$24,MATCH(MEDIAN($B39-Conversion!$B$15,2020,2050),Report_Scenarios!$A$18:$A$24,1)),INDEX(Report_Scenarios!$E$18:$E$24,MATCH(MEDIAN($B39-Conversion!$B$15,2020,2050),Report_Scenarios!$A$18:$A$24,1)),INDEX(Report_Scenarios!$E$18:$E$24,MATCH(MEDIAN($B39-Conversion!$B$15,2020,2050),Report_Scenarios!$A$18:$A$24,1))+(INDEX(Report_Scenarios!$E$18:$E$24,MIN(MATCH(MEDIAN($B39-Conversion!$B$15,2020,2050),Report_Scenarios!$A$18:$A$24,1)+1,7))-INDEX(Report_Scenarios!$E$18:$E$24,MATCH(MEDIAN($B39-Conversion!$B$15,2020,2050),Report_Scenarios!$A$18:$A$24,1)))*(MEDIAN($B39-Conversion!$B$15,2020,2050)-INDEX(Report_Scenarios!$A$18:$A$24,MATCH(MEDIAN($B39-Conversion!$B$15,2020,2050),Report_Scenarios!$A$18:$A$24,1)))/(INDEX(Report_Scenarios!$A$18:$A$24,MIN(MATCH(MEDIAN($B39-Conversion!$B$15,2020,2050),Report_Scenarios!$A$18:$A$24,1)+1,7))-INDEX(Report_Scenarios!$A$18:$A$24,MATCH(MEDIAN($B39-Conversion!$B$15,2020,2050),Report_Scenarios!$A$18:$A$24,1)))),IF(INDEX(Report_Scenarios!$A$29:$A$35,MIN(MATCH(MEDIAN($B39-Conversion!$B$15,2020,2050),Report_Scenarios!$A$29:$A$35,1)+1,7))=INDEX(Report_Scenarios!$A$29:$A$35,MATCH(MEDIAN($B39-Conversion!$B$15,2020,2050),Report_Scenarios!$A$29:$A$35,1)),INDEX(Report_Scenarios!$E$29:$E$35,MATCH(MEDIAN($B39-Conversion!$B$15,2020,2050),Report_Scenarios!$A$29:$A$35,1)),INDEX(Report_Scenarios!$E$29:$E$35,MATCH(MEDIAN($B39-Conversion!$B$15,2020,2050),Report_Scenarios!$A$29:$A$35,1))+(INDEX(Report_Scenarios!$E$29:$E$35,MIN(MATCH(MEDIAN($B39-Conversion!$B$15,2020,2050),Report_Scenarios!$A$29:$A$35,1)+1,7))-INDEX(Report_Scenarios!$E$29:$E$35,MATCH(MEDIAN($B39-Conversion!$B$15,2020,2050),Report_Scenarios!$A$29:$A$35,1)))*(MEDIAN($B39-Conversion!$B$15,2020,2050)-INDEX(Report_Scenarios!$A$29:$A$35,MATCH(MEDIAN($B39-Conversion!$B$15,2020,2050),Report_Scenarios!$A$29:$A$35,1)))/(INDEX(Report_Scenarios!$A$29:$A$35,MIN(MATCH(MEDIAN($B39-Conversion!$B$15,2020,2050),Report_Scenarios!$A$29:$A$35,1)+1,7))-INDEX(Report_Scenarios!$A$29:$A$35,MATCH(MEDIAN($B39-Conversion!$B$15,2020,2050),Report_Scenarios!$A$29:$A$35,1))))))</f>
        <v/>
      </c>
      <c r="I39" s="23">
        <f>IF($D39="Conservative",IF(INDEX(Report_Scenarios!$A$7:$A$13,MIN(MATCH(MEDIAN($B39-Conversion!$B$15,2020,2050),Report_Scenarios!$A$7:$A$13,1)+1,7))=INDEX(Report_Scenarios!$A$7:$A$13,MATCH(MEDIAN($B39-Conversion!$B$15,2020,2050),Report_Scenarios!$A$7:$A$13,1)),INDEX(Report_Scenarios!$F$7:$F$13,MATCH(MEDIAN($B39-Conversion!$B$15,2020,2050),Report_Scenarios!$A$7:$A$13,1)),INDEX(Report_Scenarios!$F$7:$F$13,MATCH(MEDIAN($B39-Conversion!$B$15,2020,2050),Report_Scenarios!$A$7:$A$13,1))+(INDEX(Report_Scenarios!$F$7:$F$13,MIN(MATCH(MEDIAN($B39-Conversion!$B$15,2020,2050),Report_Scenarios!$A$7:$A$13,1)+1,7))-INDEX(Report_Scenarios!$F$7:$F$13,MATCH(MEDIAN($B39-Conversion!$B$15,2020,2050),Report_Scenarios!$A$7:$A$13,1)))*(MEDIAN($B39-Conversion!$B$15,2020,2050)-INDEX(Report_Scenarios!$A$7:$A$13,MATCH(MEDIAN($B39-Conversion!$B$15,2020,2050),Report_Scenarios!$A$7:$A$13,1)))/(INDEX(Report_Scenarios!$A$7:$A$13,MIN(MATCH(MEDIAN($B39-Conversion!$B$15,2020,2050),Report_Scenarios!$A$7:$A$13,1)+1,7))-INDEX(Report_Scenarios!$A$7:$A$13,MATCH(MEDIAN($B39-Conversion!$B$15,2020,2050),Report_Scenarios!$A$7:$A$13,1)))),IF($D39="Central",IF(INDEX(Report_Scenarios!$A$18:$A$24,MIN(MATCH(MEDIAN($B39-Conversion!$B$15,2020,2050),Report_Scenarios!$A$18:$A$24,1)+1,7))=INDEX(Report_Scenarios!$A$18:$A$24,MATCH(MEDIAN($B39-Conversion!$B$15,2020,2050),Report_Scenarios!$A$18:$A$24,1)),INDEX(Report_Scenarios!$F$18:$F$24,MATCH(MEDIAN($B39-Conversion!$B$15,2020,2050),Report_Scenarios!$A$18:$A$24,1)),INDEX(Report_Scenarios!$F$18:$F$24,MATCH(MEDIAN($B39-Conversion!$B$15,2020,2050),Report_Scenarios!$A$18:$A$24,1))+(INDEX(Report_Scenarios!$F$18:$F$24,MIN(MATCH(MEDIAN($B39-Conversion!$B$15,2020,2050),Report_Scenarios!$A$18:$A$24,1)+1,7))-INDEX(Report_Scenarios!$F$18:$F$24,MATCH(MEDIAN($B39-Conversion!$B$15,2020,2050),Report_Scenarios!$A$18:$A$24,1)))*(MEDIAN($B39-Conversion!$B$15,2020,2050)-INDEX(Report_Scenarios!$A$18:$A$24,MATCH(MEDIAN($B39-Conversion!$B$15,2020,2050),Report_Scenarios!$A$18:$A$24,1)))/(INDEX(Report_Scenarios!$A$18:$A$24,MIN(MATCH(MEDIAN($B39-Conversion!$B$15,2020,2050),Report_Scenarios!$A$18:$A$24,1)+1,7))-INDEX(Report_Scenarios!$A$18:$A$24,MATCH(MEDIAN($B39-Conversion!$B$15,2020,2050),Report_Scenarios!$A$18:$A$24,1)))),IF(INDEX(Report_Scenarios!$A$29:$A$35,MIN(MATCH(MEDIAN($B39-Conversion!$B$15,2020,2050),Report_Scenarios!$A$29:$A$35,1)+1,7))=INDEX(Report_Scenarios!$A$29:$A$35,MATCH(MEDIAN($B39-Conversion!$B$15,2020,2050),Report_Scenarios!$A$29:$A$35,1)),INDEX(Report_Scenarios!$F$29:$F$35,MATCH(MEDIAN($B39-Conversion!$B$15,2020,2050),Report_Scenarios!$A$29:$A$35,1)),INDEX(Report_Scenarios!$F$29:$F$35,MATCH(MEDIAN($B39-Conversion!$B$15,2020,2050),Report_Scenarios!$A$29:$A$35,1))+(INDEX(Report_Scenarios!$F$29:$F$35,MIN(MATCH(MEDIAN($B39-Conversion!$B$15,2020,2050),Report_Scenarios!$A$29:$A$35,1)+1,7))-INDEX(Report_Scenarios!$F$29:$F$35,MATCH(MEDIAN($B39-Conversion!$B$15,2020,2050),Report_Scenarios!$A$29:$A$35,1)))*(MEDIAN($B39-Conversion!$B$15,2020,2050)-INDEX(Report_Scenarios!$A$29:$A$35,MATCH(MEDIAN($B39-Conversion!$B$15,2020,2050),Report_Scenarios!$A$29:$A$35,1)))/(INDEX(Report_Scenarios!$A$29:$A$35,MIN(MATCH(MEDIAN($B39-Conversion!$B$15,2020,2050),Report_Scenarios!$A$29:$A$35,1)+1,7))-INDEX(Report_Scenarios!$A$29:$A$35,MATCH(MEDIAN($B39-Conversion!$B$15,2020,2050),Report_Scenarios!$A$29:$A$35,1))))))</f>
        <v/>
      </c>
      <c r="J39" s="23">
        <f>IF($D39="Conservative",IF(INDEX(Report_Scenarios!$A$7:$A$13,MIN(MATCH(MEDIAN($B39-Conversion!$B$15,2020,2050),Report_Scenarios!$A$7:$A$13,1)+1,7))=INDEX(Report_Scenarios!$A$7:$A$13,MATCH(MEDIAN($B39-Conversion!$B$15,2020,2050),Report_Scenarios!$A$7:$A$13,1)),INDEX(Report_Scenarios!$G$7:$G$13,MATCH(MEDIAN($B39-Conversion!$B$15,2020,2050),Report_Scenarios!$A$7:$A$13,1)),INDEX(Report_Scenarios!$G$7:$G$13,MATCH(MEDIAN($B39-Conversion!$B$15,2020,2050),Report_Scenarios!$A$7:$A$13,1))+(INDEX(Report_Scenarios!$G$7:$G$13,MIN(MATCH(MEDIAN($B39-Conversion!$B$15,2020,2050),Report_Scenarios!$A$7:$A$13,1)+1,7))-INDEX(Report_Scenarios!$G$7:$G$13,MATCH(MEDIAN($B39-Conversion!$B$15,2020,2050),Report_Scenarios!$A$7:$A$13,1)))*(MEDIAN($B39-Conversion!$B$15,2020,2050)-INDEX(Report_Scenarios!$A$7:$A$13,MATCH(MEDIAN($B39-Conversion!$B$15,2020,2050),Report_Scenarios!$A$7:$A$13,1)))/(INDEX(Report_Scenarios!$A$7:$A$13,MIN(MATCH(MEDIAN($B39-Conversion!$B$15,2020,2050),Report_Scenarios!$A$7:$A$13,1)+1,7))-INDEX(Report_Scenarios!$A$7:$A$13,MATCH(MEDIAN($B39-Conversion!$B$15,2020,2050),Report_Scenarios!$A$7:$A$13,1)))),IF($D39="Central",IF(INDEX(Report_Scenarios!$A$18:$A$24,MIN(MATCH(MEDIAN($B39-Conversion!$B$15,2020,2050),Report_Scenarios!$A$18:$A$24,1)+1,7))=INDEX(Report_Scenarios!$A$18:$A$24,MATCH(MEDIAN($B39-Conversion!$B$15,2020,2050),Report_Scenarios!$A$18:$A$24,1)),INDEX(Report_Scenarios!$G$18:$G$24,MATCH(MEDIAN($B39-Conversion!$B$15,2020,2050),Report_Scenarios!$A$18:$A$24,1)),INDEX(Report_Scenarios!$G$18:$G$24,MATCH(MEDIAN($B39-Conversion!$B$15,2020,2050),Report_Scenarios!$A$18:$A$24,1))+(INDEX(Report_Scenarios!$G$18:$G$24,MIN(MATCH(MEDIAN($B39-Conversion!$B$15,2020,2050),Report_Scenarios!$A$18:$A$24,1)+1,7))-INDEX(Report_Scenarios!$G$18:$G$24,MATCH(MEDIAN($B39-Conversion!$B$15,2020,2050),Report_Scenarios!$A$18:$A$24,1)))*(MEDIAN($B39-Conversion!$B$15,2020,2050)-INDEX(Report_Scenarios!$A$18:$A$24,MATCH(MEDIAN($B39-Conversion!$B$15,2020,2050),Report_Scenarios!$A$18:$A$24,1)))/(INDEX(Report_Scenarios!$A$18:$A$24,MIN(MATCH(MEDIAN($B39-Conversion!$B$15,2020,2050),Report_Scenarios!$A$18:$A$24,1)+1,7))-INDEX(Report_Scenarios!$A$18:$A$24,MATCH(MEDIAN($B39-Conversion!$B$15,2020,2050),Report_Scenarios!$A$18:$A$24,1)))),IF(INDEX(Report_Scenarios!$A$29:$A$35,MIN(MATCH(MEDIAN($B39-Conversion!$B$15,2020,2050),Report_Scenarios!$A$29:$A$35,1)+1,7))=INDEX(Report_Scenarios!$A$29:$A$35,MATCH(MEDIAN($B39-Conversion!$B$15,2020,2050),Report_Scenarios!$A$29:$A$35,1)),INDEX(Report_Scenarios!$G$29:$G$35,MATCH(MEDIAN($B39-Conversion!$B$15,2020,2050),Report_Scenarios!$A$29:$A$35,1)),INDEX(Report_Scenarios!$G$29:$G$35,MATCH(MEDIAN($B39-Conversion!$B$15,2020,2050),Report_Scenarios!$A$29:$A$35,1))+(INDEX(Report_Scenarios!$G$29:$G$35,MIN(MATCH(MEDIAN($B39-Conversion!$B$15,2020,2050),Report_Scenarios!$A$29:$A$35,1)+1,7))-INDEX(Report_Scenarios!$G$29:$G$35,MATCH(MEDIAN($B39-Conversion!$B$15,2020,2050),Report_Scenarios!$A$29:$A$35,1)))*(MEDIAN($B39-Conversion!$B$15,2020,2050)-INDEX(Report_Scenarios!$A$29:$A$35,MATCH(MEDIAN($B39-Conversion!$B$15,2020,2050),Report_Scenarios!$A$29:$A$35,1)))/(INDEX(Report_Scenarios!$A$29:$A$35,MIN(MATCH(MEDIAN($B39-Conversion!$B$15,2020,2050),Report_Scenarios!$A$29:$A$35,1)+1,7))-INDEX(Report_Scenarios!$A$29:$A$35,MATCH(MEDIAN($B39-Conversion!$B$15,2020,2050),Report_Scenarios!$A$29:$A$35,1))))))</f>
        <v/>
      </c>
      <c r="K39" s="23">
        <f>SUM(E39:J39)</f>
        <v/>
      </c>
      <c r="L39" s="23">
        <f>IF(R39&lt;&gt;"",R39,IF($K39=0,0,E39/$K39))</f>
        <v/>
      </c>
      <c r="M39" s="23">
        <f>IF(S39&lt;&gt;"",S39,IF($K39=0,0,F39/$K39))</f>
        <v/>
      </c>
      <c r="N39" s="23">
        <f>IF(T39&lt;&gt;"",T39,IF($K39=0,0,G39/$K39))</f>
        <v/>
      </c>
      <c r="O39" s="23">
        <f>IF(U39&lt;&gt;"",U39,IF($K39=0,0,H39/$K39))</f>
        <v/>
      </c>
      <c r="P39" s="23">
        <f>IF(V39&lt;&gt;"",V39,IF($K39=0,0,I39/$K39))</f>
        <v/>
      </c>
      <c r="Q39" s="23">
        <f>IF(W39&lt;&gt;"",W39,IF($K39=0,0,J39/$K39))</f>
        <v/>
      </c>
      <c r="R39" s="24" t="n"/>
      <c r="S39" s="24" t="n"/>
      <c r="T39" s="24" t="n"/>
      <c r="U39" s="24" t="n"/>
      <c r="V39" s="24" t="n"/>
      <c r="W39" s="24" t="n"/>
    </row>
    <row r="40">
      <c r="A40" s="4" t="inlineStr">
        <is>
          <t>CD</t>
        </is>
      </c>
      <c r="B40" s="4" t="n">
        <v>2025</v>
      </c>
      <c r="C40" s="4" t="inlineStr">
        <is>
          <t>Share_Max</t>
        </is>
      </c>
      <c r="D40" s="4">
        <f>Conversion!$B$20</f>
        <v/>
      </c>
      <c r="E40" s="23">
        <f>IF($D40="Conservative",IF(INDEX(Report_Scenarios!$A$7:$A$13,MIN(MATCH(MEDIAN($B40-Conversion!$B$15,2020,2050),Report_Scenarios!$A$7:$A$13,1)+1,7))=INDEX(Report_Scenarios!$A$7:$A$13,MATCH(MEDIAN($B40-Conversion!$B$15,2020,2050),Report_Scenarios!$A$7:$A$13,1)),INDEX(Report_Scenarios!$B$7:$B$13,MATCH(MEDIAN($B40-Conversion!$B$15,2020,2050),Report_Scenarios!$A$7:$A$13,1)),INDEX(Report_Scenarios!$B$7:$B$13,MATCH(MEDIAN($B40-Conversion!$B$15,2020,2050),Report_Scenarios!$A$7:$A$13,1))+(INDEX(Report_Scenarios!$B$7:$B$13,MIN(MATCH(MEDIAN($B40-Conversion!$B$15,2020,2050),Report_Scenarios!$A$7:$A$13,1)+1,7))-INDEX(Report_Scenarios!$B$7:$B$13,MATCH(MEDIAN($B40-Conversion!$B$15,2020,2050),Report_Scenarios!$A$7:$A$13,1)))*(MEDIAN($B40-Conversion!$B$15,2020,2050)-INDEX(Report_Scenarios!$A$7:$A$13,MATCH(MEDIAN($B40-Conversion!$B$15,2020,2050),Report_Scenarios!$A$7:$A$13,1)))/(INDEX(Report_Scenarios!$A$7:$A$13,MIN(MATCH(MEDIAN($B40-Conversion!$B$15,2020,2050),Report_Scenarios!$A$7:$A$13,1)+1,7))-INDEX(Report_Scenarios!$A$7:$A$13,MATCH(MEDIAN($B40-Conversion!$B$15,2020,2050),Report_Scenarios!$A$7:$A$13,1)))),IF($D40="Central",IF(INDEX(Report_Scenarios!$A$18:$A$24,MIN(MATCH(MEDIAN($B40-Conversion!$B$15,2020,2050),Report_Scenarios!$A$18:$A$24,1)+1,7))=INDEX(Report_Scenarios!$A$18:$A$24,MATCH(MEDIAN($B40-Conversion!$B$15,2020,2050),Report_Scenarios!$A$18:$A$24,1)),INDEX(Report_Scenarios!$B$18:$B$24,MATCH(MEDIAN($B40-Conversion!$B$15,2020,2050),Report_Scenarios!$A$18:$A$24,1)),INDEX(Report_Scenarios!$B$18:$B$24,MATCH(MEDIAN($B40-Conversion!$B$15,2020,2050),Report_Scenarios!$A$18:$A$24,1))+(INDEX(Report_Scenarios!$B$18:$B$24,MIN(MATCH(MEDIAN($B40-Conversion!$B$15,2020,2050),Report_Scenarios!$A$18:$A$24,1)+1,7))-INDEX(Report_Scenarios!$B$18:$B$24,MATCH(MEDIAN($B40-Conversion!$B$15,2020,2050),Report_Scenarios!$A$18:$A$24,1)))*(MEDIAN($B40-Conversion!$B$15,2020,2050)-INDEX(Report_Scenarios!$A$18:$A$24,MATCH(MEDIAN($B40-Conversion!$B$15,2020,2050),Report_Scenarios!$A$18:$A$24,1)))/(INDEX(Report_Scenarios!$A$18:$A$24,MIN(MATCH(MEDIAN($B40-Conversion!$B$15,2020,2050),Report_Scenarios!$A$18:$A$24,1)+1,7))-INDEX(Report_Scenarios!$A$18:$A$24,MATCH(MEDIAN($B40-Conversion!$B$15,2020,2050),Report_Scenarios!$A$18:$A$24,1)))),IF(INDEX(Report_Scenarios!$A$29:$A$35,MIN(MATCH(MEDIAN($B40-Conversion!$B$15,2020,2050),Report_Scenarios!$A$29:$A$35,1)+1,7))=INDEX(Report_Scenarios!$A$29:$A$35,MATCH(MEDIAN($B40-Conversion!$B$15,2020,2050),Report_Scenarios!$A$29:$A$35,1)),INDEX(Report_Scenarios!$B$29:$B$35,MATCH(MEDIAN($B40-Conversion!$B$15,2020,2050),Report_Scenarios!$A$29:$A$35,1)),INDEX(Report_Scenarios!$B$29:$B$35,MATCH(MEDIAN($B40-Conversion!$B$15,2020,2050),Report_Scenarios!$A$29:$A$35,1))+(INDEX(Report_Scenarios!$B$29:$B$35,MIN(MATCH(MEDIAN($B40-Conversion!$B$15,2020,2050),Report_Scenarios!$A$29:$A$35,1)+1,7))-INDEX(Report_Scenarios!$B$29:$B$35,MATCH(MEDIAN($B40-Conversion!$B$15,2020,2050),Report_Scenarios!$A$29:$A$35,1)))*(MEDIAN($B40-Conversion!$B$15,2020,2050)-INDEX(Report_Scenarios!$A$29:$A$35,MATCH(MEDIAN($B40-Conversion!$B$15,2020,2050),Report_Scenarios!$A$29:$A$35,1)))/(INDEX(Report_Scenarios!$A$29:$A$35,MIN(MATCH(MEDIAN($B40-Conversion!$B$15,2020,2050),Report_Scenarios!$A$29:$A$35,1)+1,7))-INDEX(Report_Scenarios!$A$29:$A$35,MATCH(MEDIAN($B40-Conversion!$B$15,2020,2050),Report_Scenarios!$A$29:$A$35,1))))))</f>
        <v/>
      </c>
      <c r="F40" s="23">
        <f>IF($D40="Conservative",IF(INDEX(Report_Scenarios!$A$7:$A$13,MIN(MATCH(MEDIAN($B40-Conversion!$B$15,2020,2050),Report_Scenarios!$A$7:$A$13,1)+1,7))=INDEX(Report_Scenarios!$A$7:$A$13,MATCH(MEDIAN($B40-Conversion!$B$15,2020,2050),Report_Scenarios!$A$7:$A$13,1)),INDEX(Report_Scenarios!$C$7:$C$13,MATCH(MEDIAN($B40-Conversion!$B$15,2020,2050),Report_Scenarios!$A$7:$A$13,1)),INDEX(Report_Scenarios!$C$7:$C$13,MATCH(MEDIAN($B40-Conversion!$B$15,2020,2050),Report_Scenarios!$A$7:$A$13,1))+(INDEX(Report_Scenarios!$C$7:$C$13,MIN(MATCH(MEDIAN($B40-Conversion!$B$15,2020,2050),Report_Scenarios!$A$7:$A$13,1)+1,7))-INDEX(Report_Scenarios!$C$7:$C$13,MATCH(MEDIAN($B40-Conversion!$B$15,2020,2050),Report_Scenarios!$A$7:$A$13,1)))*(MEDIAN($B40-Conversion!$B$15,2020,2050)-INDEX(Report_Scenarios!$A$7:$A$13,MATCH(MEDIAN($B40-Conversion!$B$15,2020,2050),Report_Scenarios!$A$7:$A$13,1)))/(INDEX(Report_Scenarios!$A$7:$A$13,MIN(MATCH(MEDIAN($B40-Conversion!$B$15,2020,2050),Report_Scenarios!$A$7:$A$13,1)+1,7))-INDEX(Report_Scenarios!$A$7:$A$13,MATCH(MEDIAN($B40-Conversion!$B$15,2020,2050),Report_Scenarios!$A$7:$A$13,1)))),IF($D40="Central",IF(INDEX(Report_Scenarios!$A$18:$A$24,MIN(MATCH(MEDIAN($B40-Conversion!$B$15,2020,2050),Report_Scenarios!$A$18:$A$24,1)+1,7))=INDEX(Report_Scenarios!$A$18:$A$24,MATCH(MEDIAN($B40-Conversion!$B$15,2020,2050),Report_Scenarios!$A$18:$A$24,1)),INDEX(Report_Scenarios!$C$18:$C$24,MATCH(MEDIAN($B40-Conversion!$B$15,2020,2050),Report_Scenarios!$A$18:$A$24,1)),INDEX(Report_Scenarios!$C$18:$C$24,MATCH(MEDIAN($B40-Conversion!$B$15,2020,2050),Report_Scenarios!$A$18:$A$24,1))+(INDEX(Report_Scenarios!$C$18:$C$24,MIN(MATCH(MEDIAN($B40-Conversion!$B$15,2020,2050),Report_Scenarios!$A$18:$A$24,1)+1,7))-INDEX(Report_Scenarios!$C$18:$C$24,MATCH(MEDIAN($B40-Conversion!$B$15,2020,2050),Report_Scenarios!$A$18:$A$24,1)))*(MEDIAN($B40-Conversion!$B$15,2020,2050)-INDEX(Report_Scenarios!$A$18:$A$24,MATCH(MEDIAN($B40-Conversion!$B$15,2020,2050),Report_Scenarios!$A$18:$A$24,1)))/(INDEX(Report_Scenarios!$A$18:$A$24,MIN(MATCH(MEDIAN($B40-Conversion!$B$15,2020,2050),Report_Scenarios!$A$18:$A$24,1)+1,7))-INDEX(Report_Scenarios!$A$18:$A$24,MATCH(MEDIAN($B40-Conversion!$B$15,2020,2050),Report_Scenarios!$A$18:$A$24,1)))),IF(INDEX(Report_Scenarios!$A$29:$A$35,MIN(MATCH(MEDIAN($B40-Conversion!$B$15,2020,2050),Report_Scenarios!$A$29:$A$35,1)+1,7))=INDEX(Report_Scenarios!$A$29:$A$35,MATCH(MEDIAN($B40-Conversion!$B$15,2020,2050),Report_Scenarios!$A$29:$A$35,1)),INDEX(Report_Scenarios!$C$29:$C$35,MATCH(MEDIAN($B40-Conversion!$B$15,2020,2050),Report_Scenarios!$A$29:$A$35,1)),INDEX(Report_Scenarios!$C$29:$C$35,MATCH(MEDIAN($B40-Conversion!$B$15,2020,2050),Report_Scenarios!$A$29:$A$35,1))+(INDEX(Report_Scenarios!$C$29:$C$35,MIN(MATCH(MEDIAN($B40-Conversion!$B$15,2020,2050),Report_Scenarios!$A$29:$A$35,1)+1,7))-INDEX(Report_Scenarios!$C$29:$C$35,MATCH(MEDIAN($B40-Conversion!$B$15,2020,2050),Report_Scenarios!$A$29:$A$35,1)))*(MEDIAN($B40-Conversion!$B$15,2020,2050)-INDEX(Report_Scenarios!$A$29:$A$35,MATCH(MEDIAN($B40-Conversion!$B$15,2020,2050),Report_Scenarios!$A$29:$A$35,1)))/(INDEX(Report_Scenarios!$A$29:$A$35,MIN(MATCH(MEDIAN($B40-Conversion!$B$15,2020,2050),Report_Scenarios!$A$29:$A$35,1)+1,7))-INDEX(Report_Scenarios!$A$29:$A$35,MATCH(MEDIAN($B40-Conversion!$B$15,2020,2050),Report_Scenarios!$A$29:$A$35,1))))))</f>
        <v/>
      </c>
      <c r="G40" s="23">
        <f>IF($D40="Conservative",IF(INDEX(Report_Scenarios!$A$7:$A$13,MIN(MATCH(MEDIAN($B40-Conversion!$B$15,2020,2050),Report_Scenarios!$A$7:$A$13,1)+1,7))=INDEX(Report_Scenarios!$A$7:$A$13,MATCH(MEDIAN($B40-Conversion!$B$15,2020,2050),Report_Scenarios!$A$7:$A$13,1)),INDEX(Report_Scenarios!$D$7:$D$13,MATCH(MEDIAN($B40-Conversion!$B$15,2020,2050),Report_Scenarios!$A$7:$A$13,1)),INDEX(Report_Scenarios!$D$7:$D$13,MATCH(MEDIAN($B40-Conversion!$B$15,2020,2050),Report_Scenarios!$A$7:$A$13,1))+(INDEX(Report_Scenarios!$D$7:$D$13,MIN(MATCH(MEDIAN($B40-Conversion!$B$15,2020,2050),Report_Scenarios!$A$7:$A$13,1)+1,7))-INDEX(Report_Scenarios!$D$7:$D$13,MATCH(MEDIAN($B40-Conversion!$B$15,2020,2050),Report_Scenarios!$A$7:$A$13,1)))*(MEDIAN($B40-Conversion!$B$15,2020,2050)-INDEX(Report_Scenarios!$A$7:$A$13,MATCH(MEDIAN($B40-Conversion!$B$15,2020,2050),Report_Scenarios!$A$7:$A$13,1)))/(INDEX(Report_Scenarios!$A$7:$A$13,MIN(MATCH(MEDIAN($B40-Conversion!$B$15,2020,2050),Report_Scenarios!$A$7:$A$13,1)+1,7))-INDEX(Report_Scenarios!$A$7:$A$13,MATCH(MEDIAN($B40-Conversion!$B$15,2020,2050),Report_Scenarios!$A$7:$A$13,1)))),IF($D40="Central",IF(INDEX(Report_Scenarios!$A$18:$A$24,MIN(MATCH(MEDIAN($B40-Conversion!$B$15,2020,2050),Report_Scenarios!$A$18:$A$24,1)+1,7))=INDEX(Report_Scenarios!$A$18:$A$24,MATCH(MEDIAN($B40-Conversion!$B$15,2020,2050),Report_Scenarios!$A$18:$A$24,1)),INDEX(Report_Scenarios!$D$18:$D$24,MATCH(MEDIAN($B40-Conversion!$B$15,2020,2050),Report_Scenarios!$A$18:$A$24,1)),INDEX(Report_Scenarios!$D$18:$D$24,MATCH(MEDIAN($B40-Conversion!$B$15,2020,2050),Report_Scenarios!$A$18:$A$24,1))+(INDEX(Report_Scenarios!$D$18:$D$24,MIN(MATCH(MEDIAN($B40-Conversion!$B$15,2020,2050),Report_Scenarios!$A$18:$A$24,1)+1,7))-INDEX(Report_Scenarios!$D$18:$D$24,MATCH(MEDIAN($B40-Conversion!$B$15,2020,2050),Report_Scenarios!$A$18:$A$24,1)))*(MEDIAN($B40-Conversion!$B$15,2020,2050)-INDEX(Report_Scenarios!$A$18:$A$24,MATCH(MEDIAN($B40-Conversion!$B$15,2020,2050),Report_Scenarios!$A$18:$A$24,1)))/(INDEX(Report_Scenarios!$A$18:$A$24,MIN(MATCH(MEDIAN($B40-Conversion!$B$15,2020,2050),Report_Scenarios!$A$18:$A$24,1)+1,7))-INDEX(Report_Scenarios!$A$18:$A$24,MATCH(MEDIAN($B40-Conversion!$B$15,2020,2050),Report_Scenarios!$A$18:$A$24,1)))),IF(INDEX(Report_Scenarios!$A$29:$A$35,MIN(MATCH(MEDIAN($B40-Conversion!$B$15,2020,2050),Report_Scenarios!$A$29:$A$35,1)+1,7))=INDEX(Report_Scenarios!$A$29:$A$35,MATCH(MEDIAN($B40-Conversion!$B$15,2020,2050),Report_Scenarios!$A$29:$A$35,1)),INDEX(Report_Scenarios!$D$29:$D$35,MATCH(MEDIAN($B40-Conversion!$B$15,2020,2050),Report_Scenarios!$A$29:$A$35,1)),INDEX(Report_Scenarios!$D$29:$D$35,MATCH(MEDIAN($B40-Conversion!$B$15,2020,2050),Report_Scenarios!$A$29:$A$35,1))+(INDEX(Report_Scenarios!$D$29:$D$35,MIN(MATCH(MEDIAN($B40-Conversion!$B$15,2020,2050),Report_Scenarios!$A$29:$A$35,1)+1,7))-INDEX(Report_Scenarios!$D$29:$D$35,MATCH(MEDIAN($B40-Conversion!$B$15,2020,2050),Report_Scenarios!$A$29:$A$35,1)))*(MEDIAN($B40-Conversion!$B$15,2020,2050)-INDEX(Report_Scenarios!$A$29:$A$35,MATCH(MEDIAN($B40-Conversion!$B$15,2020,2050),Report_Scenarios!$A$29:$A$35,1)))/(INDEX(Report_Scenarios!$A$29:$A$35,MIN(MATCH(MEDIAN($B40-Conversion!$B$15,2020,2050),Report_Scenarios!$A$29:$A$35,1)+1,7))-INDEX(Report_Scenarios!$A$29:$A$35,MATCH(MEDIAN($B40-Conversion!$B$15,2020,2050),Report_Scenarios!$A$29:$A$35,1))))))</f>
        <v/>
      </c>
      <c r="H40" s="23">
        <f>IF($D40="Conservative",IF(INDEX(Report_Scenarios!$A$7:$A$13,MIN(MATCH(MEDIAN($B40-Conversion!$B$15,2020,2050),Report_Scenarios!$A$7:$A$13,1)+1,7))=INDEX(Report_Scenarios!$A$7:$A$13,MATCH(MEDIAN($B40-Conversion!$B$15,2020,2050),Report_Scenarios!$A$7:$A$13,1)),INDEX(Report_Scenarios!$E$7:$E$13,MATCH(MEDIAN($B40-Conversion!$B$15,2020,2050),Report_Scenarios!$A$7:$A$13,1)),INDEX(Report_Scenarios!$E$7:$E$13,MATCH(MEDIAN($B40-Conversion!$B$15,2020,2050),Report_Scenarios!$A$7:$A$13,1))+(INDEX(Report_Scenarios!$E$7:$E$13,MIN(MATCH(MEDIAN($B40-Conversion!$B$15,2020,2050),Report_Scenarios!$A$7:$A$13,1)+1,7))-INDEX(Report_Scenarios!$E$7:$E$13,MATCH(MEDIAN($B40-Conversion!$B$15,2020,2050),Report_Scenarios!$A$7:$A$13,1)))*(MEDIAN($B40-Conversion!$B$15,2020,2050)-INDEX(Report_Scenarios!$A$7:$A$13,MATCH(MEDIAN($B40-Conversion!$B$15,2020,2050),Report_Scenarios!$A$7:$A$13,1)))/(INDEX(Report_Scenarios!$A$7:$A$13,MIN(MATCH(MEDIAN($B40-Conversion!$B$15,2020,2050),Report_Scenarios!$A$7:$A$13,1)+1,7))-INDEX(Report_Scenarios!$A$7:$A$13,MATCH(MEDIAN($B40-Conversion!$B$15,2020,2050),Report_Scenarios!$A$7:$A$13,1)))),IF($D40="Central",IF(INDEX(Report_Scenarios!$A$18:$A$24,MIN(MATCH(MEDIAN($B40-Conversion!$B$15,2020,2050),Report_Scenarios!$A$18:$A$24,1)+1,7))=INDEX(Report_Scenarios!$A$18:$A$24,MATCH(MEDIAN($B40-Conversion!$B$15,2020,2050),Report_Scenarios!$A$18:$A$24,1)),INDEX(Report_Scenarios!$E$18:$E$24,MATCH(MEDIAN($B40-Conversion!$B$15,2020,2050),Report_Scenarios!$A$18:$A$24,1)),INDEX(Report_Scenarios!$E$18:$E$24,MATCH(MEDIAN($B40-Conversion!$B$15,2020,2050),Report_Scenarios!$A$18:$A$24,1))+(INDEX(Report_Scenarios!$E$18:$E$24,MIN(MATCH(MEDIAN($B40-Conversion!$B$15,2020,2050),Report_Scenarios!$A$18:$A$24,1)+1,7))-INDEX(Report_Scenarios!$E$18:$E$24,MATCH(MEDIAN($B40-Conversion!$B$15,2020,2050),Report_Scenarios!$A$18:$A$24,1)))*(MEDIAN($B40-Conversion!$B$15,2020,2050)-INDEX(Report_Scenarios!$A$18:$A$24,MATCH(MEDIAN($B40-Conversion!$B$15,2020,2050),Report_Scenarios!$A$18:$A$24,1)))/(INDEX(Report_Scenarios!$A$18:$A$24,MIN(MATCH(MEDIAN($B40-Conversion!$B$15,2020,2050),Report_Scenarios!$A$18:$A$24,1)+1,7))-INDEX(Report_Scenarios!$A$18:$A$24,MATCH(MEDIAN($B40-Conversion!$B$15,2020,2050),Report_Scenarios!$A$18:$A$24,1)))),IF(INDEX(Report_Scenarios!$A$29:$A$35,MIN(MATCH(MEDIAN($B40-Conversion!$B$15,2020,2050),Report_Scenarios!$A$29:$A$35,1)+1,7))=INDEX(Report_Scenarios!$A$29:$A$35,MATCH(MEDIAN($B40-Conversion!$B$15,2020,2050),Report_Scenarios!$A$29:$A$35,1)),INDEX(Report_Scenarios!$E$29:$E$35,MATCH(MEDIAN($B40-Conversion!$B$15,2020,2050),Report_Scenarios!$A$29:$A$35,1)),INDEX(Report_Scenarios!$E$29:$E$35,MATCH(MEDIAN($B40-Conversion!$B$15,2020,2050),Report_Scenarios!$A$29:$A$35,1))+(INDEX(Report_Scenarios!$E$29:$E$35,MIN(MATCH(MEDIAN($B40-Conversion!$B$15,2020,2050),Report_Scenarios!$A$29:$A$35,1)+1,7))-INDEX(Report_Scenarios!$E$29:$E$35,MATCH(MEDIAN($B40-Conversion!$B$15,2020,2050),Report_Scenarios!$A$29:$A$35,1)))*(MEDIAN($B40-Conversion!$B$15,2020,2050)-INDEX(Report_Scenarios!$A$29:$A$35,MATCH(MEDIAN($B40-Conversion!$B$15,2020,2050),Report_Scenarios!$A$29:$A$35,1)))/(INDEX(Report_Scenarios!$A$29:$A$35,MIN(MATCH(MEDIAN($B40-Conversion!$B$15,2020,2050),Report_Scenarios!$A$29:$A$35,1)+1,7))-INDEX(Report_Scenarios!$A$29:$A$35,MATCH(MEDIAN($B40-Conversion!$B$15,2020,2050),Report_Scenarios!$A$29:$A$35,1))))))</f>
        <v/>
      </c>
      <c r="I40" s="23">
        <f>IF($D40="Conservative",IF(INDEX(Report_Scenarios!$A$7:$A$13,MIN(MATCH(MEDIAN($B40-Conversion!$B$15,2020,2050),Report_Scenarios!$A$7:$A$13,1)+1,7))=INDEX(Report_Scenarios!$A$7:$A$13,MATCH(MEDIAN($B40-Conversion!$B$15,2020,2050),Report_Scenarios!$A$7:$A$13,1)),INDEX(Report_Scenarios!$F$7:$F$13,MATCH(MEDIAN($B40-Conversion!$B$15,2020,2050),Report_Scenarios!$A$7:$A$13,1)),INDEX(Report_Scenarios!$F$7:$F$13,MATCH(MEDIAN($B40-Conversion!$B$15,2020,2050),Report_Scenarios!$A$7:$A$13,1))+(INDEX(Report_Scenarios!$F$7:$F$13,MIN(MATCH(MEDIAN($B40-Conversion!$B$15,2020,2050),Report_Scenarios!$A$7:$A$13,1)+1,7))-INDEX(Report_Scenarios!$F$7:$F$13,MATCH(MEDIAN($B40-Conversion!$B$15,2020,2050),Report_Scenarios!$A$7:$A$13,1)))*(MEDIAN($B40-Conversion!$B$15,2020,2050)-INDEX(Report_Scenarios!$A$7:$A$13,MATCH(MEDIAN($B40-Conversion!$B$15,2020,2050),Report_Scenarios!$A$7:$A$13,1)))/(INDEX(Report_Scenarios!$A$7:$A$13,MIN(MATCH(MEDIAN($B40-Conversion!$B$15,2020,2050),Report_Scenarios!$A$7:$A$13,1)+1,7))-INDEX(Report_Scenarios!$A$7:$A$13,MATCH(MEDIAN($B40-Conversion!$B$15,2020,2050),Report_Scenarios!$A$7:$A$13,1)))),IF($D40="Central",IF(INDEX(Report_Scenarios!$A$18:$A$24,MIN(MATCH(MEDIAN($B40-Conversion!$B$15,2020,2050),Report_Scenarios!$A$18:$A$24,1)+1,7))=INDEX(Report_Scenarios!$A$18:$A$24,MATCH(MEDIAN($B40-Conversion!$B$15,2020,2050),Report_Scenarios!$A$18:$A$24,1)),INDEX(Report_Scenarios!$F$18:$F$24,MATCH(MEDIAN($B40-Conversion!$B$15,2020,2050),Report_Scenarios!$A$18:$A$24,1)),INDEX(Report_Scenarios!$F$18:$F$24,MATCH(MEDIAN($B40-Conversion!$B$15,2020,2050),Report_Scenarios!$A$18:$A$24,1))+(INDEX(Report_Scenarios!$F$18:$F$24,MIN(MATCH(MEDIAN($B40-Conversion!$B$15,2020,2050),Report_Scenarios!$A$18:$A$24,1)+1,7))-INDEX(Report_Scenarios!$F$18:$F$24,MATCH(MEDIAN($B40-Conversion!$B$15,2020,2050),Report_Scenarios!$A$18:$A$24,1)))*(MEDIAN($B40-Conversion!$B$15,2020,2050)-INDEX(Report_Scenarios!$A$18:$A$24,MATCH(MEDIAN($B40-Conversion!$B$15,2020,2050),Report_Scenarios!$A$18:$A$24,1)))/(INDEX(Report_Scenarios!$A$18:$A$24,MIN(MATCH(MEDIAN($B40-Conversion!$B$15,2020,2050),Report_Scenarios!$A$18:$A$24,1)+1,7))-INDEX(Report_Scenarios!$A$18:$A$24,MATCH(MEDIAN($B40-Conversion!$B$15,2020,2050),Report_Scenarios!$A$18:$A$24,1)))),IF(INDEX(Report_Scenarios!$A$29:$A$35,MIN(MATCH(MEDIAN($B40-Conversion!$B$15,2020,2050),Report_Scenarios!$A$29:$A$35,1)+1,7))=INDEX(Report_Scenarios!$A$29:$A$35,MATCH(MEDIAN($B40-Conversion!$B$15,2020,2050),Report_Scenarios!$A$29:$A$35,1)),INDEX(Report_Scenarios!$F$29:$F$35,MATCH(MEDIAN($B40-Conversion!$B$15,2020,2050),Report_Scenarios!$A$29:$A$35,1)),INDEX(Report_Scenarios!$F$29:$F$35,MATCH(MEDIAN($B40-Conversion!$B$15,2020,2050),Report_Scenarios!$A$29:$A$35,1))+(INDEX(Report_Scenarios!$F$29:$F$35,MIN(MATCH(MEDIAN($B40-Conversion!$B$15,2020,2050),Report_Scenarios!$A$29:$A$35,1)+1,7))-INDEX(Report_Scenarios!$F$29:$F$35,MATCH(MEDIAN($B40-Conversion!$B$15,2020,2050),Report_Scenarios!$A$29:$A$35,1)))*(MEDIAN($B40-Conversion!$B$15,2020,2050)-INDEX(Report_Scenarios!$A$29:$A$35,MATCH(MEDIAN($B40-Conversion!$B$15,2020,2050),Report_Scenarios!$A$29:$A$35,1)))/(INDEX(Report_Scenarios!$A$29:$A$35,MIN(MATCH(MEDIAN($B40-Conversion!$B$15,2020,2050),Report_Scenarios!$A$29:$A$35,1)+1,7))-INDEX(Report_Scenarios!$A$29:$A$35,MATCH(MEDIAN($B40-Conversion!$B$15,2020,2050),Report_Scenarios!$A$29:$A$35,1))))))</f>
        <v/>
      </c>
      <c r="J40" s="23">
        <f>IF($D40="Conservative",IF(INDEX(Report_Scenarios!$A$7:$A$13,MIN(MATCH(MEDIAN($B40-Conversion!$B$15,2020,2050),Report_Scenarios!$A$7:$A$13,1)+1,7))=INDEX(Report_Scenarios!$A$7:$A$13,MATCH(MEDIAN($B40-Conversion!$B$15,2020,2050),Report_Scenarios!$A$7:$A$13,1)),INDEX(Report_Scenarios!$G$7:$G$13,MATCH(MEDIAN($B40-Conversion!$B$15,2020,2050),Report_Scenarios!$A$7:$A$13,1)),INDEX(Report_Scenarios!$G$7:$G$13,MATCH(MEDIAN($B40-Conversion!$B$15,2020,2050),Report_Scenarios!$A$7:$A$13,1))+(INDEX(Report_Scenarios!$G$7:$G$13,MIN(MATCH(MEDIAN($B40-Conversion!$B$15,2020,2050),Report_Scenarios!$A$7:$A$13,1)+1,7))-INDEX(Report_Scenarios!$G$7:$G$13,MATCH(MEDIAN($B40-Conversion!$B$15,2020,2050),Report_Scenarios!$A$7:$A$13,1)))*(MEDIAN($B40-Conversion!$B$15,2020,2050)-INDEX(Report_Scenarios!$A$7:$A$13,MATCH(MEDIAN($B40-Conversion!$B$15,2020,2050),Report_Scenarios!$A$7:$A$13,1)))/(INDEX(Report_Scenarios!$A$7:$A$13,MIN(MATCH(MEDIAN($B40-Conversion!$B$15,2020,2050),Report_Scenarios!$A$7:$A$13,1)+1,7))-INDEX(Report_Scenarios!$A$7:$A$13,MATCH(MEDIAN($B40-Conversion!$B$15,2020,2050),Report_Scenarios!$A$7:$A$13,1)))),IF($D40="Central",IF(INDEX(Report_Scenarios!$A$18:$A$24,MIN(MATCH(MEDIAN($B40-Conversion!$B$15,2020,2050),Report_Scenarios!$A$18:$A$24,1)+1,7))=INDEX(Report_Scenarios!$A$18:$A$24,MATCH(MEDIAN($B40-Conversion!$B$15,2020,2050),Report_Scenarios!$A$18:$A$24,1)),INDEX(Report_Scenarios!$G$18:$G$24,MATCH(MEDIAN($B40-Conversion!$B$15,2020,2050),Report_Scenarios!$A$18:$A$24,1)),INDEX(Report_Scenarios!$G$18:$G$24,MATCH(MEDIAN($B40-Conversion!$B$15,2020,2050),Report_Scenarios!$A$18:$A$24,1))+(INDEX(Report_Scenarios!$G$18:$G$24,MIN(MATCH(MEDIAN($B40-Conversion!$B$15,2020,2050),Report_Scenarios!$A$18:$A$24,1)+1,7))-INDEX(Report_Scenarios!$G$18:$G$24,MATCH(MEDIAN($B40-Conversion!$B$15,2020,2050),Report_Scenarios!$A$18:$A$24,1)))*(MEDIAN($B40-Conversion!$B$15,2020,2050)-INDEX(Report_Scenarios!$A$18:$A$24,MATCH(MEDIAN($B40-Conversion!$B$15,2020,2050),Report_Scenarios!$A$18:$A$24,1)))/(INDEX(Report_Scenarios!$A$18:$A$24,MIN(MATCH(MEDIAN($B40-Conversion!$B$15,2020,2050),Report_Scenarios!$A$18:$A$24,1)+1,7))-INDEX(Report_Scenarios!$A$18:$A$24,MATCH(MEDIAN($B40-Conversion!$B$15,2020,2050),Report_Scenarios!$A$18:$A$24,1)))),IF(INDEX(Report_Scenarios!$A$29:$A$35,MIN(MATCH(MEDIAN($B40-Conversion!$B$15,2020,2050),Report_Scenarios!$A$29:$A$35,1)+1,7))=INDEX(Report_Scenarios!$A$29:$A$35,MATCH(MEDIAN($B40-Conversion!$B$15,2020,2050),Report_Scenarios!$A$29:$A$35,1)),INDEX(Report_Scenarios!$G$29:$G$35,MATCH(MEDIAN($B40-Conversion!$B$15,2020,2050),Report_Scenarios!$A$29:$A$35,1)),INDEX(Report_Scenarios!$G$29:$G$35,MATCH(MEDIAN($B40-Conversion!$B$15,2020,2050),Report_Scenarios!$A$29:$A$35,1))+(INDEX(Report_Scenarios!$G$29:$G$35,MIN(MATCH(MEDIAN($B40-Conversion!$B$15,2020,2050),Report_Scenarios!$A$29:$A$35,1)+1,7))-INDEX(Report_Scenarios!$G$29:$G$35,MATCH(MEDIAN($B40-Conversion!$B$15,2020,2050),Report_Scenarios!$A$29:$A$35,1)))*(MEDIAN($B40-Conversion!$B$15,2020,2050)-INDEX(Report_Scenarios!$A$29:$A$35,MATCH(MEDIAN($B40-Conversion!$B$15,2020,2050),Report_Scenarios!$A$29:$A$35,1)))/(INDEX(Report_Scenarios!$A$29:$A$35,MIN(MATCH(MEDIAN($B40-Conversion!$B$15,2020,2050),Report_Scenarios!$A$29:$A$35,1)+1,7))-INDEX(Report_Scenarios!$A$29:$A$35,MATCH(MEDIAN($B40-Conversion!$B$15,2020,2050),Report_Scenarios!$A$29:$A$35,1))))))</f>
        <v/>
      </c>
      <c r="K40" s="23">
        <f>SUM(E40:J40)</f>
        <v/>
      </c>
      <c r="L40" s="23">
        <f>IF(R40&lt;&gt;"",R40,IF($K40=0,0,E40/$K40))</f>
        <v/>
      </c>
      <c r="M40" s="23">
        <f>IF(S40&lt;&gt;"",S40,IF($K40=0,0,F40/$K40))</f>
        <v/>
      </c>
      <c r="N40" s="23">
        <f>IF(T40&lt;&gt;"",T40,IF($K40=0,0,G40/$K40))</f>
        <v/>
      </c>
      <c r="O40" s="23">
        <f>IF(U40&lt;&gt;"",U40,IF($K40=0,0,H40/$K40))</f>
        <v/>
      </c>
      <c r="P40" s="23">
        <f>IF(V40&lt;&gt;"",V40,IF($K40=0,0,I40/$K40))</f>
        <v/>
      </c>
      <c r="Q40" s="23">
        <f>IF(W40&lt;&gt;"",W40,IF($K40=0,0,J40/$K40))</f>
        <v/>
      </c>
      <c r="R40" s="24" t="n"/>
      <c r="S40" s="24" t="n"/>
      <c r="T40" s="24" t="n"/>
      <c r="U40" s="24" t="n"/>
      <c r="V40" s="24" t="n"/>
      <c r="W40" s="24" t="n"/>
    </row>
    <row r="41">
      <c r="A41" s="4" t="inlineStr">
        <is>
          <t>CD</t>
        </is>
      </c>
      <c r="B41" s="4" t="n">
        <v>2030</v>
      </c>
      <c r="C41" s="4" t="inlineStr">
        <is>
          <t>Share_Min</t>
        </is>
      </c>
      <c r="D41" s="4">
        <f>Conversion!$B$18</f>
        <v/>
      </c>
      <c r="E41" s="23">
        <f>IF($D41="Conservative",IF(INDEX(Report_Scenarios!$A$7:$A$13,MIN(MATCH(MEDIAN($B41-Conversion!$B$15,2020,2050),Report_Scenarios!$A$7:$A$13,1)+1,7))=INDEX(Report_Scenarios!$A$7:$A$13,MATCH(MEDIAN($B41-Conversion!$B$15,2020,2050),Report_Scenarios!$A$7:$A$13,1)),INDEX(Report_Scenarios!$B$7:$B$13,MATCH(MEDIAN($B41-Conversion!$B$15,2020,2050),Report_Scenarios!$A$7:$A$13,1)),INDEX(Report_Scenarios!$B$7:$B$13,MATCH(MEDIAN($B41-Conversion!$B$15,2020,2050),Report_Scenarios!$A$7:$A$13,1))+(INDEX(Report_Scenarios!$B$7:$B$13,MIN(MATCH(MEDIAN($B41-Conversion!$B$15,2020,2050),Report_Scenarios!$A$7:$A$13,1)+1,7))-INDEX(Report_Scenarios!$B$7:$B$13,MATCH(MEDIAN($B41-Conversion!$B$15,2020,2050),Report_Scenarios!$A$7:$A$13,1)))*(MEDIAN($B41-Conversion!$B$15,2020,2050)-INDEX(Report_Scenarios!$A$7:$A$13,MATCH(MEDIAN($B41-Conversion!$B$15,2020,2050),Report_Scenarios!$A$7:$A$13,1)))/(INDEX(Report_Scenarios!$A$7:$A$13,MIN(MATCH(MEDIAN($B41-Conversion!$B$15,2020,2050),Report_Scenarios!$A$7:$A$13,1)+1,7))-INDEX(Report_Scenarios!$A$7:$A$13,MATCH(MEDIAN($B41-Conversion!$B$15,2020,2050),Report_Scenarios!$A$7:$A$13,1)))),IF($D41="Central",IF(INDEX(Report_Scenarios!$A$18:$A$24,MIN(MATCH(MEDIAN($B41-Conversion!$B$15,2020,2050),Report_Scenarios!$A$18:$A$24,1)+1,7))=INDEX(Report_Scenarios!$A$18:$A$24,MATCH(MEDIAN($B41-Conversion!$B$15,2020,2050),Report_Scenarios!$A$18:$A$24,1)),INDEX(Report_Scenarios!$B$18:$B$24,MATCH(MEDIAN($B41-Conversion!$B$15,2020,2050),Report_Scenarios!$A$18:$A$24,1)),INDEX(Report_Scenarios!$B$18:$B$24,MATCH(MEDIAN($B41-Conversion!$B$15,2020,2050),Report_Scenarios!$A$18:$A$24,1))+(INDEX(Report_Scenarios!$B$18:$B$24,MIN(MATCH(MEDIAN($B41-Conversion!$B$15,2020,2050),Report_Scenarios!$A$18:$A$24,1)+1,7))-INDEX(Report_Scenarios!$B$18:$B$24,MATCH(MEDIAN($B41-Conversion!$B$15,2020,2050),Report_Scenarios!$A$18:$A$24,1)))*(MEDIAN($B41-Conversion!$B$15,2020,2050)-INDEX(Report_Scenarios!$A$18:$A$24,MATCH(MEDIAN($B41-Conversion!$B$15,2020,2050),Report_Scenarios!$A$18:$A$24,1)))/(INDEX(Report_Scenarios!$A$18:$A$24,MIN(MATCH(MEDIAN($B41-Conversion!$B$15,2020,2050),Report_Scenarios!$A$18:$A$24,1)+1,7))-INDEX(Report_Scenarios!$A$18:$A$24,MATCH(MEDIAN($B41-Conversion!$B$15,2020,2050),Report_Scenarios!$A$18:$A$24,1)))),IF(INDEX(Report_Scenarios!$A$29:$A$35,MIN(MATCH(MEDIAN($B41-Conversion!$B$15,2020,2050),Report_Scenarios!$A$29:$A$35,1)+1,7))=INDEX(Report_Scenarios!$A$29:$A$35,MATCH(MEDIAN($B41-Conversion!$B$15,2020,2050),Report_Scenarios!$A$29:$A$35,1)),INDEX(Report_Scenarios!$B$29:$B$35,MATCH(MEDIAN($B41-Conversion!$B$15,2020,2050),Report_Scenarios!$A$29:$A$35,1)),INDEX(Report_Scenarios!$B$29:$B$35,MATCH(MEDIAN($B41-Conversion!$B$15,2020,2050),Report_Scenarios!$A$29:$A$35,1))+(INDEX(Report_Scenarios!$B$29:$B$35,MIN(MATCH(MEDIAN($B41-Conversion!$B$15,2020,2050),Report_Scenarios!$A$29:$A$35,1)+1,7))-INDEX(Report_Scenarios!$B$29:$B$35,MATCH(MEDIAN($B41-Conversion!$B$15,2020,2050),Report_Scenarios!$A$29:$A$35,1)))*(MEDIAN($B41-Conversion!$B$15,2020,2050)-INDEX(Report_Scenarios!$A$29:$A$35,MATCH(MEDIAN($B41-Conversion!$B$15,2020,2050),Report_Scenarios!$A$29:$A$35,1)))/(INDEX(Report_Scenarios!$A$29:$A$35,MIN(MATCH(MEDIAN($B41-Conversion!$B$15,2020,2050),Report_Scenarios!$A$29:$A$35,1)+1,7))-INDEX(Report_Scenarios!$A$29:$A$35,MATCH(MEDIAN($B41-Conversion!$B$15,2020,2050),Report_Scenarios!$A$29:$A$35,1))))))</f>
        <v/>
      </c>
      <c r="F41" s="23">
        <f>IF($D41="Conservative",IF(INDEX(Report_Scenarios!$A$7:$A$13,MIN(MATCH(MEDIAN($B41-Conversion!$B$15,2020,2050),Report_Scenarios!$A$7:$A$13,1)+1,7))=INDEX(Report_Scenarios!$A$7:$A$13,MATCH(MEDIAN($B41-Conversion!$B$15,2020,2050),Report_Scenarios!$A$7:$A$13,1)),INDEX(Report_Scenarios!$C$7:$C$13,MATCH(MEDIAN($B41-Conversion!$B$15,2020,2050),Report_Scenarios!$A$7:$A$13,1)),INDEX(Report_Scenarios!$C$7:$C$13,MATCH(MEDIAN($B41-Conversion!$B$15,2020,2050),Report_Scenarios!$A$7:$A$13,1))+(INDEX(Report_Scenarios!$C$7:$C$13,MIN(MATCH(MEDIAN($B41-Conversion!$B$15,2020,2050),Report_Scenarios!$A$7:$A$13,1)+1,7))-INDEX(Report_Scenarios!$C$7:$C$13,MATCH(MEDIAN($B41-Conversion!$B$15,2020,2050),Report_Scenarios!$A$7:$A$13,1)))*(MEDIAN($B41-Conversion!$B$15,2020,2050)-INDEX(Report_Scenarios!$A$7:$A$13,MATCH(MEDIAN($B41-Conversion!$B$15,2020,2050),Report_Scenarios!$A$7:$A$13,1)))/(INDEX(Report_Scenarios!$A$7:$A$13,MIN(MATCH(MEDIAN($B41-Conversion!$B$15,2020,2050),Report_Scenarios!$A$7:$A$13,1)+1,7))-INDEX(Report_Scenarios!$A$7:$A$13,MATCH(MEDIAN($B41-Conversion!$B$15,2020,2050),Report_Scenarios!$A$7:$A$13,1)))),IF($D41="Central",IF(INDEX(Report_Scenarios!$A$18:$A$24,MIN(MATCH(MEDIAN($B41-Conversion!$B$15,2020,2050),Report_Scenarios!$A$18:$A$24,1)+1,7))=INDEX(Report_Scenarios!$A$18:$A$24,MATCH(MEDIAN($B41-Conversion!$B$15,2020,2050),Report_Scenarios!$A$18:$A$24,1)),INDEX(Report_Scenarios!$C$18:$C$24,MATCH(MEDIAN($B41-Conversion!$B$15,2020,2050),Report_Scenarios!$A$18:$A$24,1)),INDEX(Report_Scenarios!$C$18:$C$24,MATCH(MEDIAN($B41-Conversion!$B$15,2020,2050),Report_Scenarios!$A$18:$A$24,1))+(INDEX(Report_Scenarios!$C$18:$C$24,MIN(MATCH(MEDIAN($B41-Conversion!$B$15,2020,2050),Report_Scenarios!$A$18:$A$24,1)+1,7))-INDEX(Report_Scenarios!$C$18:$C$24,MATCH(MEDIAN($B41-Conversion!$B$15,2020,2050),Report_Scenarios!$A$18:$A$24,1)))*(MEDIAN($B41-Conversion!$B$15,2020,2050)-INDEX(Report_Scenarios!$A$18:$A$24,MATCH(MEDIAN($B41-Conversion!$B$15,2020,2050),Report_Scenarios!$A$18:$A$24,1)))/(INDEX(Report_Scenarios!$A$18:$A$24,MIN(MATCH(MEDIAN($B41-Conversion!$B$15,2020,2050),Report_Scenarios!$A$18:$A$24,1)+1,7))-INDEX(Report_Scenarios!$A$18:$A$24,MATCH(MEDIAN($B41-Conversion!$B$15,2020,2050),Report_Scenarios!$A$18:$A$24,1)))),IF(INDEX(Report_Scenarios!$A$29:$A$35,MIN(MATCH(MEDIAN($B41-Conversion!$B$15,2020,2050),Report_Scenarios!$A$29:$A$35,1)+1,7))=INDEX(Report_Scenarios!$A$29:$A$35,MATCH(MEDIAN($B41-Conversion!$B$15,2020,2050),Report_Scenarios!$A$29:$A$35,1)),INDEX(Report_Scenarios!$C$29:$C$35,MATCH(MEDIAN($B41-Conversion!$B$15,2020,2050),Report_Scenarios!$A$29:$A$35,1)),INDEX(Report_Scenarios!$C$29:$C$35,MATCH(MEDIAN($B41-Conversion!$B$15,2020,2050),Report_Scenarios!$A$29:$A$35,1))+(INDEX(Report_Scenarios!$C$29:$C$35,MIN(MATCH(MEDIAN($B41-Conversion!$B$15,2020,2050),Report_Scenarios!$A$29:$A$35,1)+1,7))-INDEX(Report_Scenarios!$C$29:$C$35,MATCH(MEDIAN($B41-Conversion!$B$15,2020,2050),Report_Scenarios!$A$29:$A$35,1)))*(MEDIAN($B41-Conversion!$B$15,2020,2050)-INDEX(Report_Scenarios!$A$29:$A$35,MATCH(MEDIAN($B41-Conversion!$B$15,2020,2050),Report_Scenarios!$A$29:$A$35,1)))/(INDEX(Report_Scenarios!$A$29:$A$35,MIN(MATCH(MEDIAN($B41-Conversion!$B$15,2020,2050),Report_Scenarios!$A$29:$A$35,1)+1,7))-INDEX(Report_Scenarios!$A$29:$A$35,MATCH(MEDIAN($B41-Conversion!$B$15,2020,2050),Report_Scenarios!$A$29:$A$35,1))))))</f>
        <v/>
      </c>
      <c r="G41" s="23">
        <f>IF($D41="Conservative",IF(INDEX(Report_Scenarios!$A$7:$A$13,MIN(MATCH(MEDIAN($B41-Conversion!$B$15,2020,2050),Report_Scenarios!$A$7:$A$13,1)+1,7))=INDEX(Report_Scenarios!$A$7:$A$13,MATCH(MEDIAN($B41-Conversion!$B$15,2020,2050),Report_Scenarios!$A$7:$A$13,1)),INDEX(Report_Scenarios!$D$7:$D$13,MATCH(MEDIAN($B41-Conversion!$B$15,2020,2050),Report_Scenarios!$A$7:$A$13,1)),INDEX(Report_Scenarios!$D$7:$D$13,MATCH(MEDIAN($B41-Conversion!$B$15,2020,2050),Report_Scenarios!$A$7:$A$13,1))+(INDEX(Report_Scenarios!$D$7:$D$13,MIN(MATCH(MEDIAN($B41-Conversion!$B$15,2020,2050),Report_Scenarios!$A$7:$A$13,1)+1,7))-INDEX(Report_Scenarios!$D$7:$D$13,MATCH(MEDIAN($B41-Conversion!$B$15,2020,2050),Report_Scenarios!$A$7:$A$13,1)))*(MEDIAN($B41-Conversion!$B$15,2020,2050)-INDEX(Report_Scenarios!$A$7:$A$13,MATCH(MEDIAN($B41-Conversion!$B$15,2020,2050),Report_Scenarios!$A$7:$A$13,1)))/(INDEX(Report_Scenarios!$A$7:$A$13,MIN(MATCH(MEDIAN($B41-Conversion!$B$15,2020,2050),Report_Scenarios!$A$7:$A$13,1)+1,7))-INDEX(Report_Scenarios!$A$7:$A$13,MATCH(MEDIAN($B41-Conversion!$B$15,2020,2050),Report_Scenarios!$A$7:$A$13,1)))),IF($D41="Central",IF(INDEX(Report_Scenarios!$A$18:$A$24,MIN(MATCH(MEDIAN($B41-Conversion!$B$15,2020,2050),Report_Scenarios!$A$18:$A$24,1)+1,7))=INDEX(Report_Scenarios!$A$18:$A$24,MATCH(MEDIAN($B41-Conversion!$B$15,2020,2050),Report_Scenarios!$A$18:$A$24,1)),INDEX(Report_Scenarios!$D$18:$D$24,MATCH(MEDIAN($B41-Conversion!$B$15,2020,2050),Report_Scenarios!$A$18:$A$24,1)),INDEX(Report_Scenarios!$D$18:$D$24,MATCH(MEDIAN($B41-Conversion!$B$15,2020,2050),Report_Scenarios!$A$18:$A$24,1))+(INDEX(Report_Scenarios!$D$18:$D$24,MIN(MATCH(MEDIAN($B41-Conversion!$B$15,2020,2050),Report_Scenarios!$A$18:$A$24,1)+1,7))-INDEX(Report_Scenarios!$D$18:$D$24,MATCH(MEDIAN($B41-Conversion!$B$15,2020,2050),Report_Scenarios!$A$18:$A$24,1)))*(MEDIAN($B41-Conversion!$B$15,2020,2050)-INDEX(Report_Scenarios!$A$18:$A$24,MATCH(MEDIAN($B41-Conversion!$B$15,2020,2050),Report_Scenarios!$A$18:$A$24,1)))/(INDEX(Report_Scenarios!$A$18:$A$24,MIN(MATCH(MEDIAN($B41-Conversion!$B$15,2020,2050),Report_Scenarios!$A$18:$A$24,1)+1,7))-INDEX(Report_Scenarios!$A$18:$A$24,MATCH(MEDIAN($B41-Conversion!$B$15,2020,2050),Report_Scenarios!$A$18:$A$24,1)))),IF(INDEX(Report_Scenarios!$A$29:$A$35,MIN(MATCH(MEDIAN($B41-Conversion!$B$15,2020,2050),Report_Scenarios!$A$29:$A$35,1)+1,7))=INDEX(Report_Scenarios!$A$29:$A$35,MATCH(MEDIAN($B41-Conversion!$B$15,2020,2050),Report_Scenarios!$A$29:$A$35,1)),INDEX(Report_Scenarios!$D$29:$D$35,MATCH(MEDIAN($B41-Conversion!$B$15,2020,2050),Report_Scenarios!$A$29:$A$35,1)),INDEX(Report_Scenarios!$D$29:$D$35,MATCH(MEDIAN($B41-Conversion!$B$15,2020,2050),Report_Scenarios!$A$29:$A$35,1))+(INDEX(Report_Scenarios!$D$29:$D$35,MIN(MATCH(MEDIAN($B41-Conversion!$B$15,2020,2050),Report_Scenarios!$A$29:$A$35,1)+1,7))-INDEX(Report_Scenarios!$D$29:$D$35,MATCH(MEDIAN($B41-Conversion!$B$15,2020,2050),Report_Scenarios!$A$29:$A$35,1)))*(MEDIAN($B41-Conversion!$B$15,2020,2050)-INDEX(Report_Scenarios!$A$29:$A$35,MATCH(MEDIAN($B41-Conversion!$B$15,2020,2050),Report_Scenarios!$A$29:$A$35,1)))/(INDEX(Report_Scenarios!$A$29:$A$35,MIN(MATCH(MEDIAN($B41-Conversion!$B$15,2020,2050),Report_Scenarios!$A$29:$A$35,1)+1,7))-INDEX(Report_Scenarios!$A$29:$A$35,MATCH(MEDIAN($B41-Conversion!$B$15,2020,2050),Report_Scenarios!$A$29:$A$35,1))))))</f>
        <v/>
      </c>
      <c r="H41" s="23">
        <f>IF($D41="Conservative",IF(INDEX(Report_Scenarios!$A$7:$A$13,MIN(MATCH(MEDIAN($B41-Conversion!$B$15,2020,2050),Report_Scenarios!$A$7:$A$13,1)+1,7))=INDEX(Report_Scenarios!$A$7:$A$13,MATCH(MEDIAN($B41-Conversion!$B$15,2020,2050),Report_Scenarios!$A$7:$A$13,1)),INDEX(Report_Scenarios!$E$7:$E$13,MATCH(MEDIAN($B41-Conversion!$B$15,2020,2050),Report_Scenarios!$A$7:$A$13,1)),INDEX(Report_Scenarios!$E$7:$E$13,MATCH(MEDIAN($B41-Conversion!$B$15,2020,2050),Report_Scenarios!$A$7:$A$13,1))+(INDEX(Report_Scenarios!$E$7:$E$13,MIN(MATCH(MEDIAN($B41-Conversion!$B$15,2020,2050),Report_Scenarios!$A$7:$A$13,1)+1,7))-INDEX(Report_Scenarios!$E$7:$E$13,MATCH(MEDIAN($B41-Conversion!$B$15,2020,2050),Report_Scenarios!$A$7:$A$13,1)))*(MEDIAN($B41-Conversion!$B$15,2020,2050)-INDEX(Report_Scenarios!$A$7:$A$13,MATCH(MEDIAN($B41-Conversion!$B$15,2020,2050),Report_Scenarios!$A$7:$A$13,1)))/(INDEX(Report_Scenarios!$A$7:$A$13,MIN(MATCH(MEDIAN($B41-Conversion!$B$15,2020,2050),Report_Scenarios!$A$7:$A$13,1)+1,7))-INDEX(Report_Scenarios!$A$7:$A$13,MATCH(MEDIAN($B41-Conversion!$B$15,2020,2050),Report_Scenarios!$A$7:$A$13,1)))),IF($D41="Central",IF(INDEX(Report_Scenarios!$A$18:$A$24,MIN(MATCH(MEDIAN($B41-Conversion!$B$15,2020,2050),Report_Scenarios!$A$18:$A$24,1)+1,7))=INDEX(Report_Scenarios!$A$18:$A$24,MATCH(MEDIAN($B41-Conversion!$B$15,2020,2050),Report_Scenarios!$A$18:$A$24,1)),INDEX(Report_Scenarios!$E$18:$E$24,MATCH(MEDIAN($B41-Conversion!$B$15,2020,2050),Report_Scenarios!$A$18:$A$24,1)),INDEX(Report_Scenarios!$E$18:$E$24,MATCH(MEDIAN($B41-Conversion!$B$15,2020,2050),Report_Scenarios!$A$18:$A$24,1))+(INDEX(Report_Scenarios!$E$18:$E$24,MIN(MATCH(MEDIAN($B41-Conversion!$B$15,2020,2050),Report_Scenarios!$A$18:$A$24,1)+1,7))-INDEX(Report_Scenarios!$E$18:$E$24,MATCH(MEDIAN($B41-Conversion!$B$15,2020,2050),Report_Scenarios!$A$18:$A$24,1)))*(MEDIAN($B41-Conversion!$B$15,2020,2050)-INDEX(Report_Scenarios!$A$18:$A$24,MATCH(MEDIAN($B41-Conversion!$B$15,2020,2050),Report_Scenarios!$A$18:$A$24,1)))/(INDEX(Report_Scenarios!$A$18:$A$24,MIN(MATCH(MEDIAN($B41-Conversion!$B$15,2020,2050),Report_Scenarios!$A$18:$A$24,1)+1,7))-INDEX(Report_Scenarios!$A$18:$A$24,MATCH(MEDIAN($B41-Conversion!$B$15,2020,2050),Report_Scenarios!$A$18:$A$24,1)))),IF(INDEX(Report_Scenarios!$A$29:$A$35,MIN(MATCH(MEDIAN($B41-Conversion!$B$15,2020,2050),Report_Scenarios!$A$29:$A$35,1)+1,7))=INDEX(Report_Scenarios!$A$29:$A$35,MATCH(MEDIAN($B41-Conversion!$B$15,2020,2050),Report_Scenarios!$A$29:$A$35,1)),INDEX(Report_Scenarios!$E$29:$E$35,MATCH(MEDIAN($B41-Conversion!$B$15,2020,2050),Report_Scenarios!$A$29:$A$35,1)),INDEX(Report_Scenarios!$E$29:$E$35,MATCH(MEDIAN($B41-Conversion!$B$15,2020,2050),Report_Scenarios!$A$29:$A$35,1))+(INDEX(Report_Scenarios!$E$29:$E$35,MIN(MATCH(MEDIAN($B41-Conversion!$B$15,2020,2050),Report_Scenarios!$A$29:$A$35,1)+1,7))-INDEX(Report_Scenarios!$E$29:$E$35,MATCH(MEDIAN($B41-Conversion!$B$15,2020,2050),Report_Scenarios!$A$29:$A$35,1)))*(MEDIAN($B41-Conversion!$B$15,2020,2050)-INDEX(Report_Scenarios!$A$29:$A$35,MATCH(MEDIAN($B41-Conversion!$B$15,2020,2050),Report_Scenarios!$A$29:$A$35,1)))/(INDEX(Report_Scenarios!$A$29:$A$35,MIN(MATCH(MEDIAN($B41-Conversion!$B$15,2020,2050),Report_Scenarios!$A$29:$A$35,1)+1,7))-INDEX(Report_Scenarios!$A$29:$A$35,MATCH(MEDIAN($B41-Conversion!$B$15,2020,2050),Report_Scenarios!$A$29:$A$35,1))))))</f>
        <v/>
      </c>
      <c r="I41" s="23">
        <f>IF($D41="Conservative",IF(INDEX(Report_Scenarios!$A$7:$A$13,MIN(MATCH(MEDIAN($B41-Conversion!$B$15,2020,2050),Report_Scenarios!$A$7:$A$13,1)+1,7))=INDEX(Report_Scenarios!$A$7:$A$13,MATCH(MEDIAN($B41-Conversion!$B$15,2020,2050),Report_Scenarios!$A$7:$A$13,1)),INDEX(Report_Scenarios!$F$7:$F$13,MATCH(MEDIAN($B41-Conversion!$B$15,2020,2050),Report_Scenarios!$A$7:$A$13,1)),INDEX(Report_Scenarios!$F$7:$F$13,MATCH(MEDIAN($B41-Conversion!$B$15,2020,2050),Report_Scenarios!$A$7:$A$13,1))+(INDEX(Report_Scenarios!$F$7:$F$13,MIN(MATCH(MEDIAN($B41-Conversion!$B$15,2020,2050),Report_Scenarios!$A$7:$A$13,1)+1,7))-INDEX(Report_Scenarios!$F$7:$F$13,MATCH(MEDIAN($B41-Conversion!$B$15,2020,2050),Report_Scenarios!$A$7:$A$13,1)))*(MEDIAN($B41-Conversion!$B$15,2020,2050)-INDEX(Report_Scenarios!$A$7:$A$13,MATCH(MEDIAN($B41-Conversion!$B$15,2020,2050),Report_Scenarios!$A$7:$A$13,1)))/(INDEX(Report_Scenarios!$A$7:$A$13,MIN(MATCH(MEDIAN($B41-Conversion!$B$15,2020,2050),Report_Scenarios!$A$7:$A$13,1)+1,7))-INDEX(Report_Scenarios!$A$7:$A$13,MATCH(MEDIAN($B41-Conversion!$B$15,2020,2050),Report_Scenarios!$A$7:$A$13,1)))),IF($D41="Central",IF(INDEX(Report_Scenarios!$A$18:$A$24,MIN(MATCH(MEDIAN($B41-Conversion!$B$15,2020,2050),Report_Scenarios!$A$18:$A$24,1)+1,7))=INDEX(Report_Scenarios!$A$18:$A$24,MATCH(MEDIAN($B41-Conversion!$B$15,2020,2050),Report_Scenarios!$A$18:$A$24,1)),INDEX(Report_Scenarios!$F$18:$F$24,MATCH(MEDIAN($B41-Conversion!$B$15,2020,2050),Report_Scenarios!$A$18:$A$24,1)),INDEX(Report_Scenarios!$F$18:$F$24,MATCH(MEDIAN($B41-Conversion!$B$15,2020,2050),Report_Scenarios!$A$18:$A$24,1))+(INDEX(Report_Scenarios!$F$18:$F$24,MIN(MATCH(MEDIAN($B41-Conversion!$B$15,2020,2050),Report_Scenarios!$A$18:$A$24,1)+1,7))-INDEX(Report_Scenarios!$F$18:$F$24,MATCH(MEDIAN($B41-Conversion!$B$15,2020,2050),Report_Scenarios!$A$18:$A$24,1)))*(MEDIAN($B41-Conversion!$B$15,2020,2050)-INDEX(Report_Scenarios!$A$18:$A$24,MATCH(MEDIAN($B41-Conversion!$B$15,2020,2050),Report_Scenarios!$A$18:$A$24,1)))/(INDEX(Report_Scenarios!$A$18:$A$24,MIN(MATCH(MEDIAN($B41-Conversion!$B$15,2020,2050),Report_Scenarios!$A$18:$A$24,1)+1,7))-INDEX(Report_Scenarios!$A$18:$A$24,MATCH(MEDIAN($B41-Conversion!$B$15,2020,2050),Report_Scenarios!$A$18:$A$24,1)))),IF(INDEX(Report_Scenarios!$A$29:$A$35,MIN(MATCH(MEDIAN($B41-Conversion!$B$15,2020,2050),Report_Scenarios!$A$29:$A$35,1)+1,7))=INDEX(Report_Scenarios!$A$29:$A$35,MATCH(MEDIAN($B41-Conversion!$B$15,2020,2050),Report_Scenarios!$A$29:$A$35,1)),INDEX(Report_Scenarios!$F$29:$F$35,MATCH(MEDIAN($B41-Conversion!$B$15,2020,2050),Report_Scenarios!$A$29:$A$35,1)),INDEX(Report_Scenarios!$F$29:$F$35,MATCH(MEDIAN($B41-Conversion!$B$15,2020,2050),Report_Scenarios!$A$29:$A$35,1))+(INDEX(Report_Scenarios!$F$29:$F$35,MIN(MATCH(MEDIAN($B41-Conversion!$B$15,2020,2050),Report_Scenarios!$A$29:$A$35,1)+1,7))-INDEX(Report_Scenarios!$F$29:$F$35,MATCH(MEDIAN($B41-Conversion!$B$15,2020,2050),Report_Scenarios!$A$29:$A$35,1)))*(MEDIAN($B41-Conversion!$B$15,2020,2050)-INDEX(Report_Scenarios!$A$29:$A$35,MATCH(MEDIAN($B41-Conversion!$B$15,2020,2050),Report_Scenarios!$A$29:$A$35,1)))/(INDEX(Report_Scenarios!$A$29:$A$35,MIN(MATCH(MEDIAN($B41-Conversion!$B$15,2020,2050),Report_Scenarios!$A$29:$A$35,1)+1,7))-INDEX(Report_Scenarios!$A$29:$A$35,MATCH(MEDIAN($B41-Conversion!$B$15,2020,2050),Report_Scenarios!$A$29:$A$35,1))))))</f>
        <v/>
      </c>
      <c r="J41" s="23">
        <f>IF($D41="Conservative",IF(INDEX(Report_Scenarios!$A$7:$A$13,MIN(MATCH(MEDIAN($B41-Conversion!$B$15,2020,2050),Report_Scenarios!$A$7:$A$13,1)+1,7))=INDEX(Report_Scenarios!$A$7:$A$13,MATCH(MEDIAN($B41-Conversion!$B$15,2020,2050),Report_Scenarios!$A$7:$A$13,1)),INDEX(Report_Scenarios!$G$7:$G$13,MATCH(MEDIAN($B41-Conversion!$B$15,2020,2050),Report_Scenarios!$A$7:$A$13,1)),INDEX(Report_Scenarios!$G$7:$G$13,MATCH(MEDIAN($B41-Conversion!$B$15,2020,2050),Report_Scenarios!$A$7:$A$13,1))+(INDEX(Report_Scenarios!$G$7:$G$13,MIN(MATCH(MEDIAN($B41-Conversion!$B$15,2020,2050),Report_Scenarios!$A$7:$A$13,1)+1,7))-INDEX(Report_Scenarios!$G$7:$G$13,MATCH(MEDIAN($B41-Conversion!$B$15,2020,2050),Report_Scenarios!$A$7:$A$13,1)))*(MEDIAN($B41-Conversion!$B$15,2020,2050)-INDEX(Report_Scenarios!$A$7:$A$13,MATCH(MEDIAN($B41-Conversion!$B$15,2020,2050),Report_Scenarios!$A$7:$A$13,1)))/(INDEX(Report_Scenarios!$A$7:$A$13,MIN(MATCH(MEDIAN($B41-Conversion!$B$15,2020,2050),Report_Scenarios!$A$7:$A$13,1)+1,7))-INDEX(Report_Scenarios!$A$7:$A$13,MATCH(MEDIAN($B41-Conversion!$B$15,2020,2050),Report_Scenarios!$A$7:$A$13,1)))),IF($D41="Central",IF(INDEX(Report_Scenarios!$A$18:$A$24,MIN(MATCH(MEDIAN($B41-Conversion!$B$15,2020,2050),Report_Scenarios!$A$18:$A$24,1)+1,7))=INDEX(Report_Scenarios!$A$18:$A$24,MATCH(MEDIAN($B41-Conversion!$B$15,2020,2050),Report_Scenarios!$A$18:$A$24,1)),INDEX(Report_Scenarios!$G$18:$G$24,MATCH(MEDIAN($B41-Conversion!$B$15,2020,2050),Report_Scenarios!$A$18:$A$24,1)),INDEX(Report_Scenarios!$G$18:$G$24,MATCH(MEDIAN($B41-Conversion!$B$15,2020,2050),Report_Scenarios!$A$18:$A$24,1))+(INDEX(Report_Scenarios!$G$18:$G$24,MIN(MATCH(MEDIAN($B41-Conversion!$B$15,2020,2050),Report_Scenarios!$A$18:$A$24,1)+1,7))-INDEX(Report_Scenarios!$G$18:$G$24,MATCH(MEDIAN($B41-Conversion!$B$15,2020,2050),Report_Scenarios!$A$18:$A$24,1)))*(MEDIAN($B41-Conversion!$B$15,2020,2050)-INDEX(Report_Scenarios!$A$18:$A$24,MATCH(MEDIAN($B41-Conversion!$B$15,2020,2050),Report_Scenarios!$A$18:$A$24,1)))/(INDEX(Report_Scenarios!$A$18:$A$24,MIN(MATCH(MEDIAN($B41-Conversion!$B$15,2020,2050),Report_Scenarios!$A$18:$A$24,1)+1,7))-INDEX(Report_Scenarios!$A$18:$A$24,MATCH(MEDIAN($B41-Conversion!$B$15,2020,2050),Report_Scenarios!$A$18:$A$24,1)))),IF(INDEX(Report_Scenarios!$A$29:$A$35,MIN(MATCH(MEDIAN($B41-Conversion!$B$15,2020,2050),Report_Scenarios!$A$29:$A$35,1)+1,7))=INDEX(Report_Scenarios!$A$29:$A$35,MATCH(MEDIAN($B41-Conversion!$B$15,2020,2050),Report_Scenarios!$A$29:$A$35,1)),INDEX(Report_Scenarios!$G$29:$G$35,MATCH(MEDIAN($B41-Conversion!$B$15,2020,2050),Report_Scenarios!$A$29:$A$35,1)),INDEX(Report_Scenarios!$G$29:$G$35,MATCH(MEDIAN($B41-Conversion!$B$15,2020,2050),Report_Scenarios!$A$29:$A$35,1))+(INDEX(Report_Scenarios!$G$29:$G$35,MIN(MATCH(MEDIAN($B41-Conversion!$B$15,2020,2050),Report_Scenarios!$A$29:$A$35,1)+1,7))-INDEX(Report_Scenarios!$G$29:$G$35,MATCH(MEDIAN($B41-Conversion!$B$15,2020,2050),Report_Scenarios!$A$29:$A$35,1)))*(MEDIAN($B41-Conversion!$B$15,2020,2050)-INDEX(Report_Scenarios!$A$29:$A$35,MATCH(MEDIAN($B41-Conversion!$B$15,2020,2050),Report_Scenarios!$A$29:$A$35,1)))/(INDEX(Report_Scenarios!$A$29:$A$35,MIN(MATCH(MEDIAN($B41-Conversion!$B$15,2020,2050),Report_Scenarios!$A$29:$A$35,1)+1,7))-INDEX(Report_Scenarios!$A$29:$A$35,MATCH(MEDIAN($B41-Conversion!$B$15,2020,2050),Report_Scenarios!$A$29:$A$35,1))))))</f>
        <v/>
      </c>
      <c r="K41" s="23">
        <f>SUM(E41:J41)</f>
        <v/>
      </c>
      <c r="L41" s="23">
        <f>IF(R41&lt;&gt;"",R41,IF($K41=0,0,E41/$K41))</f>
        <v/>
      </c>
      <c r="M41" s="23">
        <f>IF(S41&lt;&gt;"",S41,IF($K41=0,0,F41/$K41))</f>
        <v/>
      </c>
      <c r="N41" s="23">
        <f>IF(T41&lt;&gt;"",T41,IF($K41=0,0,G41/$K41))</f>
        <v/>
      </c>
      <c r="O41" s="23">
        <f>IF(U41&lt;&gt;"",U41,IF($K41=0,0,H41/$K41))</f>
        <v/>
      </c>
      <c r="P41" s="23">
        <f>IF(V41&lt;&gt;"",V41,IF($K41=0,0,I41/$K41))</f>
        <v/>
      </c>
      <c r="Q41" s="23">
        <f>IF(W41&lt;&gt;"",W41,IF($K41=0,0,J41/$K41))</f>
        <v/>
      </c>
      <c r="R41" s="24" t="n"/>
      <c r="S41" s="24" t="n"/>
      <c r="T41" s="24" t="n"/>
      <c r="U41" s="24" t="n"/>
      <c r="V41" s="24" t="n"/>
      <c r="W41" s="24" t="n"/>
    </row>
    <row r="42">
      <c r="A42" s="4" t="inlineStr">
        <is>
          <t>CD</t>
        </is>
      </c>
      <c r="B42" s="4" t="n">
        <v>2030</v>
      </c>
      <c r="C42" s="4" t="inlineStr">
        <is>
          <t>Share_Mode</t>
        </is>
      </c>
      <c r="D42" s="4">
        <f>Conversion!$B$19</f>
        <v/>
      </c>
      <c r="E42" s="23">
        <f>IF($D42="Conservative",IF(INDEX(Report_Scenarios!$A$7:$A$13,MIN(MATCH(MEDIAN($B42-Conversion!$B$15,2020,2050),Report_Scenarios!$A$7:$A$13,1)+1,7))=INDEX(Report_Scenarios!$A$7:$A$13,MATCH(MEDIAN($B42-Conversion!$B$15,2020,2050),Report_Scenarios!$A$7:$A$13,1)),INDEX(Report_Scenarios!$B$7:$B$13,MATCH(MEDIAN($B42-Conversion!$B$15,2020,2050),Report_Scenarios!$A$7:$A$13,1)),INDEX(Report_Scenarios!$B$7:$B$13,MATCH(MEDIAN($B42-Conversion!$B$15,2020,2050),Report_Scenarios!$A$7:$A$13,1))+(INDEX(Report_Scenarios!$B$7:$B$13,MIN(MATCH(MEDIAN($B42-Conversion!$B$15,2020,2050),Report_Scenarios!$A$7:$A$13,1)+1,7))-INDEX(Report_Scenarios!$B$7:$B$13,MATCH(MEDIAN($B42-Conversion!$B$15,2020,2050),Report_Scenarios!$A$7:$A$13,1)))*(MEDIAN($B42-Conversion!$B$15,2020,2050)-INDEX(Report_Scenarios!$A$7:$A$13,MATCH(MEDIAN($B42-Conversion!$B$15,2020,2050),Report_Scenarios!$A$7:$A$13,1)))/(INDEX(Report_Scenarios!$A$7:$A$13,MIN(MATCH(MEDIAN($B42-Conversion!$B$15,2020,2050),Report_Scenarios!$A$7:$A$13,1)+1,7))-INDEX(Report_Scenarios!$A$7:$A$13,MATCH(MEDIAN($B42-Conversion!$B$15,2020,2050),Report_Scenarios!$A$7:$A$13,1)))),IF($D42="Central",IF(INDEX(Report_Scenarios!$A$18:$A$24,MIN(MATCH(MEDIAN($B42-Conversion!$B$15,2020,2050),Report_Scenarios!$A$18:$A$24,1)+1,7))=INDEX(Report_Scenarios!$A$18:$A$24,MATCH(MEDIAN($B42-Conversion!$B$15,2020,2050),Report_Scenarios!$A$18:$A$24,1)),INDEX(Report_Scenarios!$B$18:$B$24,MATCH(MEDIAN($B42-Conversion!$B$15,2020,2050),Report_Scenarios!$A$18:$A$24,1)),INDEX(Report_Scenarios!$B$18:$B$24,MATCH(MEDIAN($B42-Conversion!$B$15,2020,2050),Report_Scenarios!$A$18:$A$24,1))+(INDEX(Report_Scenarios!$B$18:$B$24,MIN(MATCH(MEDIAN($B42-Conversion!$B$15,2020,2050),Report_Scenarios!$A$18:$A$24,1)+1,7))-INDEX(Report_Scenarios!$B$18:$B$24,MATCH(MEDIAN($B42-Conversion!$B$15,2020,2050),Report_Scenarios!$A$18:$A$24,1)))*(MEDIAN($B42-Conversion!$B$15,2020,2050)-INDEX(Report_Scenarios!$A$18:$A$24,MATCH(MEDIAN($B42-Conversion!$B$15,2020,2050),Report_Scenarios!$A$18:$A$24,1)))/(INDEX(Report_Scenarios!$A$18:$A$24,MIN(MATCH(MEDIAN($B42-Conversion!$B$15,2020,2050),Report_Scenarios!$A$18:$A$24,1)+1,7))-INDEX(Report_Scenarios!$A$18:$A$24,MATCH(MEDIAN($B42-Conversion!$B$15,2020,2050),Report_Scenarios!$A$18:$A$24,1)))),IF(INDEX(Report_Scenarios!$A$29:$A$35,MIN(MATCH(MEDIAN($B42-Conversion!$B$15,2020,2050),Report_Scenarios!$A$29:$A$35,1)+1,7))=INDEX(Report_Scenarios!$A$29:$A$35,MATCH(MEDIAN($B42-Conversion!$B$15,2020,2050),Report_Scenarios!$A$29:$A$35,1)),INDEX(Report_Scenarios!$B$29:$B$35,MATCH(MEDIAN($B42-Conversion!$B$15,2020,2050),Report_Scenarios!$A$29:$A$35,1)),INDEX(Report_Scenarios!$B$29:$B$35,MATCH(MEDIAN($B42-Conversion!$B$15,2020,2050),Report_Scenarios!$A$29:$A$35,1))+(INDEX(Report_Scenarios!$B$29:$B$35,MIN(MATCH(MEDIAN($B42-Conversion!$B$15,2020,2050),Report_Scenarios!$A$29:$A$35,1)+1,7))-INDEX(Report_Scenarios!$B$29:$B$35,MATCH(MEDIAN($B42-Conversion!$B$15,2020,2050),Report_Scenarios!$A$29:$A$35,1)))*(MEDIAN($B42-Conversion!$B$15,2020,2050)-INDEX(Report_Scenarios!$A$29:$A$35,MATCH(MEDIAN($B42-Conversion!$B$15,2020,2050),Report_Scenarios!$A$29:$A$35,1)))/(INDEX(Report_Scenarios!$A$29:$A$35,MIN(MATCH(MEDIAN($B42-Conversion!$B$15,2020,2050),Report_Scenarios!$A$29:$A$35,1)+1,7))-INDEX(Report_Scenarios!$A$29:$A$35,MATCH(MEDIAN($B42-Conversion!$B$15,2020,2050),Report_Scenarios!$A$29:$A$35,1))))))</f>
        <v/>
      </c>
      <c r="F42" s="23">
        <f>IF($D42="Conservative",IF(INDEX(Report_Scenarios!$A$7:$A$13,MIN(MATCH(MEDIAN($B42-Conversion!$B$15,2020,2050),Report_Scenarios!$A$7:$A$13,1)+1,7))=INDEX(Report_Scenarios!$A$7:$A$13,MATCH(MEDIAN($B42-Conversion!$B$15,2020,2050),Report_Scenarios!$A$7:$A$13,1)),INDEX(Report_Scenarios!$C$7:$C$13,MATCH(MEDIAN($B42-Conversion!$B$15,2020,2050),Report_Scenarios!$A$7:$A$13,1)),INDEX(Report_Scenarios!$C$7:$C$13,MATCH(MEDIAN($B42-Conversion!$B$15,2020,2050),Report_Scenarios!$A$7:$A$13,1))+(INDEX(Report_Scenarios!$C$7:$C$13,MIN(MATCH(MEDIAN($B42-Conversion!$B$15,2020,2050),Report_Scenarios!$A$7:$A$13,1)+1,7))-INDEX(Report_Scenarios!$C$7:$C$13,MATCH(MEDIAN($B42-Conversion!$B$15,2020,2050),Report_Scenarios!$A$7:$A$13,1)))*(MEDIAN($B42-Conversion!$B$15,2020,2050)-INDEX(Report_Scenarios!$A$7:$A$13,MATCH(MEDIAN($B42-Conversion!$B$15,2020,2050),Report_Scenarios!$A$7:$A$13,1)))/(INDEX(Report_Scenarios!$A$7:$A$13,MIN(MATCH(MEDIAN($B42-Conversion!$B$15,2020,2050),Report_Scenarios!$A$7:$A$13,1)+1,7))-INDEX(Report_Scenarios!$A$7:$A$13,MATCH(MEDIAN($B42-Conversion!$B$15,2020,2050),Report_Scenarios!$A$7:$A$13,1)))),IF($D42="Central",IF(INDEX(Report_Scenarios!$A$18:$A$24,MIN(MATCH(MEDIAN($B42-Conversion!$B$15,2020,2050),Report_Scenarios!$A$18:$A$24,1)+1,7))=INDEX(Report_Scenarios!$A$18:$A$24,MATCH(MEDIAN($B42-Conversion!$B$15,2020,2050),Report_Scenarios!$A$18:$A$24,1)),INDEX(Report_Scenarios!$C$18:$C$24,MATCH(MEDIAN($B42-Conversion!$B$15,2020,2050),Report_Scenarios!$A$18:$A$24,1)),INDEX(Report_Scenarios!$C$18:$C$24,MATCH(MEDIAN($B42-Conversion!$B$15,2020,2050),Report_Scenarios!$A$18:$A$24,1))+(INDEX(Report_Scenarios!$C$18:$C$24,MIN(MATCH(MEDIAN($B42-Conversion!$B$15,2020,2050),Report_Scenarios!$A$18:$A$24,1)+1,7))-INDEX(Report_Scenarios!$C$18:$C$24,MATCH(MEDIAN($B42-Conversion!$B$15,2020,2050),Report_Scenarios!$A$18:$A$24,1)))*(MEDIAN($B42-Conversion!$B$15,2020,2050)-INDEX(Report_Scenarios!$A$18:$A$24,MATCH(MEDIAN($B42-Conversion!$B$15,2020,2050),Report_Scenarios!$A$18:$A$24,1)))/(INDEX(Report_Scenarios!$A$18:$A$24,MIN(MATCH(MEDIAN($B42-Conversion!$B$15,2020,2050),Report_Scenarios!$A$18:$A$24,1)+1,7))-INDEX(Report_Scenarios!$A$18:$A$24,MATCH(MEDIAN($B42-Conversion!$B$15,2020,2050),Report_Scenarios!$A$18:$A$24,1)))),IF(INDEX(Report_Scenarios!$A$29:$A$35,MIN(MATCH(MEDIAN($B42-Conversion!$B$15,2020,2050),Report_Scenarios!$A$29:$A$35,1)+1,7))=INDEX(Report_Scenarios!$A$29:$A$35,MATCH(MEDIAN($B42-Conversion!$B$15,2020,2050),Report_Scenarios!$A$29:$A$35,1)),INDEX(Report_Scenarios!$C$29:$C$35,MATCH(MEDIAN($B42-Conversion!$B$15,2020,2050),Report_Scenarios!$A$29:$A$35,1)),INDEX(Report_Scenarios!$C$29:$C$35,MATCH(MEDIAN($B42-Conversion!$B$15,2020,2050),Report_Scenarios!$A$29:$A$35,1))+(INDEX(Report_Scenarios!$C$29:$C$35,MIN(MATCH(MEDIAN($B42-Conversion!$B$15,2020,2050),Report_Scenarios!$A$29:$A$35,1)+1,7))-INDEX(Report_Scenarios!$C$29:$C$35,MATCH(MEDIAN($B42-Conversion!$B$15,2020,2050),Report_Scenarios!$A$29:$A$35,1)))*(MEDIAN($B42-Conversion!$B$15,2020,2050)-INDEX(Report_Scenarios!$A$29:$A$35,MATCH(MEDIAN($B42-Conversion!$B$15,2020,2050),Report_Scenarios!$A$29:$A$35,1)))/(INDEX(Report_Scenarios!$A$29:$A$35,MIN(MATCH(MEDIAN($B42-Conversion!$B$15,2020,2050),Report_Scenarios!$A$29:$A$35,1)+1,7))-INDEX(Report_Scenarios!$A$29:$A$35,MATCH(MEDIAN($B42-Conversion!$B$15,2020,2050),Report_Scenarios!$A$29:$A$35,1))))))</f>
        <v/>
      </c>
      <c r="G42" s="23">
        <f>IF($D42="Conservative",IF(INDEX(Report_Scenarios!$A$7:$A$13,MIN(MATCH(MEDIAN($B42-Conversion!$B$15,2020,2050),Report_Scenarios!$A$7:$A$13,1)+1,7))=INDEX(Report_Scenarios!$A$7:$A$13,MATCH(MEDIAN($B42-Conversion!$B$15,2020,2050),Report_Scenarios!$A$7:$A$13,1)),INDEX(Report_Scenarios!$D$7:$D$13,MATCH(MEDIAN($B42-Conversion!$B$15,2020,2050),Report_Scenarios!$A$7:$A$13,1)),INDEX(Report_Scenarios!$D$7:$D$13,MATCH(MEDIAN($B42-Conversion!$B$15,2020,2050),Report_Scenarios!$A$7:$A$13,1))+(INDEX(Report_Scenarios!$D$7:$D$13,MIN(MATCH(MEDIAN($B42-Conversion!$B$15,2020,2050),Report_Scenarios!$A$7:$A$13,1)+1,7))-INDEX(Report_Scenarios!$D$7:$D$13,MATCH(MEDIAN($B42-Conversion!$B$15,2020,2050),Report_Scenarios!$A$7:$A$13,1)))*(MEDIAN($B42-Conversion!$B$15,2020,2050)-INDEX(Report_Scenarios!$A$7:$A$13,MATCH(MEDIAN($B42-Conversion!$B$15,2020,2050),Report_Scenarios!$A$7:$A$13,1)))/(INDEX(Report_Scenarios!$A$7:$A$13,MIN(MATCH(MEDIAN($B42-Conversion!$B$15,2020,2050),Report_Scenarios!$A$7:$A$13,1)+1,7))-INDEX(Report_Scenarios!$A$7:$A$13,MATCH(MEDIAN($B42-Conversion!$B$15,2020,2050),Report_Scenarios!$A$7:$A$13,1)))),IF($D42="Central",IF(INDEX(Report_Scenarios!$A$18:$A$24,MIN(MATCH(MEDIAN($B42-Conversion!$B$15,2020,2050),Report_Scenarios!$A$18:$A$24,1)+1,7))=INDEX(Report_Scenarios!$A$18:$A$24,MATCH(MEDIAN($B42-Conversion!$B$15,2020,2050),Report_Scenarios!$A$18:$A$24,1)),INDEX(Report_Scenarios!$D$18:$D$24,MATCH(MEDIAN($B42-Conversion!$B$15,2020,2050),Report_Scenarios!$A$18:$A$24,1)),INDEX(Report_Scenarios!$D$18:$D$24,MATCH(MEDIAN($B42-Conversion!$B$15,2020,2050),Report_Scenarios!$A$18:$A$24,1))+(INDEX(Report_Scenarios!$D$18:$D$24,MIN(MATCH(MEDIAN($B42-Conversion!$B$15,2020,2050),Report_Scenarios!$A$18:$A$24,1)+1,7))-INDEX(Report_Scenarios!$D$18:$D$24,MATCH(MEDIAN($B42-Conversion!$B$15,2020,2050),Report_Scenarios!$A$18:$A$24,1)))*(MEDIAN($B42-Conversion!$B$15,2020,2050)-INDEX(Report_Scenarios!$A$18:$A$24,MATCH(MEDIAN($B42-Conversion!$B$15,2020,2050),Report_Scenarios!$A$18:$A$24,1)))/(INDEX(Report_Scenarios!$A$18:$A$24,MIN(MATCH(MEDIAN($B42-Conversion!$B$15,2020,2050),Report_Scenarios!$A$18:$A$24,1)+1,7))-INDEX(Report_Scenarios!$A$18:$A$24,MATCH(MEDIAN($B42-Conversion!$B$15,2020,2050),Report_Scenarios!$A$18:$A$24,1)))),IF(INDEX(Report_Scenarios!$A$29:$A$35,MIN(MATCH(MEDIAN($B42-Conversion!$B$15,2020,2050),Report_Scenarios!$A$29:$A$35,1)+1,7))=INDEX(Report_Scenarios!$A$29:$A$35,MATCH(MEDIAN($B42-Conversion!$B$15,2020,2050),Report_Scenarios!$A$29:$A$35,1)),INDEX(Report_Scenarios!$D$29:$D$35,MATCH(MEDIAN($B42-Conversion!$B$15,2020,2050),Report_Scenarios!$A$29:$A$35,1)),INDEX(Report_Scenarios!$D$29:$D$35,MATCH(MEDIAN($B42-Conversion!$B$15,2020,2050),Report_Scenarios!$A$29:$A$35,1))+(INDEX(Report_Scenarios!$D$29:$D$35,MIN(MATCH(MEDIAN($B42-Conversion!$B$15,2020,2050),Report_Scenarios!$A$29:$A$35,1)+1,7))-INDEX(Report_Scenarios!$D$29:$D$35,MATCH(MEDIAN($B42-Conversion!$B$15,2020,2050),Report_Scenarios!$A$29:$A$35,1)))*(MEDIAN($B42-Conversion!$B$15,2020,2050)-INDEX(Report_Scenarios!$A$29:$A$35,MATCH(MEDIAN($B42-Conversion!$B$15,2020,2050),Report_Scenarios!$A$29:$A$35,1)))/(INDEX(Report_Scenarios!$A$29:$A$35,MIN(MATCH(MEDIAN($B42-Conversion!$B$15,2020,2050),Report_Scenarios!$A$29:$A$35,1)+1,7))-INDEX(Report_Scenarios!$A$29:$A$35,MATCH(MEDIAN($B42-Conversion!$B$15,2020,2050),Report_Scenarios!$A$29:$A$35,1))))))</f>
        <v/>
      </c>
      <c r="H42" s="23">
        <f>IF($D42="Conservative",IF(INDEX(Report_Scenarios!$A$7:$A$13,MIN(MATCH(MEDIAN($B42-Conversion!$B$15,2020,2050),Report_Scenarios!$A$7:$A$13,1)+1,7))=INDEX(Report_Scenarios!$A$7:$A$13,MATCH(MEDIAN($B42-Conversion!$B$15,2020,2050),Report_Scenarios!$A$7:$A$13,1)),INDEX(Report_Scenarios!$E$7:$E$13,MATCH(MEDIAN($B42-Conversion!$B$15,2020,2050),Report_Scenarios!$A$7:$A$13,1)),INDEX(Report_Scenarios!$E$7:$E$13,MATCH(MEDIAN($B42-Conversion!$B$15,2020,2050),Report_Scenarios!$A$7:$A$13,1))+(INDEX(Report_Scenarios!$E$7:$E$13,MIN(MATCH(MEDIAN($B42-Conversion!$B$15,2020,2050),Report_Scenarios!$A$7:$A$13,1)+1,7))-INDEX(Report_Scenarios!$E$7:$E$13,MATCH(MEDIAN($B42-Conversion!$B$15,2020,2050),Report_Scenarios!$A$7:$A$13,1)))*(MEDIAN($B42-Conversion!$B$15,2020,2050)-INDEX(Report_Scenarios!$A$7:$A$13,MATCH(MEDIAN($B42-Conversion!$B$15,2020,2050),Report_Scenarios!$A$7:$A$13,1)))/(INDEX(Report_Scenarios!$A$7:$A$13,MIN(MATCH(MEDIAN($B42-Conversion!$B$15,2020,2050),Report_Scenarios!$A$7:$A$13,1)+1,7))-INDEX(Report_Scenarios!$A$7:$A$13,MATCH(MEDIAN($B42-Conversion!$B$15,2020,2050),Report_Scenarios!$A$7:$A$13,1)))),IF($D42="Central",IF(INDEX(Report_Scenarios!$A$18:$A$24,MIN(MATCH(MEDIAN($B42-Conversion!$B$15,2020,2050),Report_Scenarios!$A$18:$A$24,1)+1,7))=INDEX(Report_Scenarios!$A$18:$A$24,MATCH(MEDIAN($B42-Conversion!$B$15,2020,2050),Report_Scenarios!$A$18:$A$24,1)),INDEX(Report_Scenarios!$E$18:$E$24,MATCH(MEDIAN($B42-Conversion!$B$15,2020,2050),Report_Scenarios!$A$18:$A$24,1)),INDEX(Report_Scenarios!$E$18:$E$24,MATCH(MEDIAN($B42-Conversion!$B$15,2020,2050),Report_Scenarios!$A$18:$A$24,1))+(INDEX(Report_Scenarios!$E$18:$E$24,MIN(MATCH(MEDIAN($B42-Conversion!$B$15,2020,2050),Report_Scenarios!$A$18:$A$24,1)+1,7))-INDEX(Report_Scenarios!$E$18:$E$24,MATCH(MEDIAN($B42-Conversion!$B$15,2020,2050),Report_Scenarios!$A$18:$A$24,1)))*(MEDIAN($B42-Conversion!$B$15,2020,2050)-INDEX(Report_Scenarios!$A$18:$A$24,MATCH(MEDIAN($B42-Conversion!$B$15,2020,2050),Report_Scenarios!$A$18:$A$24,1)))/(INDEX(Report_Scenarios!$A$18:$A$24,MIN(MATCH(MEDIAN($B42-Conversion!$B$15,2020,2050),Report_Scenarios!$A$18:$A$24,1)+1,7))-INDEX(Report_Scenarios!$A$18:$A$24,MATCH(MEDIAN($B42-Conversion!$B$15,2020,2050),Report_Scenarios!$A$18:$A$24,1)))),IF(INDEX(Report_Scenarios!$A$29:$A$35,MIN(MATCH(MEDIAN($B42-Conversion!$B$15,2020,2050),Report_Scenarios!$A$29:$A$35,1)+1,7))=INDEX(Report_Scenarios!$A$29:$A$35,MATCH(MEDIAN($B42-Conversion!$B$15,2020,2050),Report_Scenarios!$A$29:$A$35,1)),INDEX(Report_Scenarios!$E$29:$E$35,MATCH(MEDIAN($B42-Conversion!$B$15,2020,2050),Report_Scenarios!$A$29:$A$35,1)),INDEX(Report_Scenarios!$E$29:$E$35,MATCH(MEDIAN($B42-Conversion!$B$15,2020,2050),Report_Scenarios!$A$29:$A$35,1))+(INDEX(Report_Scenarios!$E$29:$E$35,MIN(MATCH(MEDIAN($B42-Conversion!$B$15,2020,2050),Report_Scenarios!$A$29:$A$35,1)+1,7))-INDEX(Report_Scenarios!$E$29:$E$35,MATCH(MEDIAN($B42-Conversion!$B$15,2020,2050),Report_Scenarios!$A$29:$A$35,1)))*(MEDIAN($B42-Conversion!$B$15,2020,2050)-INDEX(Report_Scenarios!$A$29:$A$35,MATCH(MEDIAN($B42-Conversion!$B$15,2020,2050),Report_Scenarios!$A$29:$A$35,1)))/(INDEX(Report_Scenarios!$A$29:$A$35,MIN(MATCH(MEDIAN($B42-Conversion!$B$15,2020,2050),Report_Scenarios!$A$29:$A$35,1)+1,7))-INDEX(Report_Scenarios!$A$29:$A$35,MATCH(MEDIAN($B42-Conversion!$B$15,2020,2050),Report_Scenarios!$A$29:$A$35,1))))))</f>
        <v/>
      </c>
      <c r="I42" s="23">
        <f>IF($D42="Conservative",IF(INDEX(Report_Scenarios!$A$7:$A$13,MIN(MATCH(MEDIAN($B42-Conversion!$B$15,2020,2050),Report_Scenarios!$A$7:$A$13,1)+1,7))=INDEX(Report_Scenarios!$A$7:$A$13,MATCH(MEDIAN($B42-Conversion!$B$15,2020,2050),Report_Scenarios!$A$7:$A$13,1)),INDEX(Report_Scenarios!$F$7:$F$13,MATCH(MEDIAN($B42-Conversion!$B$15,2020,2050),Report_Scenarios!$A$7:$A$13,1)),INDEX(Report_Scenarios!$F$7:$F$13,MATCH(MEDIAN($B42-Conversion!$B$15,2020,2050),Report_Scenarios!$A$7:$A$13,1))+(INDEX(Report_Scenarios!$F$7:$F$13,MIN(MATCH(MEDIAN($B42-Conversion!$B$15,2020,2050),Report_Scenarios!$A$7:$A$13,1)+1,7))-INDEX(Report_Scenarios!$F$7:$F$13,MATCH(MEDIAN($B42-Conversion!$B$15,2020,2050),Report_Scenarios!$A$7:$A$13,1)))*(MEDIAN($B42-Conversion!$B$15,2020,2050)-INDEX(Report_Scenarios!$A$7:$A$13,MATCH(MEDIAN($B42-Conversion!$B$15,2020,2050),Report_Scenarios!$A$7:$A$13,1)))/(INDEX(Report_Scenarios!$A$7:$A$13,MIN(MATCH(MEDIAN($B42-Conversion!$B$15,2020,2050),Report_Scenarios!$A$7:$A$13,1)+1,7))-INDEX(Report_Scenarios!$A$7:$A$13,MATCH(MEDIAN($B42-Conversion!$B$15,2020,2050),Report_Scenarios!$A$7:$A$13,1)))),IF($D42="Central",IF(INDEX(Report_Scenarios!$A$18:$A$24,MIN(MATCH(MEDIAN($B42-Conversion!$B$15,2020,2050),Report_Scenarios!$A$18:$A$24,1)+1,7))=INDEX(Report_Scenarios!$A$18:$A$24,MATCH(MEDIAN($B42-Conversion!$B$15,2020,2050),Report_Scenarios!$A$18:$A$24,1)),INDEX(Report_Scenarios!$F$18:$F$24,MATCH(MEDIAN($B42-Conversion!$B$15,2020,2050),Report_Scenarios!$A$18:$A$24,1)),INDEX(Report_Scenarios!$F$18:$F$24,MATCH(MEDIAN($B42-Conversion!$B$15,2020,2050),Report_Scenarios!$A$18:$A$24,1))+(INDEX(Report_Scenarios!$F$18:$F$24,MIN(MATCH(MEDIAN($B42-Conversion!$B$15,2020,2050),Report_Scenarios!$A$18:$A$24,1)+1,7))-INDEX(Report_Scenarios!$F$18:$F$24,MATCH(MEDIAN($B42-Conversion!$B$15,2020,2050),Report_Scenarios!$A$18:$A$24,1)))*(MEDIAN($B42-Conversion!$B$15,2020,2050)-INDEX(Report_Scenarios!$A$18:$A$24,MATCH(MEDIAN($B42-Conversion!$B$15,2020,2050),Report_Scenarios!$A$18:$A$24,1)))/(INDEX(Report_Scenarios!$A$18:$A$24,MIN(MATCH(MEDIAN($B42-Conversion!$B$15,2020,2050),Report_Scenarios!$A$18:$A$24,1)+1,7))-INDEX(Report_Scenarios!$A$18:$A$24,MATCH(MEDIAN($B42-Conversion!$B$15,2020,2050),Report_Scenarios!$A$18:$A$24,1)))),IF(INDEX(Report_Scenarios!$A$29:$A$35,MIN(MATCH(MEDIAN($B42-Conversion!$B$15,2020,2050),Report_Scenarios!$A$29:$A$35,1)+1,7))=INDEX(Report_Scenarios!$A$29:$A$35,MATCH(MEDIAN($B42-Conversion!$B$15,2020,2050),Report_Scenarios!$A$29:$A$35,1)),INDEX(Report_Scenarios!$F$29:$F$35,MATCH(MEDIAN($B42-Conversion!$B$15,2020,2050),Report_Scenarios!$A$29:$A$35,1)),INDEX(Report_Scenarios!$F$29:$F$35,MATCH(MEDIAN($B42-Conversion!$B$15,2020,2050),Report_Scenarios!$A$29:$A$35,1))+(INDEX(Report_Scenarios!$F$29:$F$35,MIN(MATCH(MEDIAN($B42-Conversion!$B$15,2020,2050),Report_Scenarios!$A$29:$A$35,1)+1,7))-INDEX(Report_Scenarios!$F$29:$F$35,MATCH(MEDIAN($B42-Conversion!$B$15,2020,2050),Report_Scenarios!$A$29:$A$35,1)))*(MEDIAN($B42-Conversion!$B$15,2020,2050)-INDEX(Report_Scenarios!$A$29:$A$35,MATCH(MEDIAN($B42-Conversion!$B$15,2020,2050),Report_Scenarios!$A$29:$A$35,1)))/(INDEX(Report_Scenarios!$A$29:$A$35,MIN(MATCH(MEDIAN($B42-Conversion!$B$15,2020,2050),Report_Scenarios!$A$29:$A$35,1)+1,7))-INDEX(Report_Scenarios!$A$29:$A$35,MATCH(MEDIAN($B42-Conversion!$B$15,2020,2050),Report_Scenarios!$A$29:$A$35,1))))))</f>
        <v/>
      </c>
      <c r="J42" s="23">
        <f>IF($D42="Conservative",IF(INDEX(Report_Scenarios!$A$7:$A$13,MIN(MATCH(MEDIAN($B42-Conversion!$B$15,2020,2050),Report_Scenarios!$A$7:$A$13,1)+1,7))=INDEX(Report_Scenarios!$A$7:$A$13,MATCH(MEDIAN($B42-Conversion!$B$15,2020,2050),Report_Scenarios!$A$7:$A$13,1)),INDEX(Report_Scenarios!$G$7:$G$13,MATCH(MEDIAN($B42-Conversion!$B$15,2020,2050),Report_Scenarios!$A$7:$A$13,1)),INDEX(Report_Scenarios!$G$7:$G$13,MATCH(MEDIAN($B42-Conversion!$B$15,2020,2050),Report_Scenarios!$A$7:$A$13,1))+(INDEX(Report_Scenarios!$G$7:$G$13,MIN(MATCH(MEDIAN($B42-Conversion!$B$15,2020,2050),Report_Scenarios!$A$7:$A$13,1)+1,7))-INDEX(Report_Scenarios!$G$7:$G$13,MATCH(MEDIAN($B42-Conversion!$B$15,2020,2050),Report_Scenarios!$A$7:$A$13,1)))*(MEDIAN($B42-Conversion!$B$15,2020,2050)-INDEX(Report_Scenarios!$A$7:$A$13,MATCH(MEDIAN($B42-Conversion!$B$15,2020,2050),Report_Scenarios!$A$7:$A$13,1)))/(INDEX(Report_Scenarios!$A$7:$A$13,MIN(MATCH(MEDIAN($B42-Conversion!$B$15,2020,2050),Report_Scenarios!$A$7:$A$13,1)+1,7))-INDEX(Report_Scenarios!$A$7:$A$13,MATCH(MEDIAN($B42-Conversion!$B$15,2020,2050),Report_Scenarios!$A$7:$A$13,1)))),IF($D42="Central",IF(INDEX(Report_Scenarios!$A$18:$A$24,MIN(MATCH(MEDIAN($B42-Conversion!$B$15,2020,2050),Report_Scenarios!$A$18:$A$24,1)+1,7))=INDEX(Report_Scenarios!$A$18:$A$24,MATCH(MEDIAN($B42-Conversion!$B$15,2020,2050),Report_Scenarios!$A$18:$A$24,1)),INDEX(Report_Scenarios!$G$18:$G$24,MATCH(MEDIAN($B42-Conversion!$B$15,2020,2050),Report_Scenarios!$A$18:$A$24,1)),INDEX(Report_Scenarios!$G$18:$G$24,MATCH(MEDIAN($B42-Conversion!$B$15,2020,2050),Report_Scenarios!$A$18:$A$24,1))+(INDEX(Report_Scenarios!$G$18:$G$24,MIN(MATCH(MEDIAN($B42-Conversion!$B$15,2020,2050),Report_Scenarios!$A$18:$A$24,1)+1,7))-INDEX(Report_Scenarios!$G$18:$G$24,MATCH(MEDIAN($B42-Conversion!$B$15,2020,2050),Report_Scenarios!$A$18:$A$24,1)))*(MEDIAN($B42-Conversion!$B$15,2020,2050)-INDEX(Report_Scenarios!$A$18:$A$24,MATCH(MEDIAN($B42-Conversion!$B$15,2020,2050),Report_Scenarios!$A$18:$A$24,1)))/(INDEX(Report_Scenarios!$A$18:$A$24,MIN(MATCH(MEDIAN($B42-Conversion!$B$15,2020,2050),Report_Scenarios!$A$18:$A$24,1)+1,7))-INDEX(Report_Scenarios!$A$18:$A$24,MATCH(MEDIAN($B42-Conversion!$B$15,2020,2050),Report_Scenarios!$A$18:$A$24,1)))),IF(INDEX(Report_Scenarios!$A$29:$A$35,MIN(MATCH(MEDIAN($B42-Conversion!$B$15,2020,2050),Report_Scenarios!$A$29:$A$35,1)+1,7))=INDEX(Report_Scenarios!$A$29:$A$35,MATCH(MEDIAN($B42-Conversion!$B$15,2020,2050),Report_Scenarios!$A$29:$A$35,1)),INDEX(Report_Scenarios!$G$29:$G$35,MATCH(MEDIAN($B42-Conversion!$B$15,2020,2050),Report_Scenarios!$A$29:$A$35,1)),INDEX(Report_Scenarios!$G$29:$G$35,MATCH(MEDIAN($B42-Conversion!$B$15,2020,2050),Report_Scenarios!$A$29:$A$35,1))+(INDEX(Report_Scenarios!$G$29:$G$35,MIN(MATCH(MEDIAN($B42-Conversion!$B$15,2020,2050),Report_Scenarios!$A$29:$A$35,1)+1,7))-INDEX(Report_Scenarios!$G$29:$G$35,MATCH(MEDIAN($B42-Conversion!$B$15,2020,2050),Report_Scenarios!$A$29:$A$35,1)))*(MEDIAN($B42-Conversion!$B$15,2020,2050)-INDEX(Report_Scenarios!$A$29:$A$35,MATCH(MEDIAN($B42-Conversion!$B$15,2020,2050),Report_Scenarios!$A$29:$A$35,1)))/(INDEX(Report_Scenarios!$A$29:$A$35,MIN(MATCH(MEDIAN($B42-Conversion!$B$15,2020,2050),Report_Scenarios!$A$29:$A$35,1)+1,7))-INDEX(Report_Scenarios!$A$29:$A$35,MATCH(MEDIAN($B42-Conversion!$B$15,2020,2050),Report_Scenarios!$A$29:$A$35,1))))))</f>
        <v/>
      </c>
      <c r="K42" s="23">
        <f>SUM(E42:J42)</f>
        <v/>
      </c>
      <c r="L42" s="23">
        <f>IF(R42&lt;&gt;"",R42,IF($K42=0,0,E42/$K42))</f>
        <v/>
      </c>
      <c r="M42" s="23">
        <f>IF(S42&lt;&gt;"",S42,IF($K42=0,0,F42/$K42))</f>
        <v/>
      </c>
      <c r="N42" s="23">
        <f>IF(T42&lt;&gt;"",T42,IF($K42=0,0,G42/$K42))</f>
        <v/>
      </c>
      <c r="O42" s="23">
        <f>IF(U42&lt;&gt;"",U42,IF($K42=0,0,H42/$K42))</f>
        <v/>
      </c>
      <c r="P42" s="23">
        <f>IF(V42&lt;&gt;"",V42,IF($K42=0,0,I42/$K42))</f>
        <v/>
      </c>
      <c r="Q42" s="23">
        <f>IF(W42&lt;&gt;"",W42,IF($K42=0,0,J42/$K42))</f>
        <v/>
      </c>
      <c r="R42" s="24" t="n"/>
      <c r="S42" s="24" t="n"/>
      <c r="T42" s="24" t="n"/>
      <c r="U42" s="24" t="n"/>
      <c r="V42" s="24" t="n"/>
      <c r="W42" s="24" t="n"/>
    </row>
    <row r="43">
      <c r="A43" s="4" t="inlineStr">
        <is>
          <t>CD</t>
        </is>
      </c>
      <c r="B43" s="4" t="n">
        <v>2030</v>
      </c>
      <c r="C43" s="4" t="inlineStr">
        <is>
          <t>Share_Max</t>
        </is>
      </c>
      <c r="D43" s="4">
        <f>Conversion!$B$20</f>
        <v/>
      </c>
      <c r="E43" s="23">
        <f>IF($D43="Conservative",IF(INDEX(Report_Scenarios!$A$7:$A$13,MIN(MATCH(MEDIAN($B43-Conversion!$B$15,2020,2050),Report_Scenarios!$A$7:$A$13,1)+1,7))=INDEX(Report_Scenarios!$A$7:$A$13,MATCH(MEDIAN($B43-Conversion!$B$15,2020,2050),Report_Scenarios!$A$7:$A$13,1)),INDEX(Report_Scenarios!$B$7:$B$13,MATCH(MEDIAN($B43-Conversion!$B$15,2020,2050),Report_Scenarios!$A$7:$A$13,1)),INDEX(Report_Scenarios!$B$7:$B$13,MATCH(MEDIAN($B43-Conversion!$B$15,2020,2050),Report_Scenarios!$A$7:$A$13,1))+(INDEX(Report_Scenarios!$B$7:$B$13,MIN(MATCH(MEDIAN($B43-Conversion!$B$15,2020,2050),Report_Scenarios!$A$7:$A$13,1)+1,7))-INDEX(Report_Scenarios!$B$7:$B$13,MATCH(MEDIAN($B43-Conversion!$B$15,2020,2050),Report_Scenarios!$A$7:$A$13,1)))*(MEDIAN($B43-Conversion!$B$15,2020,2050)-INDEX(Report_Scenarios!$A$7:$A$13,MATCH(MEDIAN($B43-Conversion!$B$15,2020,2050),Report_Scenarios!$A$7:$A$13,1)))/(INDEX(Report_Scenarios!$A$7:$A$13,MIN(MATCH(MEDIAN($B43-Conversion!$B$15,2020,2050),Report_Scenarios!$A$7:$A$13,1)+1,7))-INDEX(Report_Scenarios!$A$7:$A$13,MATCH(MEDIAN($B43-Conversion!$B$15,2020,2050),Report_Scenarios!$A$7:$A$13,1)))),IF($D43="Central",IF(INDEX(Report_Scenarios!$A$18:$A$24,MIN(MATCH(MEDIAN($B43-Conversion!$B$15,2020,2050),Report_Scenarios!$A$18:$A$24,1)+1,7))=INDEX(Report_Scenarios!$A$18:$A$24,MATCH(MEDIAN($B43-Conversion!$B$15,2020,2050),Report_Scenarios!$A$18:$A$24,1)),INDEX(Report_Scenarios!$B$18:$B$24,MATCH(MEDIAN($B43-Conversion!$B$15,2020,2050),Report_Scenarios!$A$18:$A$24,1)),INDEX(Report_Scenarios!$B$18:$B$24,MATCH(MEDIAN($B43-Conversion!$B$15,2020,2050),Report_Scenarios!$A$18:$A$24,1))+(INDEX(Report_Scenarios!$B$18:$B$24,MIN(MATCH(MEDIAN($B43-Conversion!$B$15,2020,2050),Report_Scenarios!$A$18:$A$24,1)+1,7))-INDEX(Report_Scenarios!$B$18:$B$24,MATCH(MEDIAN($B43-Conversion!$B$15,2020,2050),Report_Scenarios!$A$18:$A$24,1)))*(MEDIAN($B43-Conversion!$B$15,2020,2050)-INDEX(Report_Scenarios!$A$18:$A$24,MATCH(MEDIAN($B43-Conversion!$B$15,2020,2050),Report_Scenarios!$A$18:$A$24,1)))/(INDEX(Report_Scenarios!$A$18:$A$24,MIN(MATCH(MEDIAN($B43-Conversion!$B$15,2020,2050),Report_Scenarios!$A$18:$A$24,1)+1,7))-INDEX(Report_Scenarios!$A$18:$A$24,MATCH(MEDIAN($B43-Conversion!$B$15,2020,2050),Report_Scenarios!$A$18:$A$24,1)))),IF(INDEX(Report_Scenarios!$A$29:$A$35,MIN(MATCH(MEDIAN($B43-Conversion!$B$15,2020,2050),Report_Scenarios!$A$29:$A$35,1)+1,7))=INDEX(Report_Scenarios!$A$29:$A$35,MATCH(MEDIAN($B43-Conversion!$B$15,2020,2050),Report_Scenarios!$A$29:$A$35,1)),INDEX(Report_Scenarios!$B$29:$B$35,MATCH(MEDIAN($B43-Conversion!$B$15,2020,2050),Report_Scenarios!$A$29:$A$35,1)),INDEX(Report_Scenarios!$B$29:$B$35,MATCH(MEDIAN($B43-Conversion!$B$15,2020,2050),Report_Scenarios!$A$29:$A$35,1))+(INDEX(Report_Scenarios!$B$29:$B$35,MIN(MATCH(MEDIAN($B43-Conversion!$B$15,2020,2050),Report_Scenarios!$A$29:$A$35,1)+1,7))-INDEX(Report_Scenarios!$B$29:$B$35,MATCH(MEDIAN($B43-Conversion!$B$15,2020,2050),Report_Scenarios!$A$29:$A$35,1)))*(MEDIAN($B43-Conversion!$B$15,2020,2050)-INDEX(Report_Scenarios!$A$29:$A$35,MATCH(MEDIAN($B43-Conversion!$B$15,2020,2050),Report_Scenarios!$A$29:$A$35,1)))/(INDEX(Report_Scenarios!$A$29:$A$35,MIN(MATCH(MEDIAN($B43-Conversion!$B$15,2020,2050),Report_Scenarios!$A$29:$A$35,1)+1,7))-INDEX(Report_Scenarios!$A$29:$A$35,MATCH(MEDIAN($B43-Conversion!$B$15,2020,2050),Report_Scenarios!$A$29:$A$35,1))))))</f>
        <v/>
      </c>
      <c r="F43" s="23">
        <f>IF($D43="Conservative",IF(INDEX(Report_Scenarios!$A$7:$A$13,MIN(MATCH(MEDIAN($B43-Conversion!$B$15,2020,2050),Report_Scenarios!$A$7:$A$13,1)+1,7))=INDEX(Report_Scenarios!$A$7:$A$13,MATCH(MEDIAN($B43-Conversion!$B$15,2020,2050),Report_Scenarios!$A$7:$A$13,1)),INDEX(Report_Scenarios!$C$7:$C$13,MATCH(MEDIAN($B43-Conversion!$B$15,2020,2050),Report_Scenarios!$A$7:$A$13,1)),INDEX(Report_Scenarios!$C$7:$C$13,MATCH(MEDIAN($B43-Conversion!$B$15,2020,2050),Report_Scenarios!$A$7:$A$13,1))+(INDEX(Report_Scenarios!$C$7:$C$13,MIN(MATCH(MEDIAN($B43-Conversion!$B$15,2020,2050),Report_Scenarios!$A$7:$A$13,1)+1,7))-INDEX(Report_Scenarios!$C$7:$C$13,MATCH(MEDIAN($B43-Conversion!$B$15,2020,2050),Report_Scenarios!$A$7:$A$13,1)))*(MEDIAN($B43-Conversion!$B$15,2020,2050)-INDEX(Report_Scenarios!$A$7:$A$13,MATCH(MEDIAN($B43-Conversion!$B$15,2020,2050),Report_Scenarios!$A$7:$A$13,1)))/(INDEX(Report_Scenarios!$A$7:$A$13,MIN(MATCH(MEDIAN($B43-Conversion!$B$15,2020,2050),Report_Scenarios!$A$7:$A$13,1)+1,7))-INDEX(Report_Scenarios!$A$7:$A$13,MATCH(MEDIAN($B43-Conversion!$B$15,2020,2050),Report_Scenarios!$A$7:$A$13,1)))),IF($D43="Central",IF(INDEX(Report_Scenarios!$A$18:$A$24,MIN(MATCH(MEDIAN($B43-Conversion!$B$15,2020,2050),Report_Scenarios!$A$18:$A$24,1)+1,7))=INDEX(Report_Scenarios!$A$18:$A$24,MATCH(MEDIAN($B43-Conversion!$B$15,2020,2050),Report_Scenarios!$A$18:$A$24,1)),INDEX(Report_Scenarios!$C$18:$C$24,MATCH(MEDIAN($B43-Conversion!$B$15,2020,2050),Report_Scenarios!$A$18:$A$24,1)),INDEX(Report_Scenarios!$C$18:$C$24,MATCH(MEDIAN($B43-Conversion!$B$15,2020,2050),Report_Scenarios!$A$18:$A$24,1))+(INDEX(Report_Scenarios!$C$18:$C$24,MIN(MATCH(MEDIAN($B43-Conversion!$B$15,2020,2050),Report_Scenarios!$A$18:$A$24,1)+1,7))-INDEX(Report_Scenarios!$C$18:$C$24,MATCH(MEDIAN($B43-Conversion!$B$15,2020,2050),Report_Scenarios!$A$18:$A$24,1)))*(MEDIAN($B43-Conversion!$B$15,2020,2050)-INDEX(Report_Scenarios!$A$18:$A$24,MATCH(MEDIAN($B43-Conversion!$B$15,2020,2050),Report_Scenarios!$A$18:$A$24,1)))/(INDEX(Report_Scenarios!$A$18:$A$24,MIN(MATCH(MEDIAN($B43-Conversion!$B$15,2020,2050),Report_Scenarios!$A$18:$A$24,1)+1,7))-INDEX(Report_Scenarios!$A$18:$A$24,MATCH(MEDIAN($B43-Conversion!$B$15,2020,2050),Report_Scenarios!$A$18:$A$24,1)))),IF(INDEX(Report_Scenarios!$A$29:$A$35,MIN(MATCH(MEDIAN($B43-Conversion!$B$15,2020,2050),Report_Scenarios!$A$29:$A$35,1)+1,7))=INDEX(Report_Scenarios!$A$29:$A$35,MATCH(MEDIAN($B43-Conversion!$B$15,2020,2050),Report_Scenarios!$A$29:$A$35,1)),INDEX(Report_Scenarios!$C$29:$C$35,MATCH(MEDIAN($B43-Conversion!$B$15,2020,2050),Report_Scenarios!$A$29:$A$35,1)),INDEX(Report_Scenarios!$C$29:$C$35,MATCH(MEDIAN($B43-Conversion!$B$15,2020,2050),Report_Scenarios!$A$29:$A$35,1))+(INDEX(Report_Scenarios!$C$29:$C$35,MIN(MATCH(MEDIAN($B43-Conversion!$B$15,2020,2050),Report_Scenarios!$A$29:$A$35,1)+1,7))-INDEX(Report_Scenarios!$C$29:$C$35,MATCH(MEDIAN($B43-Conversion!$B$15,2020,2050),Report_Scenarios!$A$29:$A$35,1)))*(MEDIAN($B43-Conversion!$B$15,2020,2050)-INDEX(Report_Scenarios!$A$29:$A$35,MATCH(MEDIAN($B43-Conversion!$B$15,2020,2050),Report_Scenarios!$A$29:$A$35,1)))/(INDEX(Report_Scenarios!$A$29:$A$35,MIN(MATCH(MEDIAN($B43-Conversion!$B$15,2020,2050),Report_Scenarios!$A$29:$A$35,1)+1,7))-INDEX(Report_Scenarios!$A$29:$A$35,MATCH(MEDIAN($B43-Conversion!$B$15,2020,2050),Report_Scenarios!$A$29:$A$35,1))))))</f>
        <v/>
      </c>
      <c r="G43" s="23">
        <f>IF($D43="Conservative",IF(INDEX(Report_Scenarios!$A$7:$A$13,MIN(MATCH(MEDIAN($B43-Conversion!$B$15,2020,2050),Report_Scenarios!$A$7:$A$13,1)+1,7))=INDEX(Report_Scenarios!$A$7:$A$13,MATCH(MEDIAN($B43-Conversion!$B$15,2020,2050),Report_Scenarios!$A$7:$A$13,1)),INDEX(Report_Scenarios!$D$7:$D$13,MATCH(MEDIAN($B43-Conversion!$B$15,2020,2050),Report_Scenarios!$A$7:$A$13,1)),INDEX(Report_Scenarios!$D$7:$D$13,MATCH(MEDIAN($B43-Conversion!$B$15,2020,2050),Report_Scenarios!$A$7:$A$13,1))+(INDEX(Report_Scenarios!$D$7:$D$13,MIN(MATCH(MEDIAN($B43-Conversion!$B$15,2020,2050),Report_Scenarios!$A$7:$A$13,1)+1,7))-INDEX(Report_Scenarios!$D$7:$D$13,MATCH(MEDIAN($B43-Conversion!$B$15,2020,2050),Report_Scenarios!$A$7:$A$13,1)))*(MEDIAN($B43-Conversion!$B$15,2020,2050)-INDEX(Report_Scenarios!$A$7:$A$13,MATCH(MEDIAN($B43-Conversion!$B$15,2020,2050),Report_Scenarios!$A$7:$A$13,1)))/(INDEX(Report_Scenarios!$A$7:$A$13,MIN(MATCH(MEDIAN($B43-Conversion!$B$15,2020,2050),Report_Scenarios!$A$7:$A$13,1)+1,7))-INDEX(Report_Scenarios!$A$7:$A$13,MATCH(MEDIAN($B43-Conversion!$B$15,2020,2050),Report_Scenarios!$A$7:$A$13,1)))),IF($D43="Central",IF(INDEX(Report_Scenarios!$A$18:$A$24,MIN(MATCH(MEDIAN($B43-Conversion!$B$15,2020,2050),Report_Scenarios!$A$18:$A$24,1)+1,7))=INDEX(Report_Scenarios!$A$18:$A$24,MATCH(MEDIAN($B43-Conversion!$B$15,2020,2050),Report_Scenarios!$A$18:$A$24,1)),INDEX(Report_Scenarios!$D$18:$D$24,MATCH(MEDIAN($B43-Conversion!$B$15,2020,2050),Report_Scenarios!$A$18:$A$24,1)),INDEX(Report_Scenarios!$D$18:$D$24,MATCH(MEDIAN($B43-Conversion!$B$15,2020,2050),Report_Scenarios!$A$18:$A$24,1))+(INDEX(Report_Scenarios!$D$18:$D$24,MIN(MATCH(MEDIAN($B43-Conversion!$B$15,2020,2050),Report_Scenarios!$A$18:$A$24,1)+1,7))-INDEX(Report_Scenarios!$D$18:$D$24,MATCH(MEDIAN($B43-Conversion!$B$15,2020,2050),Report_Scenarios!$A$18:$A$24,1)))*(MEDIAN($B43-Conversion!$B$15,2020,2050)-INDEX(Report_Scenarios!$A$18:$A$24,MATCH(MEDIAN($B43-Conversion!$B$15,2020,2050),Report_Scenarios!$A$18:$A$24,1)))/(INDEX(Report_Scenarios!$A$18:$A$24,MIN(MATCH(MEDIAN($B43-Conversion!$B$15,2020,2050),Report_Scenarios!$A$18:$A$24,1)+1,7))-INDEX(Report_Scenarios!$A$18:$A$24,MATCH(MEDIAN($B43-Conversion!$B$15,2020,2050),Report_Scenarios!$A$18:$A$24,1)))),IF(INDEX(Report_Scenarios!$A$29:$A$35,MIN(MATCH(MEDIAN($B43-Conversion!$B$15,2020,2050),Report_Scenarios!$A$29:$A$35,1)+1,7))=INDEX(Report_Scenarios!$A$29:$A$35,MATCH(MEDIAN($B43-Conversion!$B$15,2020,2050),Report_Scenarios!$A$29:$A$35,1)),INDEX(Report_Scenarios!$D$29:$D$35,MATCH(MEDIAN($B43-Conversion!$B$15,2020,2050),Report_Scenarios!$A$29:$A$35,1)),INDEX(Report_Scenarios!$D$29:$D$35,MATCH(MEDIAN($B43-Conversion!$B$15,2020,2050),Report_Scenarios!$A$29:$A$35,1))+(INDEX(Report_Scenarios!$D$29:$D$35,MIN(MATCH(MEDIAN($B43-Conversion!$B$15,2020,2050),Report_Scenarios!$A$29:$A$35,1)+1,7))-INDEX(Report_Scenarios!$D$29:$D$35,MATCH(MEDIAN($B43-Conversion!$B$15,2020,2050),Report_Scenarios!$A$29:$A$35,1)))*(MEDIAN($B43-Conversion!$B$15,2020,2050)-INDEX(Report_Scenarios!$A$29:$A$35,MATCH(MEDIAN($B43-Conversion!$B$15,2020,2050),Report_Scenarios!$A$29:$A$35,1)))/(INDEX(Report_Scenarios!$A$29:$A$35,MIN(MATCH(MEDIAN($B43-Conversion!$B$15,2020,2050),Report_Scenarios!$A$29:$A$35,1)+1,7))-INDEX(Report_Scenarios!$A$29:$A$35,MATCH(MEDIAN($B43-Conversion!$B$15,2020,2050),Report_Scenarios!$A$29:$A$35,1))))))</f>
        <v/>
      </c>
      <c r="H43" s="23">
        <f>IF($D43="Conservative",IF(INDEX(Report_Scenarios!$A$7:$A$13,MIN(MATCH(MEDIAN($B43-Conversion!$B$15,2020,2050),Report_Scenarios!$A$7:$A$13,1)+1,7))=INDEX(Report_Scenarios!$A$7:$A$13,MATCH(MEDIAN($B43-Conversion!$B$15,2020,2050),Report_Scenarios!$A$7:$A$13,1)),INDEX(Report_Scenarios!$E$7:$E$13,MATCH(MEDIAN($B43-Conversion!$B$15,2020,2050),Report_Scenarios!$A$7:$A$13,1)),INDEX(Report_Scenarios!$E$7:$E$13,MATCH(MEDIAN($B43-Conversion!$B$15,2020,2050),Report_Scenarios!$A$7:$A$13,1))+(INDEX(Report_Scenarios!$E$7:$E$13,MIN(MATCH(MEDIAN($B43-Conversion!$B$15,2020,2050),Report_Scenarios!$A$7:$A$13,1)+1,7))-INDEX(Report_Scenarios!$E$7:$E$13,MATCH(MEDIAN($B43-Conversion!$B$15,2020,2050),Report_Scenarios!$A$7:$A$13,1)))*(MEDIAN($B43-Conversion!$B$15,2020,2050)-INDEX(Report_Scenarios!$A$7:$A$13,MATCH(MEDIAN($B43-Conversion!$B$15,2020,2050),Report_Scenarios!$A$7:$A$13,1)))/(INDEX(Report_Scenarios!$A$7:$A$13,MIN(MATCH(MEDIAN($B43-Conversion!$B$15,2020,2050),Report_Scenarios!$A$7:$A$13,1)+1,7))-INDEX(Report_Scenarios!$A$7:$A$13,MATCH(MEDIAN($B43-Conversion!$B$15,2020,2050),Report_Scenarios!$A$7:$A$13,1)))),IF($D43="Central",IF(INDEX(Report_Scenarios!$A$18:$A$24,MIN(MATCH(MEDIAN($B43-Conversion!$B$15,2020,2050),Report_Scenarios!$A$18:$A$24,1)+1,7))=INDEX(Report_Scenarios!$A$18:$A$24,MATCH(MEDIAN($B43-Conversion!$B$15,2020,2050),Report_Scenarios!$A$18:$A$24,1)),INDEX(Report_Scenarios!$E$18:$E$24,MATCH(MEDIAN($B43-Conversion!$B$15,2020,2050),Report_Scenarios!$A$18:$A$24,1)),INDEX(Report_Scenarios!$E$18:$E$24,MATCH(MEDIAN($B43-Conversion!$B$15,2020,2050),Report_Scenarios!$A$18:$A$24,1))+(INDEX(Report_Scenarios!$E$18:$E$24,MIN(MATCH(MEDIAN($B43-Conversion!$B$15,2020,2050),Report_Scenarios!$A$18:$A$24,1)+1,7))-INDEX(Report_Scenarios!$E$18:$E$24,MATCH(MEDIAN($B43-Conversion!$B$15,2020,2050),Report_Scenarios!$A$18:$A$24,1)))*(MEDIAN($B43-Conversion!$B$15,2020,2050)-INDEX(Report_Scenarios!$A$18:$A$24,MATCH(MEDIAN($B43-Conversion!$B$15,2020,2050),Report_Scenarios!$A$18:$A$24,1)))/(INDEX(Report_Scenarios!$A$18:$A$24,MIN(MATCH(MEDIAN($B43-Conversion!$B$15,2020,2050),Report_Scenarios!$A$18:$A$24,1)+1,7))-INDEX(Report_Scenarios!$A$18:$A$24,MATCH(MEDIAN($B43-Conversion!$B$15,2020,2050),Report_Scenarios!$A$18:$A$24,1)))),IF(INDEX(Report_Scenarios!$A$29:$A$35,MIN(MATCH(MEDIAN($B43-Conversion!$B$15,2020,2050),Report_Scenarios!$A$29:$A$35,1)+1,7))=INDEX(Report_Scenarios!$A$29:$A$35,MATCH(MEDIAN($B43-Conversion!$B$15,2020,2050),Report_Scenarios!$A$29:$A$35,1)),INDEX(Report_Scenarios!$E$29:$E$35,MATCH(MEDIAN($B43-Conversion!$B$15,2020,2050),Report_Scenarios!$A$29:$A$35,1)),INDEX(Report_Scenarios!$E$29:$E$35,MATCH(MEDIAN($B43-Conversion!$B$15,2020,2050),Report_Scenarios!$A$29:$A$35,1))+(INDEX(Report_Scenarios!$E$29:$E$35,MIN(MATCH(MEDIAN($B43-Conversion!$B$15,2020,2050),Report_Scenarios!$A$29:$A$35,1)+1,7))-INDEX(Report_Scenarios!$E$29:$E$35,MATCH(MEDIAN($B43-Conversion!$B$15,2020,2050),Report_Scenarios!$A$29:$A$35,1)))*(MEDIAN($B43-Conversion!$B$15,2020,2050)-INDEX(Report_Scenarios!$A$29:$A$35,MATCH(MEDIAN($B43-Conversion!$B$15,2020,2050),Report_Scenarios!$A$29:$A$35,1)))/(INDEX(Report_Scenarios!$A$29:$A$35,MIN(MATCH(MEDIAN($B43-Conversion!$B$15,2020,2050),Report_Scenarios!$A$29:$A$35,1)+1,7))-INDEX(Report_Scenarios!$A$29:$A$35,MATCH(MEDIAN($B43-Conversion!$B$15,2020,2050),Report_Scenarios!$A$29:$A$35,1))))))</f>
        <v/>
      </c>
      <c r="I43" s="23">
        <f>IF($D43="Conservative",IF(INDEX(Report_Scenarios!$A$7:$A$13,MIN(MATCH(MEDIAN($B43-Conversion!$B$15,2020,2050),Report_Scenarios!$A$7:$A$13,1)+1,7))=INDEX(Report_Scenarios!$A$7:$A$13,MATCH(MEDIAN($B43-Conversion!$B$15,2020,2050),Report_Scenarios!$A$7:$A$13,1)),INDEX(Report_Scenarios!$F$7:$F$13,MATCH(MEDIAN($B43-Conversion!$B$15,2020,2050),Report_Scenarios!$A$7:$A$13,1)),INDEX(Report_Scenarios!$F$7:$F$13,MATCH(MEDIAN($B43-Conversion!$B$15,2020,2050),Report_Scenarios!$A$7:$A$13,1))+(INDEX(Report_Scenarios!$F$7:$F$13,MIN(MATCH(MEDIAN($B43-Conversion!$B$15,2020,2050),Report_Scenarios!$A$7:$A$13,1)+1,7))-INDEX(Report_Scenarios!$F$7:$F$13,MATCH(MEDIAN($B43-Conversion!$B$15,2020,2050),Report_Scenarios!$A$7:$A$13,1)))*(MEDIAN($B43-Conversion!$B$15,2020,2050)-INDEX(Report_Scenarios!$A$7:$A$13,MATCH(MEDIAN($B43-Conversion!$B$15,2020,2050),Report_Scenarios!$A$7:$A$13,1)))/(INDEX(Report_Scenarios!$A$7:$A$13,MIN(MATCH(MEDIAN($B43-Conversion!$B$15,2020,2050),Report_Scenarios!$A$7:$A$13,1)+1,7))-INDEX(Report_Scenarios!$A$7:$A$13,MATCH(MEDIAN($B43-Conversion!$B$15,2020,2050),Report_Scenarios!$A$7:$A$13,1)))),IF($D43="Central",IF(INDEX(Report_Scenarios!$A$18:$A$24,MIN(MATCH(MEDIAN($B43-Conversion!$B$15,2020,2050),Report_Scenarios!$A$18:$A$24,1)+1,7))=INDEX(Report_Scenarios!$A$18:$A$24,MATCH(MEDIAN($B43-Conversion!$B$15,2020,2050),Report_Scenarios!$A$18:$A$24,1)),INDEX(Report_Scenarios!$F$18:$F$24,MATCH(MEDIAN($B43-Conversion!$B$15,2020,2050),Report_Scenarios!$A$18:$A$24,1)),INDEX(Report_Scenarios!$F$18:$F$24,MATCH(MEDIAN($B43-Conversion!$B$15,2020,2050),Report_Scenarios!$A$18:$A$24,1))+(INDEX(Report_Scenarios!$F$18:$F$24,MIN(MATCH(MEDIAN($B43-Conversion!$B$15,2020,2050),Report_Scenarios!$A$18:$A$24,1)+1,7))-INDEX(Report_Scenarios!$F$18:$F$24,MATCH(MEDIAN($B43-Conversion!$B$15,2020,2050),Report_Scenarios!$A$18:$A$24,1)))*(MEDIAN($B43-Conversion!$B$15,2020,2050)-INDEX(Report_Scenarios!$A$18:$A$24,MATCH(MEDIAN($B43-Conversion!$B$15,2020,2050),Report_Scenarios!$A$18:$A$24,1)))/(INDEX(Report_Scenarios!$A$18:$A$24,MIN(MATCH(MEDIAN($B43-Conversion!$B$15,2020,2050),Report_Scenarios!$A$18:$A$24,1)+1,7))-INDEX(Report_Scenarios!$A$18:$A$24,MATCH(MEDIAN($B43-Conversion!$B$15,2020,2050),Report_Scenarios!$A$18:$A$24,1)))),IF(INDEX(Report_Scenarios!$A$29:$A$35,MIN(MATCH(MEDIAN($B43-Conversion!$B$15,2020,2050),Report_Scenarios!$A$29:$A$35,1)+1,7))=INDEX(Report_Scenarios!$A$29:$A$35,MATCH(MEDIAN($B43-Conversion!$B$15,2020,2050),Report_Scenarios!$A$29:$A$35,1)),INDEX(Report_Scenarios!$F$29:$F$35,MATCH(MEDIAN($B43-Conversion!$B$15,2020,2050),Report_Scenarios!$A$29:$A$35,1)),INDEX(Report_Scenarios!$F$29:$F$35,MATCH(MEDIAN($B43-Conversion!$B$15,2020,2050),Report_Scenarios!$A$29:$A$35,1))+(INDEX(Report_Scenarios!$F$29:$F$35,MIN(MATCH(MEDIAN($B43-Conversion!$B$15,2020,2050),Report_Scenarios!$A$29:$A$35,1)+1,7))-INDEX(Report_Scenarios!$F$29:$F$35,MATCH(MEDIAN($B43-Conversion!$B$15,2020,2050),Report_Scenarios!$A$29:$A$35,1)))*(MEDIAN($B43-Conversion!$B$15,2020,2050)-INDEX(Report_Scenarios!$A$29:$A$35,MATCH(MEDIAN($B43-Conversion!$B$15,2020,2050),Report_Scenarios!$A$29:$A$35,1)))/(INDEX(Report_Scenarios!$A$29:$A$35,MIN(MATCH(MEDIAN($B43-Conversion!$B$15,2020,2050),Report_Scenarios!$A$29:$A$35,1)+1,7))-INDEX(Report_Scenarios!$A$29:$A$35,MATCH(MEDIAN($B43-Conversion!$B$15,2020,2050),Report_Scenarios!$A$29:$A$35,1))))))</f>
        <v/>
      </c>
      <c r="J43" s="23">
        <f>IF($D43="Conservative",IF(INDEX(Report_Scenarios!$A$7:$A$13,MIN(MATCH(MEDIAN($B43-Conversion!$B$15,2020,2050),Report_Scenarios!$A$7:$A$13,1)+1,7))=INDEX(Report_Scenarios!$A$7:$A$13,MATCH(MEDIAN($B43-Conversion!$B$15,2020,2050),Report_Scenarios!$A$7:$A$13,1)),INDEX(Report_Scenarios!$G$7:$G$13,MATCH(MEDIAN($B43-Conversion!$B$15,2020,2050),Report_Scenarios!$A$7:$A$13,1)),INDEX(Report_Scenarios!$G$7:$G$13,MATCH(MEDIAN($B43-Conversion!$B$15,2020,2050),Report_Scenarios!$A$7:$A$13,1))+(INDEX(Report_Scenarios!$G$7:$G$13,MIN(MATCH(MEDIAN($B43-Conversion!$B$15,2020,2050),Report_Scenarios!$A$7:$A$13,1)+1,7))-INDEX(Report_Scenarios!$G$7:$G$13,MATCH(MEDIAN($B43-Conversion!$B$15,2020,2050),Report_Scenarios!$A$7:$A$13,1)))*(MEDIAN($B43-Conversion!$B$15,2020,2050)-INDEX(Report_Scenarios!$A$7:$A$13,MATCH(MEDIAN($B43-Conversion!$B$15,2020,2050),Report_Scenarios!$A$7:$A$13,1)))/(INDEX(Report_Scenarios!$A$7:$A$13,MIN(MATCH(MEDIAN($B43-Conversion!$B$15,2020,2050),Report_Scenarios!$A$7:$A$13,1)+1,7))-INDEX(Report_Scenarios!$A$7:$A$13,MATCH(MEDIAN($B43-Conversion!$B$15,2020,2050),Report_Scenarios!$A$7:$A$13,1)))),IF($D43="Central",IF(INDEX(Report_Scenarios!$A$18:$A$24,MIN(MATCH(MEDIAN($B43-Conversion!$B$15,2020,2050),Report_Scenarios!$A$18:$A$24,1)+1,7))=INDEX(Report_Scenarios!$A$18:$A$24,MATCH(MEDIAN($B43-Conversion!$B$15,2020,2050),Report_Scenarios!$A$18:$A$24,1)),INDEX(Report_Scenarios!$G$18:$G$24,MATCH(MEDIAN($B43-Conversion!$B$15,2020,2050),Report_Scenarios!$A$18:$A$24,1)),INDEX(Report_Scenarios!$G$18:$G$24,MATCH(MEDIAN($B43-Conversion!$B$15,2020,2050),Report_Scenarios!$A$18:$A$24,1))+(INDEX(Report_Scenarios!$G$18:$G$24,MIN(MATCH(MEDIAN($B43-Conversion!$B$15,2020,2050),Report_Scenarios!$A$18:$A$24,1)+1,7))-INDEX(Report_Scenarios!$G$18:$G$24,MATCH(MEDIAN($B43-Conversion!$B$15,2020,2050),Report_Scenarios!$A$18:$A$24,1)))*(MEDIAN($B43-Conversion!$B$15,2020,2050)-INDEX(Report_Scenarios!$A$18:$A$24,MATCH(MEDIAN($B43-Conversion!$B$15,2020,2050),Report_Scenarios!$A$18:$A$24,1)))/(INDEX(Report_Scenarios!$A$18:$A$24,MIN(MATCH(MEDIAN($B43-Conversion!$B$15,2020,2050),Report_Scenarios!$A$18:$A$24,1)+1,7))-INDEX(Report_Scenarios!$A$18:$A$24,MATCH(MEDIAN($B43-Conversion!$B$15,2020,2050),Report_Scenarios!$A$18:$A$24,1)))),IF(INDEX(Report_Scenarios!$A$29:$A$35,MIN(MATCH(MEDIAN($B43-Conversion!$B$15,2020,2050),Report_Scenarios!$A$29:$A$35,1)+1,7))=INDEX(Report_Scenarios!$A$29:$A$35,MATCH(MEDIAN($B43-Conversion!$B$15,2020,2050),Report_Scenarios!$A$29:$A$35,1)),INDEX(Report_Scenarios!$G$29:$G$35,MATCH(MEDIAN($B43-Conversion!$B$15,2020,2050),Report_Scenarios!$A$29:$A$35,1)),INDEX(Report_Scenarios!$G$29:$G$35,MATCH(MEDIAN($B43-Conversion!$B$15,2020,2050),Report_Scenarios!$A$29:$A$35,1))+(INDEX(Report_Scenarios!$G$29:$G$35,MIN(MATCH(MEDIAN($B43-Conversion!$B$15,2020,2050),Report_Scenarios!$A$29:$A$35,1)+1,7))-INDEX(Report_Scenarios!$G$29:$G$35,MATCH(MEDIAN($B43-Conversion!$B$15,2020,2050),Report_Scenarios!$A$29:$A$35,1)))*(MEDIAN($B43-Conversion!$B$15,2020,2050)-INDEX(Report_Scenarios!$A$29:$A$35,MATCH(MEDIAN($B43-Conversion!$B$15,2020,2050),Report_Scenarios!$A$29:$A$35,1)))/(INDEX(Report_Scenarios!$A$29:$A$35,MIN(MATCH(MEDIAN($B43-Conversion!$B$15,2020,2050),Report_Scenarios!$A$29:$A$35,1)+1,7))-INDEX(Report_Scenarios!$A$29:$A$35,MATCH(MEDIAN($B43-Conversion!$B$15,2020,2050),Report_Scenarios!$A$29:$A$35,1))))))</f>
        <v/>
      </c>
      <c r="K43" s="23">
        <f>SUM(E43:J43)</f>
        <v/>
      </c>
      <c r="L43" s="23">
        <f>IF(R43&lt;&gt;"",R43,IF($K43=0,0,E43/$K43))</f>
        <v/>
      </c>
      <c r="M43" s="23">
        <f>IF(S43&lt;&gt;"",S43,IF($K43=0,0,F43/$K43))</f>
        <v/>
      </c>
      <c r="N43" s="23">
        <f>IF(T43&lt;&gt;"",T43,IF($K43=0,0,G43/$K43))</f>
        <v/>
      </c>
      <c r="O43" s="23">
        <f>IF(U43&lt;&gt;"",U43,IF($K43=0,0,H43/$K43))</f>
        <v/>
      </c>
      <c r="P43" s="23">
        <f>IF(V43&lt;&gt;"",V43,IF($K43=0,0,I43/$K43))</f>
        <v/>
      </c>
      <c r="Q43" s="23">
        <f>IF(W43&lt;&gt;"",W43,IF($K43=0,0,J43/$K43))</f>
        <v/>
      </c>
      <c r="R43" s="24" t="n"/>
      <c r="S43" s="24" t="n"/>
      <c r="T43" s="24" t="n"/>
      <c r="U43" s="24" t="n"/>
      <c r="V43" s="24" t="n"/>
      <c r="W43" s="24" t="n"/>
    </row>
    <row r="44">
      <c r="A44" s="4" t="inlineStr">
        <is>
          <t>CD</t>
        </is>
      </c>
      <c r="B44" s="4" t="n">
        <v>2035</v>
      </c>
      <c r="C44" s="4" t="inlineStr">
        <is>
          <t>Share_Min</t>
        </is>
      </c>
      <c r="D44" s="4">
        <f>Conversion!$B$18</f>
        <v/>
      </c>
      <c r="E44" s="23">
        <f>IF($D44="Conservative",IF(INDEX(Report_Scenarios!$A$7:$A$13,MIN(MATCH(MEDIAN($B44-Conversion!$B$15,2020,2050),Report_Scenarios!$A$7:$A$13,1)+1,7))=INDEX(Report_Scenarios!$A$7:$A$13,MATCH(MEDIAN($B44-Conversion!$B$15,2020,2050),Report_Scenarios!$A$7:$A$13,1)),INDEX(Report_Scenarios!$B$7:$B$13,MATCH(MEDIAN($B44-Conversion!$B$15,2020,2050),Report_Scenarios!$A$7:$A$13,1)),INDEX(Report_Scenarios!$B$7:$B$13,MATCH(MEDIAN($B44-Conversion!$B$15,2020,2050),Report_Scenarios!$A$7:$A$13,1))+(INDEX(Report_Scenarios!$B$7:$B$13,MIN(MATCH(MEDIAN($B44-Conversion!$B$15,2020,2050),Report_Scenarios!$A$7:$A$13,1)+1,7))-INDEX(Report_Scenarios!$B$7:$B$13,MATCH(MEDIAN($B44-Conversion!$B$15,2020,2050),Report_Scenarios!$A$7:$A$13,1)))*(MEDIAN($B44-Conversion!$B$15,2020,2050)-INDEX(Report_Scenarios!$A$7:$A$13,MATCH(MEDIAN($B44-Conversion!$B$15,2020,2050),Report_Scenarios!$A$7:$A$13,1)))/(INDEX(Report_Scenarios!$A$7:$A$13,MIN(MATCH(MEDIAN($B44-Conversion!$B$15,2020,2050),Report_Scenarios!$A$7:$A$13,1)+1,7))-INDEX(Report_Scenarios!$A$7:$A$13,MATCH(MEDIAN($B44-Conversion!$B$15,2020,2050),Report_Scenarios!$A$7:$A$13,1)))),IF($D44="Central",IF(INDEX(Report_Scenarios!$A$18:$A$24,MIN(MATCH(MEDIAN($B44-Conversion!$B$15,2020,2050),Report_Scenarios!$A$18:$A$24,1)+1,7))=INDEX(Report_Scenarios!$A$18:$A$24,MATCH(MEDIAN($B44-Conversion!$B$15,2020,2050),Report_Scenarios!$A$18:$A$24,1)),INDEX(Report_Scenarios!$B$18:$B$24,MATCH(MEDIAN($B44-Conversion!$B$15,2020,2050),Report_Scenarios!$A$18:$A$24,1)),INDEX(Report_Scenarios!$B$18:$B$24,MATCH(MEDIAN($B44-Conversion!$B$15,2020,2050),Report_Scenarios!$A$18:$A$24,1))+(INDEX(Report_Scenarios!$B$18:$B$24,MIN(MATCH(MEDIAN($B44-Conversion!$B$15,2020,2050),Report_Scenarios!$A$18:$A$24,1)+1,7))-INDEX(Report_Scenarios!$B$18:$B$24,MATCH(MEDIAN($B44-Conversion!$B$15,2020,2050),Report_Scenarios!$A$18:$A$24,1)))*(MEDIAN($B44-Conversion!$B$15,2020,2050)-INDEX(Report_Scenarios!$A$18:$A$24,MATCH(MEDIAN($B44-Conversion!$B$15,2020,2050),Report_Scenarios!$A$18:$A$24,1)))/(INDEX(Report_Scenarios!$A$18:$A$24,MIN(MATCH(MEDIAN($B44-Conversion!$B$15,2020,2050),Report_Scenarios!$A$18:$A$24,1)+1,7))-INDEX(Report_Scenarios!$A$18:$A$24,MATCH(MEDIAN($B44-Conversion!$B$15,2020,2050),Report_Scenarios!$A$18:$A$24,1)))),IF(INDEX(Report_Scenarios!$A$29:$A$35,MIN(MATCH(MEDIAN($B44-Conversion!$B$15,2020,2050),Report_Scenarios!$A$29:$A$35,1)+1,7))=INDEX(Report_Scenarios!$A$29:$A$35,MATCH(MEDIAN($B44-Conversion!$B$15,2020,2050),Report_Scenarios!$A$29:$A$35,1)),INDEX(Report_Scenarios!$B$29:$B$35,MATCH(MEDIAN($B44-Conversion!$B$15,2020,2050),Report_Scenarios!$A$29:$A$35,1)),INDEX(Report_Scenarios!$B$29:$B$35,MATCH(MEDIAN($B44-Conversion!$B$15,2020,2050),Report_Scenarios!$A$29:$A$35,1))+(INDEX(Report_Scenarios!$B$29:$B$35,MIN(MATCH(MEDIAN($B44-Conversion!$B$15,2020,2050),Report_Scenarios!$A$29:$A$35,1)+1,7))-INDEX(Report_Scenarios!$B$29:$B$35,MATCH(MEDIAN($B44-Conversion!$B$15,2020,2050),Report_Scenarios!$A$29:$A$35,1)))*(MEDIAN($B44-Conversion!$B$15,2020,2050)-INDEX(Report_Scenarios!$A$29:$A$35,MATCH(MEDIAN($B44-Conversion!$B$15,2020,2050),Report_Scenarios!$A$29:$A$35,1)))/(INDEX(Report_Scenarios!$A$29:$A$35,MIN(MATCH(MEDIAN($B44-Conversion!$B$15,2020,2050),Report_Scenarios!$A$29:$A$35,1)+1,7))-INDEX(Report_Scenarios!$A$29:$A$35,MATCH(MEDIAN($B44-Conversion!$B$15,2020,2050),Report_Scenarios!$A$29:$A$35,1))))))</f>
        <v/>
      </c>
      <c r="F44" s="23">
        <f>IF($D44="Conservative",IF(INDEX(Report_Scenarios!$A$7:$A$13,MIN(MATCH(MEDIAN($B44-Conversion!$B$15,2020,2050),Report_Scenarios!$A$7:$A$13,1)+1,7))=INDEX(Report_Scenarios!$A$7:$A$13,MATCH(MEDIAN($B44-Conversion!$B$15,2020,2050),Report_Scenarios!$A$7:$A$13,1)),INDEX(Report_Scenarios!$C$7:$C$13,MATCH(MEDIAN($B44-Conversion!$B$15,2020,2050),Report_Scenarios!$A$7:$A$13,1)),INDEX(Report_Scenarios!$C$7:$C$13,MATCH(MEDIAN($B44-Conversion!$B$15,2020,2050),Report_Scenarios!$A$7:$A$13,1))+(INDEX(Report_Scenarios!$C$7:$C$13,MIN(MATCH(MEDIAN($B44-Conversion!$B$15,2020,2050),Report_Scenarios!$A$7:$A$13,1)+1,7))-INDEX(Report_Scenarios!$C$7:$C$13,MATCH(MEDIAN($B44-Conversion!$B$15,2020,2050),Report_Scenarios!$A$7:$A$13,1)))*(MEDIAN($B44-Conversion!$B$15,2020,2050)-INDEX(Report_Scenarios!$A$7:$A$13,MATCH(MEDIAN($B44-Conversion!$B$15,2020,2050),Report_Scenarios!$A$7:$A$13,1)))/(INDEX(Report_Scenarios!$A$7:$A$13,MIN(MATCH(MEDIAN($B44-Conversion!$B$15,2020,2050),Report_Scenarios!$A$7:$A$13,1)+1,7))-INDEX(Report_Scenarios!$A$7:$A$13,MATCH(MEDIAN($B44-Conversion!$B$15,2020,2050),Report_Scenarios!$A$7:$A$13,1)))),IF($D44="Central",IF(INDEX(Report_Scenarios!$A$18:$A$24,MIN(MATCH(MEDIAN($B44-Conversion!$B$15,2020,2050),Report_Scenarios!$A$18:$A$24,1)+1,7))=INDEX(Report_Scenarios!$A$18:$A$24,MATCH(MEDIAN($B44-Conversion!$B$15,2020,2050),Report_Scenarios!$A$18:$A$24,1)),INDEX(Report_Scenarios!$C$18:$C$24,MATCH(MEDIAN($B44-Conversion!$B$15,2020,2050),Report_Scenarios!$A$18:$A$24,1)),INDEX(Report_Scenarios!$C$18:$C$24,MATCH(MEDIAN($B44-Conversion!$B$15,2020,2050),Report_Scenarios!$A$18:$A$24,1))+(INDEX(Report_Scenarios!$C$18:$C$24,MIN(MATCH(MEDIAN($B44-Conversion!$B$15,2020,2050),Report_Scenarios!$A$18:$A$24,1)+1,7))-INDEX(Report_Scenarios!$C$18:$C$24,MATCH(MEDIAN($B44-Conversion!$B$15,2020,2050),Report_Scenarios!$A$18:$A$24,1)))*(MEDIAN($B44-Conversion!$B$15,2020,2050)-INDEX(Report_Scenarios!$A$18:$A$24,MATCH(MEDIAN($B44-Conversion!$B$15,2020,2050),Report_Scenarios!$A$18:$A$24,1)))/(INDEX(Report_Scenarios!$A$18:$A$24,MIN(MATCH(MEDIAN($B44-Conversion!$B$15,2020,2050),Report_Scenarios!$A$18:$A$24,1)+1,7))-INDEX(Report_Scenarios!$A$18:$A$24,MATCH(MEDIAN($B44-Conversion!$B$15,2020,2050),Report_Scenarios!$A$18:$A$24,1)))),IF(INDEX(Report_Scenarios!$A$29:$A$35,MIN(MATCH(MEDIAN($B44-Conversion!$B$15,2020,2050),Report_Scenarios!$A$29:$A$35,1)+1,7))=INDEX(Report_Scenarios!$A$29:$A$35,MATCH(MEDIAN($B44-Conversion!$B$15,2020,2050),Report_Scenarios!$A$29:$A$35,1)),INDEX(Report_Scenarios!$C$29:$C$35,MATCH(MEDIAN($B44-Conversion!$B$15,2020,2050),Report_Scenarios!$A$29:$A$35,1)),INDEX(Report_Scenarios!$C$29:$C$35,MATCH(MEDIAN($B44-Conversion!$B$15,2020,2050),Report_Scenarios!$A$29:$A$35,1))+(INDEX(Report_Scenarios!$C$29:$C$35,MIN(MATCH(MEDIAN($B44-Conversion!$B$15,2020,2050),Report_Scenarios!$A$29:$A$35,1)+1,7))-INDEX(Report_Scenarios!$C$29:$C$35,MATCH(MEDIAN($B44-Conversion!$B$15,2020,2050),Report_Scenarios!$A$29:$A$35,1)))*(MEDIAN($B44-Conversion!$B$15,2020,2050)-INDEX(Report_Scenarios!$A$29:$A$35,MATCH(MEDIAN($B44-Conversion!$B$15,2020,2050),Report_Scenarios!$A$29:$A$35,1)))/(INDEX(Report_Scenarios!$A$29:$A$35,MIN(MATCH(MEDIAN($B44-Conversion!$B$15,2020,2050),Report_Scenarios!$A$29:$A$35,1)+1,7))-INDEX(Report_Scenarios!$A$29:$A$35,MATCH(MEDIAN($B44-Conversion!$B$15,2020,2050),Report_Scenarios!$A$29:$A$35,1))))))</f>
        <v/>
      </c>
      <c r="G44" s="23">
        <f>IF($D44="Conservative",IF(INDEX(Report_Scenarios!$A$7:$A$13,MIN(MATCH(MEDIAN($B44-Conversion!$B$15,2020,2050),Report_Scenarios!$A$7:$A$13,1)+1,7))=INDEX(Report_Scenarios!$A$7:$A$13,MATCH(MEDIAN($B44-Conversion!$B$15,2020,2050),Report_Scenarios!$A$7:$A$13,1)),INDEX(Report_Scenarios!$D$7:$D$13,MATCH(MEDIAN($B44-Conversion!$B$15,2020,2050),Report_Scenarios!$A$7:$A$13,1)),INDEX(Report_Scenarios!$D$7:$D$13,MATCH(MEDIAN($B44-Conversion!$B$15,2020,2050),Report_Scenarios!$A$7:$A$13,1))+(INDEX(Report_Scenarios!$D$7:$D$13,MIN(MATCH(MEDIAN($B44-Conversion!$B$15,2020,2050),Report_Scenarios!$A$7:$A$13,1)+1,7))-INDEX(Report_Scenarios!$D$7:$D$13,MATCH(MEDIAN($B44-Conversion!$B$15,2020,2050),Report_Scenarios!$A$7:$A$13,1)))*(MEDIAN($B44-Conversion!$B$15,2020,2050)-INDEX(Report_Scenarios!$A$7:$A$13,MATCH(MEDIAN($B44-Conversion!$B$15,2020,2050),Report_Scenarios!$A$7:$A$13,1)))/(INDEX(Report_Scenarios!$A$7:$A$13,MIN(MATCH(MEDIAN($B44-Conversion!$B$15,2020,2050),Report_Scenarios!$A$7:$A$13,1)+1,7))-INDEX(Report_Scenarios!$A$7:$A$13,MATCH(MEDIAN($B44-Conversion!$B$15,2020,2050),Report_Scenarios!$A$7:$A$13,1)))),IF($D44="Central",IF(INDEX(Report_Scenarios!$A$18:$A$24,MIN(MATCH(MEDIAN($B44-Conversion!$B$15,2020,2050),Report_Scenarios!$A$18:$A$24,1)+1,7))=INDEX(Report_Scenarios!$A$18:$A$24,MATCH(MEDIAN($B44-Conversion!$B$15,2020,2050),Report_Scenarios!$A$18:$A$24,1)),INDEX(Report_Scenarios!$D$18:$D$24,MATCH(MEDIAN($B44-Conversion!$B$15,2020,2050),Report_Scenarios!$A$18:$A$24,1)),INDEX(Report_Scenarios!$D$18:$D$24,MATCH(MEDIAN($B44-Conversion!$B$15,2020,2050),Report_Scenarios!$A$18:$A$24,1))+(INDEX(Report_Scenarios!$D$18:$D$24,MIN(MATCH(MEDIAN($B44-Conversion!$B$15,2020,2050),Report_Scenarios!$A$18:$A$24,1)+1,7))-INDEX(Report_Scenarios!$D$18:$D$24,MATCH(MEDIAN($B44-Conversion!$B$15,2020,2050),Report_Scenarios!$A$18:$A$24,1)))*(MEDIAN($B44-Conversion!$B$15,2020,2050)-INDEX(Report_Scenarios!$A$18:$A$24,MATCH(MEDIAN($B44-Conversion!$B$15,2020,2050),Report_Scenarios!$A$18:$A$24,1)))/(INDEX(Report_Scenarios!$A$18:$A$24,MIN(MATCH(MEDIAN($B44-Conversion!$B$15,2020,2050),Report_Scenarios!$A$18:$A$24,1)+1,7))-INDEX(Report_Scenarios!$A$18:$A$24,MATCH(MEDIAN($B44-Conversion!$B$15,2020,2050),Report_Scenarios!$A$18:$A$24,1)))),IF(INDEX(Report_Scenarios!$A$29:$A$35,MIN(MATCH(MEDIAN($B44-Conversion!$B$15,2020,2050),Report_Scenarios!$A$29:$A$35,1)+1,7))=INDEX(Report_Scenarios!$A$29:$A$35,MATCH(MEDIAN($B44-Conversion!$B$15,2020,2050),Report_Scenarios!$A$29:$A$35,1)),INDEX(Report_Scenarios!$D$29:$D$35,MATCH(MEDIAN($B44-Conversion!$B$15,2020,2050),Report_Scenarios!$A$29:$A$35,1)),INDEX(Report_Scenarios!$D$29:$D$35,MATCH(MEDIAN($B44-Conversion!$B$15,2020,2050),Report_Scenarios!$A$29:$A$35,1))+(INDEX(Report_Scenarios!$D$29:$D$35,MIN(MATCH(MEDIAN($B44-Conversion!$B$15,2020,2050),Report_Scenarios!$A$29:$A$35,1)+1,7))-INDEX(Report_Scenarios!$D$29:$D$35,MATCH(MEDIAN($B44-Conversion!$B$15,2020,2050),Report_Scenarios!$A$29:$A$35,1)))*(MEDIAN($B44-Conversion!$B$15,2020,2050)-INDEX(Report_Scenarios!$A$29:$A$35,MATCH(MEDIAN($B44-Conversion!$B$15,2020,2050),Report_Scenarios!$A$29:$A$35,1)))/(INDEX(Report_Scenarios!$A$29:$A$35,MIN(MATCH(MEDIAN($B44-Conversion!$B$15,2020,2050),Report_Scenarios!$A$29:$A$35,1)+1,7))-INDEX(Report_Scenarios!$A$29:$A$35,MATCH(MEDIAN($B44-Conversion!$B$15,2020,2050),Report_Scenarios!$A$29:$A$35,1))))))</f>
        <v/>
      </c>
      <c r="H44" s="23">
        <f>IF($D44="Conservative",IF(INDEX(Report_Scenarios!$A$7:$A$13,MIN(MATCH(MEDIAN($B44-Conversion!$B$15,2020,2050),Report_Scenarios!$A$7:$A$13,1)+1,7))=INDEX(Report_Scenarios!$A$7:$A$13,MATCH(MEDIAN($B44-Conversion!$B$15,2020,2050),Report_Scenarios!$A$7:$A$13,1)),INDEX(Report_Scenarios!$E$7:$E$13,MATCH(MEDIAN($B44-Conversion!$B$15,2020,2050),Report_Scenarios!$A$7:$A$13,1)),INDEX(Report_Scenarios!$E$7:$E$13,MATCH(MEDIAN($B44-Conversion!$B$15,2020,2050),Report_Scenarios!$A$7:$A$13,1))+(INDEX(Report_Scenarios!$E$7:$E$13,MIN(MATCH(MEDIAN($B44-Conversion!$B$15,2020,2050),Report_Scenarios!$A$7:$A$13,1)+1,7))-INDEX(Report_Scenarios!$E$7:$E$13,MATCH(MEDIAN($B44-Conversion!$B$15,2020,2050),Report_Scenarios!$A$7:$A$13,1)))*(MEDIAN($B44-Conversion!$B$15,2020,2050)-INDEX(Report_Scenarios!$A$7:$A$13,MATCH(MEDIAN($B44-Conversion!$B$15,2020,2050),Report_Scenarios!$A$7:$A$13,1)))/(INDEX(Report_Scenarios!$A$7:$A$13,MIN(MATCH(MEDIAN($B44-Conversion!$B$15,2020,2050),Report_Scenarios!$A$7:$A$13,1)+1,7))-INDEX(Report_Scenarios!$A$7:$A$13,MATCH(MEDIAN($B44-Conversion!$B$15,2020,2050),Report_Scenarios!$A$7:$A$13,1)))),IF($D44="Central",IF(INDEX(Report_Scenarios!$A$18:$A$24,MIN(MATCH(MEDIAN($B44-Conversion!$B$15,2020,2050),Report_Scenarios!$A$18:$A$24,1)+1,7))=INDEX(Report_Scenarios!$A$18:$A$24,MATCH(MEDIAN($B44-Conversion!$B$15,2020,2050),Report_Scenarios!$A$18:$A$24,1)),INDEX(Report_Scenarios!$E$18:$E$24,MATCH(MEDIAN($B44-Conversion!$B$15,2020,2050),Report_Scenarios!$A$18:$A$24,1)),INDEX(Report_Scenarios!$E$18:$E$24,MATCH(MEDIAN($B44-Conversion!$B$15,2020,2050),Report_Scenarios!$A$18:$A$24,1))+(INDEX(Report_Scenarios!$E$18:$E$24,MIN(MATCH(MEDIAN($B44-Conversion!$B$15,2020,2050),Report_Scenarios!$A$18:$A$24,1)+1,7))-INDEX(Report_Scenarios!$E$18:$E$24,MATCH(MEDIAN($B44-Conversion!$B$15,2020,2050),Report_Scenarios!$A$18:$A$24,1)))*(MEDIAN($B44-Conversion!$B$15,2020,2050)-INDEX(Report_Scenarios!$A$18:$A$24,MATCH(MEDIAN($B44-Conversion!$B$15,2020,2050),Report_Scenarios!$A$18:$A$24,1)))/(INDEX(Report_Scenarios!$A$18:$A$24,MIN(MATCH(MEDIAN($B44-Conversion!$B$15,2020,2050),Report_Scenarios!$A$18:$A$24,1)+1,7))-INDEX(Report_Scenarios!$A$18:$A$24,MATCH(MEDIAN($B44-Conversion!$B$15,2020,2050),Report_Scenarios!$A$18:$A$24,1)))),IF(INDEX(Report_Scenarios!$A$29:$A$35,MIN(MATCH(MEDIAN($B44-Conversion!$B$15,2020,2050),Report_Scenarios!$A$29:$A$35,1)+1,7))=INDEX(Report_Scenarios!$A$29:$A$35,MATCH(MEDIAN($B44-Conversion!$B$15,2020,2050),Report_Scenarios!$A$29:$A$35,1)),INDEX(Report_Scenarios!$E$29:$E$35,MATCH(MEDIAN($B44-Conversion!$B$15,2020,2050),Report_Scenarios!$A$29:$A$35,1)),INDEX(Report_Scenarios!$E$29:$E$35,MATCH(MEDIAN($B44-Conversion!$B$15,2020,2050),Report_Scenarios!$A$29:$A$35,1))+(INDEX(Report_Scenarios!$E$29:$E$35,MIN(MATCH(MEDIAN($B44-Conversion!$B$15,2020,2050),Report_Scenarios!$A$29:$A$35,1)+1,7))-INDEX(Report_Scenarios!$E$29:$E$35,MATCH(MEDIAN($B44-Conversion!$B$15,2020,2050),Report_Scenarios!$A$29:$A$35,1)))*(MEDIAN($B44-Conversion!$B$15,2020,2050)-INDEX(Report_Scenarios!$A$29:$A$35,MATCH(MEDIAN($B44-Conversion!$B$15,2020,2050),Report_Scenarios!$A$29:$A$35,1)))/(INDEX(Report_Scenarios!$A$29:$A$35,MIN(MATCH(MEDIAN($B44-Conversion!$B$15,2020,2050),Report_Scenarios!$A$29:$A$35,1)+1,7))-INDEX(Report_Scenarios!$A$29:$A$35,MATCH(MEDIAN($B44-Conversion!$B$15,2020,2050),Report_Scenarios!$A$29:$A$35,1))))))</f>
        <v/>
      </c>
      <c r="I44" s="23">
        <f>IF($D44="Conservative",IF(INDEX(Report_Scenarios!$A$7:$A$13,MIN(MATCH(MEDIAN($B44-Conversion!$B$15,2020,2050),Report_Scenarios!$A$7:$A$13,1)+1,7))=INDEX(Report_Scenarios!$A$7:$A$13,MATCH(MEDIAN($B44-Conversion!$B$15,2020,2050),Report_Scenarios!$A$7:$A$13,1)),INDEX(Report_Scenarios!$F$7:$F$13,MATCH(MEDIAN($B44-Conversion!$B$15,2020,2050),Report_Scenarios!$A$7:$A$13,1)),INDEX(Report_Scenarios!$F$7:$F$13,MATCH(MEDIAN($B44-Conversion!$B$15,2020,2050),Report_Scenarios!$A$7:$A$13,1))+(INDEX(Report_Scenarios!$F$7:$F$13,MIN(MATCH(MEDIAN($B44-Conversion!$B$15,2020,2050),Report_Scenarios!$A$7:$A$13,1)+1,7))-INDEX(Report_Scenarios!$F$7:$F$13,MATCH(MEDIAN($B44-Conversion!$B$15,2020,2050),Report_Scenarios!$A$7:$A$13,1)))*(MEDIAN($B44-Conversion!$B$15,2020,2050)-INDEX(Report_Scenarios!$A$7:$A$13,MATCH(MEDIAN($B44-Conversion!$B$15,2020,2050),Report_Scenarios!$A$7:$A$13,1)))/(INDEX(Report_Scenarios!$A$7:$A$13,MIN(MATCH(MEDIAN($B44-Conversion!$B$15,2020,2050),Report_Scenarios!$A$7:$A$13,1)+1,7))-INDEX(Report_Scenarios!$A$7:$A$13,MATCH(MEDIAN($B44-Conversion!$B$15,2020,2050),Report_Scenarios!$A$7:$A$13,1)))),IF($D44="Central",IF(INDEX(Report_Scenarios!$A$18:$A$24,MIN(MATCH(MEDIAN($B44-Conversion!$B$15,2020,2050),Report_Scenarios!$A$18:$A$24,1)+1,7))=INDEX(Report_Scenarios!$A$18:$A$24,MATCH(MEDIAN($B44-Conversion!$B$15,2020,2050),Report_Scenarios!$A$18:$A$24,1)),INDEX(Report_Scenarios!$F$18:$F$24,MATCH(MEDIAN($B44-Conversion!$B$15,2020,2050),Report_Scenarios!$A$18:$A$24,1)),INDEX(Report_Scenarios!$F$18:$F$24,MATCH(MEDIAN($B44-Conversion!$B$15,2020,2050),Report_Scenarios!$A$18:$A$24,1))+(INDEX(Report_Scenarios!$F$18:$F$24,MIN(MATCH(MEDIAN($B44-Conversion!$B$15,2020,2050),Report_Scenarios!$A$18:$A$24,1)+1,7))-INDEX(Report_Scenarios!$F$18:$F$24,MATCH(MEDIAN($B44-Conversion!$B$15,2020,2050),Report_Scenarios!$A$18:$A$24,1)))*(MEDIAN($B44-Conversion!$B$15,2020,2050)-INDEX(Report_Scenarios!$A$18:$A$24,MATCH(MEDIAN($B44-Conversion!$B$15,2020,2050),Report_Scenarios!$A$18:$A$24,1)))/(INDEX(Report_Scenarios!$A$18:$A$24,MIN(MATCH(MEDIAN($B44-Conversion!$B$15,2020,2050),Report_Scenarios!$A$18:$A$24,1)+1,7))-INDEX(Report_Scenarios!$A$18:$A$24,MATCH(MEDIAN($B44-Conversion!$B$15,2020,2050),Report_Scenarios!$A$18:$A$24,1)))),IF(INDEX(Report_Scenarios!$A$29:$A$35,MIN(MATCH(MEDIAN($B44-Conversion!$B$15,2020,2050),Report_Scenarios!$A$29:$A$35,1)+1,7))=INDEX(Report_Scenarios!$A$29:$A$35,MATCH(MEDIAN($B44-Conversion!$B$15,2020,2050),Report_Scenarios!$A$29:$A$35,1)),INDEX(Report_Scenarios!$F$29:$F$35,MATCH(MEDIAN($B44-Conversion!$B$15,2020,2050),Report_Scenarios!$A$29:$A$35,1)),INDEX(Report_Scenarios!$F$29:$F$35,MATCH(MEDIAN($B44-Conversion!$B$15,2020,2050),Report_Scenarios!$A$29:$A$35,1))+(INDEX(Report_Scenarios!$F$29:$F$35,MIN(MATCH(MEDIAN($B44-Conversion!$B$15,2020,2050),Report_Scenarios!$A$29:$A$35,1)+1,7))-INDEX(Report_Scenarios!$F$29:$F$35,MATCH(MEDIAN($B44-Conversion!$B$15,2020,2050),Report_Scenarios!$A$29:$A$35,1)))*(MEDIAN($B44-Conversion!$B$15,2020,2050)-INDEX(Report_Scenarios!$A$29:$A$35,MATCH(MEDIAN($B44-Conversion!$B$15,2020,2050),Report_Scenarios!$A$29:$A$35,1)))/(INDEX(Report_Scenarios!$A$29:$A$35,MIN(MATCH(MEDIAN($B44-Conversion!$B$15,2020,2050),Report_Scenarios!$A$29:$A$35,1)+1,7))-INDEX(Report_Scenarios!$A$29:$A$35,MATCH(MEDIAN($B44-Conversion!$B$15,2020,2050),Report_Scenarios!$A$29:$A$35,1))))))</f>
        <v/>
      </c>
      <c r="J44" s="23">
        <f>IF($D44="Conservative",IF(INDEX(Report_Scenarios!$A$7:$A$13,MIN(MATCH(MEDIAN($B44-Conversion!$B$15,2020,2050),Report_Scenarios!$A$7:$A$13,1)+1,7))=INDEX(Report_Scenarios!$A$7:$A$13,MATCH(MEDIAN($B44-Conversion!$B$15,2020,2050),Report_Scenarios!$A$7:$A$13,1)),INDEX(Report_Scenarios!$G$7:$G$13,MATCH(MEDIAN($B44-Conversion!$B$15,2020,2050),Report_Scenarios!$A$7:$A$13,1)),INDEX(Report_Scenarios!$G$7:$G$13,MATCH(MEDIAN($B44-Conversion!$B$15,2020,2050),Report_Scenarios!$A$7:$A$13,1))+(INDEX(Report_Scenarios!$G$7:$G$13,MIN(MATCH(MEDIAN($B44-Conversion!$B$15,2020,2050),Report_Scenarios!$A$7:$A$13,1)+1,7))-INDEX(Report_Scenarios!$G$7:$G$13,MATCH(MEDIAN($B44-Conversion!$B$15,2020,2050),Report_Scenarios!$A$7:$A$13,1)))*(MEDIAN($B44-Conversion!$B$15,2020,2050)-INDEX(Report_Scenarios!$A$7:$A$13,MATCH(MEDIAN($B44-Conversion!$B$15,2020,2050),Report_Scenarios!$A$7:$A$13,1)))/(INDEX(Report_Scenarios!$A$7:$A$13,MIN(MATCH(MEDIAN($B44-Conversion!$B$15,2020,2050),Report_Scenarios!$A$7:$A$13,1)+1,7))-INDEX(Report_Scenarios!$A$7:$A$13,MATCH(MEDIAN($B44-Conversion!$B$15,2020,2050),Report_Scenarios!$A$7:$A$13,1)))),IF($D44="Central",IF(INDEX(Report_Scenarios!$A$18:$A$24,MIN(MATCH(MEDIAN($B44-Conversion!$B$15,2020,2050),Report_Scenarios!$A$18:$A$24,1)+1,7))=INDEX(Report_Scenarios!$A$18:$A$24,MATCH(MEDIAN($B44-Conversion!$B$15,2020,2050),Report_Scenarios!$A$18:$A$24,1)),INDEX(Report_Scenarios!$G$18:$G$24,MATCH(MEDIAN($B44-Conversion!$B$15,2020,2050),Report_Scenarios!$A$18:$A$24,1)),INDEX(Report_Scenarios!$G$18:$G$24,MATCH(MEDIAN($B44-Conversion!$B$15,2020,2050),Report_Scenarios!$A$18:$A$24,1))+(INDEX(Report_Scenarios!$G$18:$G$24,MIN(MATCH(MEDIAN($B44-Conversion!$B$15,2020,2050),Report_Scenarios!$A$18:$A$24,1)+1,7))-INDEX(Report_Scenarios!$G$18:$G$24,MATCH(MEDIAN($B44-Conversion!$B$15,2020,2050),Report_Scenarios!$A$18:$A$24,1)))*(MEDIAN($B44-Conversion!$B$15,2020,2050)-INDEX(Report_Scenarios!$A$18:$A$24,MATCH(MEDIAN($B44-Conversion!$B$15,2020,2050),Report_Scenarios!$A$18:$A$24,1)))/(INDEX(Report_Scenarios!$A$18:$A$24,MIN(MATCH(MEDIAN($B44-Conversion!$B$15,2020,2050),Report_Scenarios!$A$18:$A$24,1)+1,7))-INDEX(Report_Scenarios!$A$18:$A$24,MATCH(MEDIAN($B44-Conversion!$B$15,2020,2050),Report_Scenarios!$A$18:$A$24,1)))),IF(INDEX(Report_Scenarios!$A$29:$A$35,MIN(MATCH(MEDIAN($B44-Conversion!$B$15,2020,2050),Report_Scenarios!$A$29:$A$35,1)+1,7))=INDEX(Report_Scenarios!$A$29:$A$35,MATCH(MEDIAN($B44-Conversion!$B$15,2020,2050),Report_Scenarios!$A$29:$A$35,1)),INDEX(Report_Scenarios!$G$29:$G$35,MATCH(MEDIAN($B44-Conversion!$B$15,2020,2050),Report_Scenarios!$A$29:$A$35,1)),INDEX(Report_Scenarios!$G$29:$G$35,MATCH(MEDIAN($B44-Conversion!$B$15,2020,2050),Report_Scenarios!$A$29:$A$35,1))+(INDEX(Report_Scenarios!$G$29:$G$35,MIN(MATCH(MEDIAN($B44-Conversion!$B$15,2020,2050),Report_Scenarios!$A$29:$A$35,1)+1,7))-INDEX(Report_Scenarios!$G$29:$G$35,MATCH(MEDIAN($B44-Conversion!$B$15,2020,2050),Report_Scenarios!$A$29:$A$35,1)))*(MEDIAN($B44-Conversion!$B$15,2020,2050)-INDEX(Report_Scenarios!$A$29:$A$35,MATCH(MEDIAN($B44-Conversion!$B$15,2020,2050),Report_Scenarios!$A$29:$A$35,1)))/(INDEX(Report_Scenarios!$A$29:$A$35,MIN(MATCH(MEDIAN($B44-Conversion!$B$15,2020,2050),Report_Scenarios!$A$29:$A$35,1)+1,7))-INDEX(Report_Scenarios!$A$29:$A$35,MATCH(MEDIAN($B44-Conversion!$B$15,2020,2050),Report_Scenarios!$A$29:$A$35,1))))))</f>
        <v/>
      </c>
      <c r="K44" s="23">
        <f>SUM(E44:J44)</f>
        <v/>
      </c>
      <c r="L44" s="23">
        <f>IF(R44&lt;&gt;"",R44,IF($K44=0,0,E44/$K44))</f>
        <v/>
      </c>
      <c r="M44" s="23">
        <f>IF(S44&lt;&gt;"",S44,IF($K44=0,0,F44/$K44))</f>
        <v/>
      </c>
      <c r="N44" s="23">
        <f>IF(T44&lt;&gt;"",T44,IF($K44=0,0,G44/$K44))</f>
        <v/>
      </c>
      <c r="O44" s="23">
        <f>IF(U44&lt;&gt;"",U44,IF($K44=0,0,H44/$K44))</f>
        <v/>
      </c>
      <c r="P44" s="23">
        <f>IF(V44&lt;&gt;"",V44,IF($K44=0,0,I44/$K44))</f>
        <v/>
      </c>
      <c r="Q44" s="23">
        <f>IF(W44&lt;&gt;"",W44,IF($K44=0,0,J44/$K44))</f>
        <v/>
      </c>
      <c r="R44" s="24" t="n"/>
      <c r="S44" s="24" t="n"/>
      <c r="T44" s="24" t="n"/>
      <c r="U44" s="24" t="n"/>
      <c r="V44" s="24" t="n"/>
      <c r="W44" s="24" t="n"/>
    </row>
    <row r="45">
      <c r="A45" s="4" t="inlineStr">
        <is>
          <t>CD</t>
        </is>
      </c>
      <c r="B45" s="4" t="n">
        <v>2035</v>
      </c>
      <c r="C45" s="4" t="inlineStr">
        <is>
          <t>Share_Mode</t>
        </is>
      </c>
      <c r="D45" s="4">
        <f>Conversion!$B$19</f>
        <v/>
      </c>
      <c r="E45" s="23">
        <f>IF($D45="Conservative",IF(INDEX(Report_Scenarios!$A$7:$A$13,MIN(MATCH(MEDIAN($B45-Conversion!$B$15,2020,2050),Report_Scenarios!$A$7:$A$13,1)+1,7))=INDEX(Report_Scenarios!$A$7:$A$13,MATCH(MEDIAN($B45-Conversion!$B$15,2020,2050),Report_Scenarios!$A$7:$A$13,1)),INDEX(Report_Scenarios!$B$7:$B$13,MATCH(MEDIAN($B45-Conversion!$B$15,2020,2050),Report_Scenarios!$A$7:$A$13,1)),INDEX(Report_Scenarios!$B$7:$B$13,MATCH(MEDIAN($B45-Conversion!$B$15,2020,2050),Report_Scenarios!$A$7:$A$13,1))+(INDEX(Report_Scenarios!$B$7:$B$13,MIN(MATCH(MEDIAN($B45-Conversion!$B$15,2020,2050),Report_Scenarios!$A$7:$A$13,1)+1,7))-INDEX(Report_Scenarios!$B$7:$B$13,MATCH(MEDIAN($B45-Conversion!$B$15,2020,2050),Report_Scenarios!$A$7:$A$13,1)))*(MEDIAN($B45-Conversion!$B$15,2020,2050)-INDEX(Report_Scenarios!$A$7:$A$13,MATCH(MEDIAN($B45-Conversion!$B$15,2020,2050),Report_Scenarios!$A$7:$A$13,1)))/(INDEX(Report_Scenarios!$A$7:$A$13,MIN(MATCH(MEDIAN($B45-Conversion!$B$15,2020,2050),Report_Scenarios!$A$7:$A$13,1)+1,7))-INDEX(Report_Scenarios!$A$7:$A$13,MATCH(MEDIAN($B45-Conversion!$B$15,2020,2050),Report_Scenarios!$A$7:$A$13,1)))),IF($D45="Central",IF(INDEX(Report_Scenarios!$A$18:$A$24,MIN(MATCH(MEDIAN($B45-Conversion!$B$15,2020,2050),Report_Scenarios!$A$18:$A$24,1)+1,7))=INDEX(Report_Scenarios!$A$18:$A$24,MATCH(MEDIAN($B45-Conversion!$B$15,2020,2050),Report_Scenarios!$A$18:$A$24,1)),INDEX(Report_Scenarios!$B$18:$B$24,MATCH(MEDIAN($B45-Conversion!$B$15,2020,2050),Report_Scenarios!$A$18:$A$24,1)),INDEX(Report_Scenarios!$B$18:$B$24,MATCH(MEDIAN($B45-Conversion!$B$15,2020,2050),Report_Scenarios!$A$18:$A$24,1))+(INDEX(Report_Scenarios!$B$18:$B$24,MIN(MATCH(MEDIAN($B45-Conversion!$B$15,2020,2050),Report_Scenarios!$A$18:$A$24,1)+1,7))-INDEX(Report_Scenarios!$B$18:$B$24,MATCH(MEDIAN($B45-Conversion!$B$15,2020,2050),Report_Scenarios!$A$18:$A$24,1)))*(MEDIAN($B45-Conversion!$B$15,2020,2050)-INDEX(Report_Scenarios!$A$18:$A$24,MATCH(MEDIAN($B45-Conversion!$B$15,2020,2050),Report_Scenarios!$A$18:$A$24,1)))/(INDEX(Report_Scenarios!$A$18:$A$24,MIN(MATCH(MEDIAN($B45-Conversion!$B$15,2020,2050),Report_Scenarios!$A$18:$A$24,1)+1,7))-INDEX(Report_Scenarios!$A$18:$A$24,MATCH(MEDIAN($B45-Conversion!$B$15,2020,2050),Report_Scenarios!$A$18:$A$24,1)))),IF(INDEX(Report_Scenarios!$A$29:$A$35,MIN(MATCH(MEDIAN($B45-Conversion!$B$15,2020,2050),Report_Scenarios!$A$29:$A$35,1)+1,7))=INDEX(Report_Scenarios!$A$29:$A$35,MATCH(MEDIAN($B45-Conversion!$B$15,2020,2050),Report_Scenarios!$A$29:$A$35,1)),INDEX(Report_Scenarios!$B$29:$B$35,MATCH(MEDIAN($B45-Conversion!$B$15,2020,2050),Report_Scenarios!$A$29:$A$35,1)),INDEX(Report_Scenarios!$B$29:$B$35,MATCH(MEDIAN($B45-Conversion!$B$15,2020,2050),Report_Scenarios!$A$29:$A$35,1))+(INDEX(Report_Scenarios!$B$29:$B$35,MIN(MATCH(MEDIAN($B45-Conversion!$B$15,2020,2050),Report_Scenarios!$A$29:$A$35,1)+1,7))-INDEX(Report_Scenarios!$B$29:$B$35,MATCH(MEDIAN($B45-Conversion!$B$15,2020,2050),Report_Scenarios!$A$29:$A$35,1)))*(MEDIAN($B45-Conversion!$B$15,2020,2050)-INDEX(Report_Scenarios!$A$29:$A$35,MATCH(MEDIAN($B45-Conversion!$B$15,2020,2050),Report_Scenarios!$A$29:$A$35,1)))/(INDEX(Report_Scenarios!$A$29:$A$35,MIN(MATCH(MEDIAN($B45-Conversion!$B$15,2020,2050),Report_Scenarios!$A$29:$A$35,1)+1,7))-INDEX(Report_Scenarios!$A$29:$A$35,MATCH(MEDIAN($B45-Conversion!$B$15,2020,2050),Report_Scenarios!$A$29:$A$35,1))))))</f>
        <v/>
      </c>
      <c r="F45" s="23">
        <f>IF($D45="Conservative",IF(INDEX(Report_Scenarios!$A$7:$A$13,MIN(MATCH(MEDIAN($B45-Conversion!$B$15,2020,2050),Report_Scenarios!$A$7:$A$13,1)+1,7))=INDEX(Report_Scenarios!$A$7:$A$13,MATCH(MEDIAN($B45-Conversion!$B$15,2020,2050),Report_Scenarios!$A$7:$A$13,1)),INDEX(Report_Scenarios!$C$7:$C$13,MATCH(MEDIAN($B45-Conversion!$B$15,2020,2050),Report_Scenarios!$A$7:$A$13,1)),INDEX(Report_Scenarios!$C$7:$C$13,MATCH(MEDIAN($B45-Conversion!$B$15,2020,2050),Report_Scenarios!$A$7:$A$13,1))+(INDEX(Report_Scenarios!$C$7:$C$13,MIN(MATCH(MEDIAN($B45-Conversion!$B$15,2020,2050),Report_Scenarios!$A$7:$A$13,1)+1,7))-INDEX(Report_Scenarios!$C$7:$C$13,MATCH(MEDIAN($B45-Conversion!$B$15,2020,2050),Report_Scenarios!$A$7:$A$13,1)))*(MEDIAN($B45-Conversion!$B$15,2020,2050)-INDEX(Report_Scenarios!$A$7:$A$13,MATCH(MEDIAN($B45-Conversion!$B$15,2020,2050),Report_Scenarios!$A$7:$A$13,1)))/(INDEX(Report_Scenarios!$A$7:$A$13,MIN(MATCH(MEDIAN($B45-Conversion!$B$15,2020,2050),Report_Scenarios!$A$7:$A$13,1)+1,7))-INDEX(Report_Scenarios!$A$7:$A$13,MATCH(MEDIAN($B45-Conversion!$B$15,2020,2050),Report_Scenarios!$A$7:$A$13,1)))),IF($D45="Central",IF(INDEX(Report_Scenarios!$A$18:$A$24,MIN(MATCH(MEDIAN($B45-Conversion!$B$15,2020,2050),Report_Scenarios!$A$18:$A$24,1)+1,7))=INDEX(Report_Scenarios!$A$18:$A$24,MATCH(MEDIAN($B45-Conversion!$B$15,2020,2050),Report_Scenarios!$A$18:$A$24,1)),INDEX(Report_Scenarios!$C$18:$C$24,MATCH(MEDIAN($B45-Conversion!$B$15,2020,2050),Report_Scenarios!$A$18:$A$24,1)),INDEX(Report_Scenarios!$C$18:$C$24,MATCH(MEDIAN($B45-Conversion!$B$15,2020,2050),Report_Scenarios!$A$18:$A$24,1))+(INDEX(Report_Scenarios!$C$18:$C$24,MIN(MATCH(MEDIAN($B45-Conversion!$B$15,2020,2050),Report_Scenarios!$A$18:$A$24,1)+1,7))-INDEX(Report_Scenarios!$C$18:$C$24,MATCH(MEDIAN($B45-Conversion!$B$15,2020,2050),Report_Scenarios!$A$18:$A$24,1)))*(MEDIAN($B45-Conversion!$B$15,2020,2050)-INDEX(Report_Scenarios!$A$18:$A$24,MATCH(MEDIAN($B45-Conversion!$B$15,2020,2050),Report_Scenarios!$A$18:$A$24,1)))/(INDEX(Report_Scenarios!$A$18:$A$24,MIN(MATCH(MEDIAN($B45-Conversion!$B$15,2020,2050),Report_Scenarios!$A$18:$A$24,1)+1,7))-INDEX(Report_Scenarios!$A$18:$A$24,MATCH(MEDIAN($B45-Conversion!$B$15,2020,2050),Report_Scenarios!$A$18:$A$24,1)))),IF(INDEX(Report_Scenarios!$A$29:$A$35,MIN(MATCH(MEDIAN($B45-Conversion!$B$15,2020,2050),Report_Scenarios!$A$29:$A$35,1)+1,7))=INDEX(Report_Scenarios!$A$29:$A$35,MATCH(MEDIAN($B45-Conversion!$B$15,2020,2050),Report_Scenarios!$A$29:$A$35,1)),INDEX(Report_Scenarios!$C$29:$C$35,MATCH(MEDIAN($B45-Conversion!$B$15,2020,2050),Report_Scenarios!$A$29:$A$35,1)),INDEX(Report_Scenarios!$C$29:$C$35,MATCH(MEDIAN($B45-Conversion!$B$15,2020,2050),Report_Scenarios!$A$29:$A$35,1))+(INDEX(Report_Scenarios!$C$29:$C$35,MIN(MATCH(MEDIAN($B45-Conversion!$B$15,2020,2050),Report_Scenarios!$A$29:$A$35,1)+1,7))-INDEX(Report_Scenarios!$C$29:$C$35,MATCH(MEDIAN($B45-Conversion!$B$15,2020,2050),Report_Scenarios!$A$29:$A$35,1)))*(MEDIAN($B45-Conversion!$B$15,2020,2050)-INDEX(Report_Scenarios!$A$29:$A$35,MATCH(MEDIAN($B45-Conversion!$B$15,2020,2050),Report_Scenarios!$A$29:$A$35,1)))/(INDEX(Report_Scenarios!$A$29:$A$35,MIN(MATCH(MEDIAN($B45-Conversion!$B$15,2020,2050),Report_Scenarios!$A$29:$A$35,1)+1,7))-INDEX(Report_Scenarios!$A$29:$A$35,MATCH(MEDIAN($B45-Conversion!$B$15,2020,2050),Report_Scenarios!$A$29:$A$35,1))))))</f>
        <v/>
      </c>
      <c r="G45" s="23">
        <f>IF($D45="Conservative",IF(INDEX(Report_Scenarios!$A$7:$A$13,MIN(MATCH(MEDIAN($B45-Conversion!$B$15,2020,2050),Report_Scenarios!$A$7:$A$13,1)+1,7))=INDEX(Report_Scenarios!$A$7:$A$13,MATCH(MEDIAN($B45-Conversion!$B$15,2020,2050),Report_Scenarios!$A$7:$A$13,1)),INDEX(Report_Scenarios!$D$7:$D$13,MATCH(MEDIAN($B45-Conversion!$B$15,2020,2050),Report_Scenarios!$A$7:$A$13,1)),INDEX(Report_Scenarios!$D$7:$D$13,MATCH(MEDIAN($B45-Conversion!$B$15,2020,2050),Report_Scenarios!$A$7:$A$13,1))+(INDEX(Report_Scenarios!$D$7:$D$13,MIN(MATCH(MEDIAN($B45-Conversion!$B$15,2020,2050),Report_Scenarios!$A$7:$A$13,1)+1,7))-INDEX(Report_Scenarios!$D$7:$D$13,MATCH(MEDIAN($B45-Conversion!$B$15,2020,2050),Report_Scenarios!$A$7:$A$13,1)))*(MEDIAN($B45-Conversion!$B$15,2020,2050)-INDEX(Report_Scenarios!$A$7:$A$13,MATCH(MEDIAN($B45-Conversion!$B$15,2020,2050),Report_Scenarios!$A$7:$A$13,1)))/(INDEX(Report_Scenarios!$A$7:$A$13,MIN(MATCH(MEDIAN($B45-Conversion!$B$15,2020,2050),Report_Scenarios!$A$7:$A$13,1)+1,7))-INDEX(Report_Scenarios!$A$7:$A$13,MATCH(MEDIAN($B45-Conversion!$B$15,2020,2050),Report_Scenarios!$A$7:$A$13,1)))),IF($D45="Central",IF(INDEX(Report_Scenarios!$A$18:$A$24,MIN(MATCH(MEDIAN($B45-Conversion!$B$15,2020,2050),Report_Scenarios!$A$18:$A$24,1)+1,7))=INDEX(Report_Scenarios!$A$18:$A$24,MATCH(MEDIAN($B45-Conversion!$B$15,2020,2050),Report_Scenarios!$A$18:$A$24,1)),INDEX(Report_Scenarios!$D$18:$D$24,MATCH(MEDIAN($B45-Conversion!$B$15,2020,2050),Report_Scenarios!$A$18:$A$24,1)),INDEX(Report_Scenarios!$D$18:$D$24,MATCH(MEDIAN($B45-Conversion!$B$15,2020,2050),Report_Scenarios!$A$18:$A$24,1))+(INDEX(Report_Scenarios!$D$18:$D$24,MIN(MATCH(MEDIAN($B45-Conversion!$B$15,2020,2050),Report_Scenarios!$A$18:$A$24,1)+1,7))-INDEX(Report_Scenarios!$D$18:$D$24,MATCH(MEDIAN($B45-Conversion!$B$15,2020,2050),Report_Scenarios!$A$18:$A$24,1)))*(MEDIAN($B45-Conversion!$B$15,2020,2050)-INDEX(Report_Scenarios!$A$18:$A$24,MATCH(MEDIAN($B45-Conversion!$B$15,2020,2050),Report_Scenarios!$A$18:$A$24,1)))/(INDEX(Report_Scenarios!$A$18:$A$24,MIN(MATCH(MEDIAN($B45-Conversion!$B$15,2020,2050),Report_Scenarios!$A$18:$A$24,1)+1,7))-INDEX(Report_Scenarios!$A$18:$A$24,MATCH(MEDIAN($B45-Conversion!$B$15,2020,2050),Report_Scenarios!$A$18:$A$24,1)))),IF(INDEX(Report_Scenarios!$A$29:$A$35,MIN(MATCH(MEDIAN($B45-Conversion!$B$15,2020,2050),Report_Scenarios!$A$29:$A$35,1)+1,7))=INDEX(Report_Scenarios!$A$29:$A$35,MATCH(MEDIAN($B45-Conversion!$B$15,2020,2050),Report_Scenarios!$A$29:$A$35,1)),INDEX(Report_Scenarios!$D$29:$D$35,MATCH(MEDIAN($B45-Conversion!$B$15,2020,2050),Report_Scenarios!$A$29:$A$35,1)),INDEX(Report_Scenarios!$D$29:$D$35,MATCH(MEDIAN($B45-Conversion!$B$15,2020,2050),Report_Scenarios!$A$29:$A$35,1))+(INDEX(Report_Scenarios!$D$29:$D$35,MIN(MATCH(MEDIAN($B45-Conversion!$B$15,2020,2050),Report_Scenarios!$A$29:$A$35,1)+1,7))-INDEX(Report_Scenarios!$D$29:$D$35,MATCH(MEDIAN($B45-Conversion!$B$15,2020,2050),Report_Scenarios!$A$29:$A$35,1)))*(MEDIAN($B45-Conversion!$B$15,2020,2050)-INDEX(Report_Scenarios!$A$29:$A$35,MATCH(MEDIAN($B45-Conversion!$B$15,2020,2050),Report_Scenarios!$A$29:$A$35,1)))/(INDEX(Report_Scenarios!$A$29:$A$35,MIN(MATCH(MEDIAN($B45-Conversion!$B$15,2020,2050),Report_Scenarios!$A$29:$A$35,1)+1,7))-INDEX(Report_Scenarios!$A$29:$A$35,MATCH(MEDIAN($B45-Conversion!$B$15,2020,2050),Report_Scenarios!$A$29:$A$35,1))))))</f>
        <v/>
      </c>
      <c r="H45" s="23">
        <f>IF($D45="Conservative",IF(INDEX(Report_Scenarios!$A$7:$A$13,MIN(MATCH(MEDIAN($B45-Conversion!$B$15,2020,2050),Report_Scenarios!$A$7:$A$13,1)+1,7))=INDEX(Report_Scenarios!$A$7:$A$13,MATCH(MEDIAN($B45-Conversion!$B$15,2020,2050),Report_Scenarios!$A$7:$A$13,1)),INDEX(Report_Scenarios!$E$7:$E$13,MATCH(MEDIAN($B45-Conversion!$B$15,2020,2050),Report_Scenarios!$A$7:$A$13,1)),INDEX(Report_Scenarios!$E$7:$E$13,MATCH(MEDIAN($B45-Conversion!$B$15,2020,2050),Report_Scenarios!$A$7:$A$13,1))+(INDEX(Report_Scenarios!$E$7:$E$13,MIN(MATCH(MEDIAN($B45-Conversion!$B$15,2020,2050),Report_Scenarios!$A$7:$A$13,1)+1,7))-INDEX(Report_Scenarios!$E$7:$E$13,MATCH(MEDIAN($B45-Conversion!$B$15,2020,2050),Report_Scenarios!$A$7:$A$13,1)))*(MEDIAN($B45-Conversion!$B$15,2020,2050)-INDEX(Report_Scenarios!$A$7:$A$13,MATCH(MEDIAN($B45-Conversion!$B$15,2020,2050),Report_Scenarios!$A$7:$A$13,1)))/(INDEX(Report_Scenarios!$A$7:$A$13,MIN(MATCH(MEDIAN($B45-Conversion!$B$15,2020,2050),Report_Scenarios!$A$7:$A$13,1)+1,7))-INDEX(Report_Scenarios!$A$7:$A$13,MATCH(MEDIAN($B45-Conversion!$B$15,2020,2050),Report_Scenarios!$A$7:$A$13,1)))),IF($D45="Central",IF(INDEX(Report_Scenarios!$A$18:$A$24,MIN(MATCH(MEDIAN($B45-Conversion!$B$15,2020,2050),Report_Scenarios!$A$18:$A$24,1)+1,7))=INDEX(Report_Scenarios!$A$18:$A$24,MATCH(MEDIAN($B45-Conversion!$B$15,2020,2050),Report_Scenarios!$A$18:$A$24,1)),INDEX(Report_Scenarios!$E$18:$E$24,MATCH(MEDIAN($B45-Conversion!$B$15,2020,2050),Report_Scenarios!$A$18:$A$24,1)),INDEX(Report_Scenarios!$E$18:$E$24,MATCH(MEDIAN($B45-Conversion!$B$15,2020,2050),Report_Scenarios!$A$18:$A$24,1))+(INDEX(Report_Scenarios!$E$18:$E$24,MIN(MATCH(MEDIAN($B45-Conversion!$B$15,2020,2050),Report_Scenarios!$A$18:$A$24,1)+1,7))-INDEX(Report_Scenarios!$E$18:$E$24,MATCH(MEDIAN($B45-Conversion!$B$15,2020,2050),Report_Scenarios!$A$18:$A$24,1)))*(MEDIAN($B45-Conversion!$B$15,2020,2050)-INDEX(Report_Scenarios!$A$18:$A$24,MATCH(MEDIAN($B45-Conversion!$B$15,2020,2050),Report_Scenarios!$A$18:$A$24,1)))/(INDEX(Report_Scenarios!$A$18:$A$24,MIN(MATCH(MEDIAN($B45-Conversion!$B$15,2020,2050),Report_Scenarios!$A$18:$A$24,1)+1,7))-INDEX(Report_Scenarios!$A$18:$A$24,MATCH(MEDIAN($B45-Conversion!$B$15,2020,2050),Report_Scenarios!$A$18:$A$24,1)))),IF(INDEX(Report_Scenarios!$A$29:$A$35,MIN(MATCH(MEDIAN($B45-Conversion!$B$15,2020,2050),Report_Scenarios!$A$29:$A$35,1)+1,7))=INDEX(Report_Scenarios!$A$29:$A$35,MATCH(MEDIAN($B45-Conversion!$B$15,2020,2050),Report_Scenarios!$A$29:$A$35,1)),INDEX(Report_Scenarios!$E$29:$E$35,MATCH(MEDIAN($B45-Conversion!$B$15,2020,2050),Report_Scenarios!$A$29:$A$35,1)),INDEX(Report_Scenarios!$E$29:$E$35,MATCH(MEDIAN($B45-Conversion!$B$15,2020,2050),Report_Scenarios!$A$29:$A$35,1))+(INDEX(Report_Scenarios!$E$29:$E$35,MIN(MATCH(MEDIAN($B45-Conversion!$B$15,2020,2050),Report_Scenarios!$A$29:$A$35,1)+1,7))-INDEX(Report_Scenarios!$E$29:$E$35,MATCH(MEDIAN($B45-Conversion!$B$15,2020,2050),Report_Scenarios!$A$29:$A$35,1)))*(MEDIAN($B45-Conversion!$B$15,2020,2050)-INDEX(Report_Scenarios!$A$29:$A$35,MATCH(MEDIAN($B45-Conversion!$B$15,2020,2050),Report_Scenarios!$A$29:$A$35,1)))/(INDEX(Report_Scenarios!$A$29:$A$35,MIN(MATCH(MEDIAN($B45-Conversion!$B$15,2020,2050),Report_Scenarios!$A$29:$A$35,1)+1,7))-INDEX(Report_Scenarios!$A$29:$A$35,MATCH(MEDIAN($B45-Conversion!$B$15,2020,2050),Report_Scenarios!$A$29:$A$35,1))))))</f>
        <v/>
      </c>
      <c r="I45" s="23">
        <f>IF($D45="Conservative",IF(INDEX(Report_Scenarios!$A$7:$A$13,MIN(MATCH(MEDIAN($B45-Conversion!$B$15,2020,2050),Report_Scenarios!$A$7:$A$13,1)+1,7))=INDEX(Report_Scenarios!$A$7:$A$13,MATCH(MEDIAN($B45-Conversion!$B$15,2020,2050),Report_Scenarios!$A$7:$A$13,1)),INDEX(Report_Scenarios!$F$7:$F$13,MATCH(MEDIAN($B45-Conversion!$B$15,2020,2050),Report_Scenarios!$A$7:$A$13,1)),INDEX(Report_Scenarios!$F$7:$F$13,MATCH(MEDIAN($B45-Conversion!$B$15,2020,2050),Report_Scenarios!$A$7:$A$13,1))+(INDEX(Report_Scenarios!$F$7:$F$13,MIN(MATCH(MEDIAN($B45-Conversion!$B$15,2020,2050),Report_Scenarios!$A$7:$A$13,1)+1,7))-INDEX(Report_Scenarios!$F$7:$F$13,MATCH(MEDIAN($B45-Conversion!$B$15,2020,2050),Report_Scenarios!$A$7:$A$13,1)))*(MEDIAN($B45-Conversion!$B$15,2020,2050)-INDEX(Report_Scenarios!$A$7:$A$13,MATCH(MEDIAN($B45-Conversion!$B$15,2020,2050),Report_Scenarios!$A$7:$A$13,1)))/(INDEX(Report_Scenarios!$A$7:$A$13,MIN(MATCH(MEDIAN($B45-Conversion!$B$15,2020,2050),Report_Scenarios!$A$7:$A$13,1)+1,7))-INDEX(Report_Scenarios!$A$7:$A$13,MATCH(MEDIAN($B45-Conversion!$B$15,2020,2050),Report_Scenarios!$A$7:$A$13,1)))),IF($D45="Central",IF(INDEX(Report_Scenarios!$A$18:$A$24,MIN(MATCH(MEDIAN($B45-Conversion!$B$15,2020,2050),Report_Scenarios!$A$18:$A$24,1)+1,7))=INDEX(Report_Scenarios!$A$18:$A$24,MATCH(MEDIAN($B45-Conversion!$B$15,2020,2050),Report_Scenarios!$A$18:$A$24,1)),INDEX(Report_Scenarios!$F$18:$F$24,MATCH(MEDIAN($B45-Conversion!$B$15,2020,2050),Report_Scenarios!$A$18:$A$24,1)),INDEX(Report_Scenarios!$F$18:$F$24,MATCH(MEDIAN($B45-Conversion!$B$15,2020,2050),Report_Scenarios!$A$18:$A$24,1))+(INDEX(Report_Scenarios!$F$18:$F$24,MIN(MATCH(MEDIAN($B45-Conversion!$B$15,2020,2050),Report_Scenarios!$A$18:$A$24,1)+1,7))-INDEX(Report_Scenarios!$F$18:$F$24,MATCH(MEDIAN($B45-Conversion!$B$15,2020,2050),Report_Scenarios!$A$18:$A$24,1)))*(MEDIAN($B45-Conversion!$B$15,2020,2050)-INDEX(Report_Scenarios!$A$18:$A$24,MATCH(MEDIAN($B45-Conversion!$B$15,2020,2050),Report_Scenarios!$A$18:$A$24,1)))/(INDEX(Report_Scenarios!$A$18:$A$24,MIN(MATCH(MEDIAN($B45-Conversion!$B$15,2020,2050),Report_Scenarios!$A$18:$A$24,1)+1,7))-INDEX(Report_Scenarios!$A$18:$A$24,MATCH(MEDIAN($B45-Conversion!$B$15,2020,2050),Report_Scenarios!$A$18:$A$24,1)))),IF(INDEX(Report_Scenarios!$A$29:$A$35,MIN(MATCH(MEDIAN($B45-Conversion!$B$15,2020,2050),Report_Scenarios!$A$29:$A$35,1)+1,7))=INDEX(Report_Scenarios!$A$29:$A$35,MATCH(MEDIAN($B45-Conversion!$B$15,2020,2050),Report_Scenarios!$A$29:$A$35,1)),INDEX(Report_Scenarios!$F$29:$F$35,MATCH(MEDIAN($B45-Conversion!$B$15,2020,2050),Report_Scenarios!$A$29:$A$35,1)),INDEX(Report_Scenarios!$F$29:$F$35,MATCH(MEDIAN($B45-Conversion!$B$15,2020,2050),Report_Scenarios!$A$29:$A$35,1))+(INDEX(Report_Scenarios!$F$29:$F$35,MIN(MATCH(MEDIAN($B45-Conversion!$B$15,2020,2050),Report_Scenarios!$A$29:$A$35,1)+1,7))-INDEX(Report_Scenarios!$F$29:$F$35,MATCH(MEDIAN($B45-Conversion!$B$15,2020,2050),Report_Scenarios!$A$29:$A$35,1)))*(MEDIAN($B45-Conversion!$B$15,2020,2050)-INDEX(Report_Scenarios!$A$29:$A$35,MATCH(MEDIAN($B45-Conversion!$B$15,2020,2050),Report_Scenarios!$A$29:$A$35,1)))/(INDEX(Report_Scenarios!$A$29:$A$35,MIN(MATCH(MEDIAN($B45-Conversion!$B$15,2020,2050),Report_Scenarios!$A$29:$A$35,1)+1,7))-INDEX(Report_Scenarios!$A$29:$A$35,MATCH(MEDIAN($B45-Conversion!$B$15,2020,2050),Report_Scenarios!$A$29:$A$35,1))))))</f>
        <v/>
      </c>
      <c r="J45" s="23">
        <f>IF($D45="Conservative",IF(INDEX(Report_Scenarios!$A$7:$A$13,MIN(MATCH(MEDIAN($B45-Conversion!$B$15,2020,2050),Report_Scenarios!$A$7:$A$13,1)+1,7))=INDEX(Report_Scenarios!$A$7:$A$13,MATCH(MEDIAN($B45-Conversion!$B$15,2020,2050),Report_Scenarios!$A$7:$A$13,1)),INDEX(Report_Scenarios!$G$7:$G$13,MATCH(MEDIAN($B45-Conversion!$B$15,2020,2050),Report_Scenarios!$A$7:$A$13,1)),INDEX(Report_Scenarios!$G$7:$G$13,MATCH(MEDIAN($B45-Conversion!$B$15,2020,2050),Report_Scenarios!$A$7:$A$13,1))+(INDEX(Report_Scenarios!$G$7:$G$13,MIN(MATCH(MEDIAN($B45-Conversion!$B$15,2020,2050),Report_Scenarios!$A$7:$A$13,1)+1,7))-INDEX(Report_Scenarios!$G$7:$G$13,MATCH(MEDIAN($B45-Conversion!$B$15,2020,2050),Report_Scenarios!$A$7:$A$13,1)))*(MEDIAN($B45-Conversion!$B$15,2020,2050)-INDEX(Report_Scenarios!$A$7:$A$13,MATCH(MEDIAN($B45-Conversion!$B$15,2020,2050),Report_Scenarios!$A$7:$A$13,1)))/(INDEX(Report_Scenarios!$A$7:$A$13,MIN(MATCH(MEDIAN($B45-Conversion!$B$15,2020,2050),Report_Scenarios!$A$7:$A$13,1)+1,7))-INDEX(Report_Scenarios!$A$7:$A$13,MATCH(MEDIAN($B45-Conversion!$B$15,2020,2050),Report_Scenarios!$A$7:$A$13,1)))),IF($D45="Central",IF(INDEX(Report_Scenarios!$A$18:$A$24,MIN(MATCH(MEDIAN($B45-Conversion!$B$15,2020,2050),Report_Scenarios!$A$18:$A$24,1)+1,7))=INDEX(Report_Scenarios!$A$18:$A$24,MATCH(MEDIAN($B45-Conversion!$B$15,2020,2050),Report_Scenarios!$A$18:$A$24,1)),INDEX(Report_Scenarios!$G$18:$G$24,MATCH(MEDIAN($B45-Conversion!$B$15,2020,2050),Report_Scenarios!$A$18:$A$24,1)),INDEX(Report_Scenarios!$G$18:$G$24,MATCH(MEDIAN($B45-Conversion!$B$15,2020,2050),Report_Scenarios!$A$18:$A$24,1))+(INDEX(Report_Scenarios!$G$18:$G$24,MIN(MATCH(MEDIAN($B45-Conversion!$B$15,2020,2050),Report_Scenarios!$A$18:$A$24,1)+1,7))-INDEX(Report_Scenarios!$G$18:$G$24,MATCH(MEDIAN($B45-Conversion!$B$15,2020,2050),Report_Scenarios!$A$18:$A$24,1)))*(MEDIAN($B45-Conversion!$B$15,2020,2050)-INDEX(Report_Scenarios!$A$18:$A$24,MATCH(MEDIAN($B45-Conversion!$B$15,2020,2050),Report_Scenarios!$A$18:$A$24,1)))/(INDEX(Report_Scenarios!$A$18:$A$24,MIN(MATCH(MEDIAN($B45-Conversion!$B$15,2020,2050),Report_Scenarios!$A$18:$A$24,1)+1,7))-INDEX(Report_Scenarios!$A$18:$A$24,MATCH(MEDIAN($B45-Conversion!$B$15,2020,2050),Report_Scenarios!$A$18:$A$24,1)))),IF(INDEX(Report_Scenarios!$A$29:$A$35,MIN(MATCH(MEDIAN($B45-Conversion!$B$15,2020,2050),Report_Scenarios!$A$29:$A$35,1)+1,7))=INDEX(Report_Scenarios!$A$29:$A$35,MATCH(MEDIAN($B45-Conversion!$B$15,2020,2050),Report_Scenarios!$A$29:$A$35,1)),INDEX(Report_Scenarios!$G$29:$G$35,MATCH(MEDIAN($B45-Conversion!$B$15,2020,2050),Report_Scenarios!$A$29:$A$35,1)),INDEX(Report_Scenarios!$G$29:$G$35,MATCH(MEDIAN($B45-Conversion!$B$15,2020,2050),Report_Scenarios!$A$29:$A$35,1))+(INDEX(Report_Scenarios!$G$29:$G$35,MIN(MATCH(MEDIAN($B45-Conversion!$B$15,2020,2050),Report_Scenarios!$A$29:$A$35,1)+1,7))-INDEX(Report_Scenarios!$G$29:$G$35,MATCH(MEDIAN($B45-Conversion!$B$15,2020,2050),Report_Scenarios!$A$29:$A$35,1)))*(MEDIAN($B45-Conversion!$B$15,2020,2050)-INDEX(Report_Scenarios!$A$29:$A$35,MATCH(MEDIAN($B45-Conversion!$B$15,2020,2050),Report_Scenarios!$A$29:$A$35,1)))/(INDEX(Report_Scenarios!$A$29:$A$35,MIN(MATCH(MEDIAN($B45-Conversion!$B$15,2020,2050),Report_Scenarios!$A$29:$A$35,1)+1,7))-INDEX(Report_Scenarios!$A$29:$A$35,MATCH(MEDIAN($B45-Conversion!$B$15,2020,2050),Report_Scenarios!$A$29:$A$35,1))))))</f>
        <v/>
      </c>
      <c r="K45" s="23">
        <f>SUM(E45:J45)</f>
        <v/>
      </c>
      <c r="L45" s="23">
        <f>IF(R45&lt;&gt;"",R45,IF($K45=0,0,E45/$K45))</f>
        <v/>
      </c>
      <c r="M45" s="23">
        <f>IF(S45&lt;&gt;"",S45,IF($K45=0,0,F45/$K45))</f>
        <v/>
      </c>
      <c r="N45" s="23">
        <f>IF(T45&lt;&gt;"",T45,IF($K45=0,0,G45/$K45))</f>
        <v/>
      </c>
      <c r="O45" s="23">
        <f>IF(U45&lt;&gt;"",U45,IF($K45=0,0,H45/$K45))</f>
        <v/>
      </c>
      <c r="P45" s="23">
        <f>IF(V45&lt;&gt;"",V45,IF($K45=0,0,I45/$K45))</f>
        <v/>
      </c>
      <c r="Q45" s="23">
        <f>IF(W45&lt;&gt;"",W45,IF($K45=0,0,J45/$K45))</f>
        <v/>
      </c>
      <c r="R45" s="24" t="n"/>
      <c r="S45" s="24" t="n"/>
      <c r="T45" s="24" t="n"/>
      <c r="U45" s="24" t="n"/>
      <c r="V45" s="24" t="n"/>
      <c r="W45" s="24" t="n"/>
    </row>
    <row r="46">
      <c r="A46" s="4" t="inlineStr">
        <is>
          <t>CD</t>
        </is>
      </c>
      <c r="B46" s="4" t="n">
        <v>2035</v>
      </c>
      <c r="C46" s="4" t="inlineStr">
        <is>
          <t>Share_Max</t>
        </is>
      </c>
      <c r="D46" s="4">
        <f>Conversion!$B$20</f>
        <v/>
      </c>
      <c r="E46" s="23">
        <f>IF($D46="Conservative",IF(INDEX(Report_Scenarios!$A$7:$A$13,MIN(MATCH(MEDIAN($B46-Conversion!$B$15,2020,2050),Report_Scenarios!$A$7:$A$13,1)+1,7))=INDEX(Report_Scenarios!$A$7:$A$13,MATCH(MEDIAN($B46-Conversion!$B$15,2020,2050),Report_Scenarios!$A$7:$A$13,1)),INDEX(Report_Scenarios!$B$7:$B$13,MATCH(MEDIAN($B46-Conversion!$B$15,2020,2050),Report_Scenarios!$A$7:$A$13,1)),INDEX(Report_Scenarios!$B$7:$B$13,MATCH(MEDIAN($B46-Conversion!$B$15,2020,2050),Report_Scenarios!$A$7:$A$13,1))+(INDEX(Report_Scenarios!$B$7:$B$13,MIN(MATCH(MEDIAN($B46-Conversion!$B$15,2020,2050),Report_Scenarios!$A$7:$A$13,1)+1,7))-INDEX(Report_Scenarios!$B$7:$B$13,MATCH(MEDIAN($B46-Conversion!$B$15,2020,2050),Report_Scenarios!$A$7:$A$13,1)))*(MEDIAN($B46-Conversion!$B$15,2020,2050)-INDEX(Report_Scenarios!$A$7:$A$13,MATCH(MEDIAN($B46-Conversion!$B$15,2020,2050),Report_Scenarios!$A$7:$A$13,1)))/(INDEX(Report_Scenarios!$A$7:$A$13,MIN(MATCH(MEDIAN($B46-Conversion!$B$15,2020,2050),Report_Scenarios!$A$7:$A$13,1)+1,7))-INDEX(Report_Scenarios!$A$7:$A$13,MATCH(MEDIAN($B46-Conversion!$B$15,2020,2050),Report_Scenarios!$A$7:$A$13,1)))),IF($D46="Central",IF(INDEX(Report_Scenarios!$A$18:$A$24,MIN(MATCH(MEDIAN($B46-Conversion!$B$15,2020,2050),Report_Scenarios!$A$18:$A$24,1)+1,7))=INDEX(Report_Scenarios!$A$18:$A$24,MATCH(MEDIAN($B46-Conversion!$B$15,2020,2050),Report_Scenarios!$A$18:$A$24,1)),INDEX(Report_Scenarios!$B$18:$B$24,MATCH(MEDIAN($B46-Conversion!$B$15,2020,2050),Report_Scenarios!$A$18:$A$24,1)),INDEX(Report_Scenarios!$B$18:$B$24,MATCH(MEDIAN($B46-Conversion!$B$15,2020,2050),Report_Scenarios!$A$18:$A$24,1))+(INDEX(Report_Scenarios!$B$18:$B$24,MIN(MATCH(MEDIAN($B46-Conversion!$B$15,2020,2050),Report_Scenarios!$A$18:$A$24,1)+1,7))-INDEX(Report_Scenarios!$B$18:$B$24,MATCH(MEDIAN($B46-Conversion!$B$15,2020,2050),Report_Scenarios!$A$18:$A$24,1)))*(MEDIAN($B46-Conversion!$B$15,2020,2050)-INDEX(Report_Scenarios!$A$18:$A$24,MATCH(MEDIAN($B46-Conversion!$B$15,2020,2050),Report_Scenarios!$A$18:$A$24,1)))/(INDEX(Report_Scenarios!$A$18:$A$24,MIN(MATCH(MEDIAN($B46-Conversion!$B$15,2020,2050),Report_Scenarios!$A$18:$A$24,1)+1,7))-INDEX(Report_Scenarios!$A$18:$A$24,MATCH(MEDIAN($B46-Conversion!$B$15,2020,2050),Report_Scenarios!$A$18:$A$24,1)))),IF(INDEX(Report_Scenarios!$A$29:$A$35,MIN(MATCH(MEDIAN($B46-Conversion!$B$15,2020,2050),Report_Scenarios!$A$29:$A$35,1)+1,7))=INDEX(Report_Scenarios!$A$29:$A$35,MATCH(MEDIAN($B46-Conversion!$B$15,2020,2050),Report_Scenarios!$A$29:$A$35,1)),INDEX(Report_Scenarios!$B$29:$B$35,MATCH(MEDIAN($B46-Conversion!$B$15,2020,2050),Report_Scenarios!$A$29:$A$35,1)),INDEX(Report_Scenarios!$B$29:$B$35,MATCH(MEDIAN($B46-Conversion!$B$15,2020,2050),Report_Scenarios!$A$29:$A$35,1))+(INDEX(Report_Scenarios!$B$29:$B$35,MIN(MATCH(MEDIAN($B46-Conversion!$B$15,2020,2050),Report_Scenarios!$A$29:$A$35,1)+1,7))-INDEX(Report_Scenarios!$B$29:$B$35,MATCH(MEDIAN($B46-Conversion!$B$15,2020,2050),Report_Scenarios!$A$29:$A$35,1)))*(MEDIAN($B46-Conversion!$B$15,2020,2050)-INDEX(Report_Scenarios!$A$29:$A$35,MATCH(MEDIAN($B46-Conversion!$B$15,2020,2050),Report_Scenarios!$A$29:$A$35,1)))/(INDEX(Report_Scenarios!$A$29:$A$35,MIN(MATCH(MEDIAN($B46-Conversion!$B$15,2020,2050),Report_Scenarios!$A$29:$A$35,1)+1,7))-INDEX(Report_Scenarios!$A$29:$A$35,MATCH(MEDIAN($B46-Conversion!$B$15,2020,2050),Report_Scenarios!$A$29:$A$35,1))))))</f>
        <v/>
      </c>
      <c r="F46" s="23">
        <f>IF($D46="Conservative",IF(INDEX(Report_Scenarios!$A$7:$A$13,MIN(MATCH(MEDIAN($B46-Conversion!$B$15,2020,2050),Report_Scenarios!$A$7:$A$13,1)+1,7))=INDEX(Report_Scenarios!$A$7:$A$13,MATCH(MEDIAN($B46-Conversion!$B$15,2020,2050),Report_Scenarios!$A$7:$A$13,1)),INDEX(Report_Scenarios!$C$7:$C$13,MATCH(MEDIAN($B46-Conversion!$B$15,2020,2050),Report_Scenarios!$A$7:$A$13,1)),INDEX(Report_Scenarios!$C$7:$C$13,MATCH(MEDIAN($B46-Conversion!$B$15,2020,2050),Report_Scenarios!$A$7:$A$13,1))+(INDEX(Report_Scenarios!$C$7:$C$13,MIN(MATCH(MEDIAN($B46-Conversion!$B$15,2020,2050),Report_Scenarios!$A$7:$A$13,1)+1,7))-INDEX(Report_Scenarios!$C$7:$C$13,MATCH(MEDIAN($B46-Conversion!$B$15,2020,2050),Report_Scenarios!$A$7:$A$13,1)))*(MEDIAN($B46-Conversion!$B$15,2020,2050)-INDEX(Report_Scenarios!$A$7:$A$13,MATCH(MEDIAN($B46-Conversion!$B$15,2020,2050),Report_Scenarios!$A$7:$A$13,1)))/(INDEX(Report_Scenarios!$A$7:$A$13,MIN(MATCH(MEDIAN($B46-Conversion!$B$15,2020,2050),Report_Scenarios!$A$7:$A$13,1)+1,7))-INDEX(Report_Scenarios!$A$7:$A$13,MATCH(MEDIAN($B46-Conversion!$B$15,2020,2050),Report_Scenarios!$A$7:$A$13,1)))),IF($D46="Central",IF(INDEX(Report_Scenarios!$A$18:$A$24,MIN(MATCH(MEDIAN($B46-Conversion!$B$15,2020,2050),Report_Scenarios!$A$18:$A$24,1)+1,7))=INDEX(Report_Scenarios!$A$18:$A$24,MATCH(MEDIAN($B46-Conversion!$B$15,2020,2050),Report_Scenarios!$A$18:$A$24,1)),INDEX(Report_Scenarios!$C$18:$C$24,MATCH(MEDIAN($B46-Conversion!$B$15,2020,2050),Report_Scenarios!$A$18:$A$24,1)),INDEX(Report_Scenarios!$C$18:$C$24,MATCH(MEDIAN($B46-Conversion!$B$15,2020,2050),Report_Scenarios!$A$18:$A$24,1))+(INDEX(Report_Scenarios!$C$18:$C$24,MIN(MATCH(MEDIAN($B46-Conversion!$B$15,2020,2050),Report_Scenarios!$A$18:$A$24,1)+1,7))-INDEX(Report_Scenarios!$C$18:$C$24,MATCH(MEDIAN($B46-Conversion!$B$15,2020,2050),Report_Scenarios!$A$18:$A$24,1)))*(MEDIAN($B46-Conversion!$B$15,2020,2050)-INDEX(Report_Scenarios!$A$18:$A$24,MATCH(MEDIAN($B46-Conversion!$B$15,2020,2050),Report_Scenarios!$A$18:$A$24,1)))/(INDEX(Report_Scenarios!$A$18:$A$24,MIN(MATCH(MEDIAN($B46-Conversion!$B$15,2020,2050),Report_Scenarios!$A$18:$A$24,1)+1,7))-INDEX(Report_Scenarios!$A$18:$A$24,MATCH(MEDIAN($B46-Conversion!$B$15,2020,2050),Report_Scenarios!$A$18:$A$24,1)))),IF(INDEX(Report_Scenarios!$A$29:$A$35,MIN(MATCH(MEDIAN($B46-Conversion!$B$15,2020,2050),Report_Scenarios!$A$29:$A$35,1)+1,7))=INDEX(Report_Scenarios!$A$29:$A$35,MATCH(MEDIAN($B46-Conversion!$B$15,2020,2050),Report_Scenarios!$A$29:$A$35,1)),INDEX(Report_Scenarios!$C$29:$C$35,MATCH(MEDIAN($B46-Conversion!$B$15,2020,2050),Report_Scenarios!$A$29:$A$35,1)),INDEX(Report_Scenarios!$C$29:$C$35,MATCH(MEDIAN($B46-Conversion!$B$15,2020,2050),Report_Scenarios!$A$29:$A$35,1))+(INDEX(Report_Scenarios!$C$29:$C$35,MIN(MATCH(MEDIAN($B46-Conversion!$B$15,2020,2050),Report_Scenarios!$A$29:$A$35,1)+1,7))-INDEX(Report_Scenarios!$C$29:$C$35,MATCH(MEDIAN($B46-Conversion!$B$15,2020,2050),Report_Scenarios!$A$29:$A$35,1)))*(MEDIAN($B46-Conversion!$B$15,2020,2050)-INDEX(Report_Scenarios!$A$29:$A$35,MATCH(MEDIAN($B46-Conversion!$B$15,2020,2050),Report_Scenarios!$A$29:$A$35,1)))/(INDEX(Report_Scenarios!$A$29:$A$35,MIN(MATCH(MEDIAN($B46-Conversion!$B$15,2020,2050),Report_Scenarios!$A$29:$A$35,1)+1,7))-INDEX(Report_Scenarios!$A$29:$A$35,MATCH(MEDIAN($B46-Conversion!$B$15,2020,2050),Report_Scenarios!$A$29:$A$35,1))))))</f>
        <v/>
      </c>
      <c r="G46" s="23">
        <f>IF($D46="Conservative",IF(INDEX(Report_Scenarios!$A$7:$A$13,MIN(MATCH(MEDIAN($B46-Conversion!$B$15,2020,2050),Report_Scenarios!$A$7:$A$13,1)+1,7))=INDEX(Report_Scenarios!$A$7:$A$13,MATCH(MEDIAN($B46-Conversion!$B$15,2020,2050),Report_Scenarios!$A$7:$A$13,1)),INDEX(Report_Scenarios!$D$7:$D$13,MATCH(MEDIAN($B46-Conversion!$B$15,2020,2050),Report_Scenarios!$A$7:$A$13,1)),INDEX(Report_Scenarios!$D$7:$D$13,MATCH(MEDIAN($B46-Conversion!$B$15,2020,2050),Report_Scenarios!$A$7:$A$13,1))+(INDEX(Report_Scenarios!$D$7:$D$13,MIN(MATCH(MEDIAN($B46-Conversion!$B$15,2020,2050),Report_Scenarios!$A$7:$A$13,1)+1,7))-INDEX(Report_Scenarios!$D$7:$D$13,MATCH(MEDIAN($B46-Conversion!$B$15,2020,2050),Report_Scenarios!$A$7:$A$13,1)))*(MEDIAN($B46-Conversion!$B$15,2020,2050)-INDEX(Report_Scenarios!$A$7:$A$13,MATCH(MEDIAN($B46-Conversion!$B$15,2020,2050),Report_Scenarios!$A$7:$A$13,1)))/(INDEX(Report_Scenarios!$A$7:$A$13,MIN(MATCH(MEDIAN($B46-Conversion!$B$15,2020,2050),Report_Scenarios!$A$7:$A$13,1)+1,7))-INDEX(Report_Scenarios!$A$7:$A$13,MATCH(MEDIAN($B46-Conversion!$B$15,2020,2050),Report_Scenarios!$A$7:$A$13,1)))),IF($D46="Central",IF(INDEX(Report_Scenarios!$A$18:$A$24,MIN(MATCH(MEDIAN($B46-Conversion!$B$15,2020,2050),Report_Scenarios!$A$18:$A$24,1)+1,7))=INDEX(Report_Scenarios!$A$18:$A$24,MATCH(MEDIAN($B46-Conversion!$B$15,2020,2050),Report_Scenarios!$A$18:$A$24,1)),INDEX(Report_Scenarios!$D$18:$D$24,MATCH(MEDIAN($B46-Conversion!$B$15,2020,2050),Report_Scenarios!$A$18:$A$24,1)),INDEX(Report_Scenarios!$D$18:$D$24,MATCH(MEDIAN($B46-Conversion!$B$15,2020,2050),Report_Scenarios!$A$18:$A$24,1))+(INDEX(Report_Scenarios!$D$18:$D$24,MIN(MATCH(MEDIAN($B46-Conversion!$B$15,2020,2050),Report_Scenarios!$A$18:$A$24,1)+1,7))-INDEX(Report_Scenarios!$D$18:$D$24,MATCH(MEDIAN($B46-Conversion!$B$15,2020,2050),Report_Scenarios!$A$18:$A$24,1)))*(MEDIAN($B46-Conversion!$B$15,2020,2050)-INDEX(Report_Scenarios!$A$18:$A$24,MATCH(MEDIAN($B46-Conversion!$B$15,2020,2050),Report_Scenarios!$A$18:$A$24,1)))/(INDEX(Report_Scenarios!$A$18:$A$24,MIN(MATCH(MEDIAN($B46-Conversion!$B$15,2020,2050),Report_Scenarios!$A$18:$A$24,1)+1,7))-INDEX(Report_Scenarios!$A$18:$A$24,MATCH(MEDIAN($B46-Conversion!$B$15,2020,2050),Report_Scenarios!$A$18:$A$24,1)))),IF(INDEX(Report_Scenarios!$A$29:$A$35,MIN(MATCH(MEDIAN($B46-Conversion!$B$15,2020,2050),Report_Scenarios!$A$29:$A$35,1)+1,7))=INDEX(Report_Scenarios!$A$29:$A$35,MATCH(MEDIAN($B46-Conversion!$B$15,2020,2050),Report_Scenarios!$A$29:$A$35,1)),INDEX(Report_Scenarios!$D$29:$D$35,MATCH(MEDIAN($B46-Conversion!$B$15,2020,2050),Report_Scenarios!$A$29:$A$35,1)),INDEX(Report_Scenarios!$D$29:$D$35,MATCH(MEDIAN($B46-Conversion!$B$15,2020,2050),Report_Scenarios!$A$29:$A$35,1))+(INDEX(Report_Scenarios!$D$29:$D$35,MIN(MATCH(MEDIAN($B46-Conversion!$B$15,2020,2050),Report_Scenarios!$A$29:$A$35,1)+1,7))-INDEX(Report_Scenarios!$D$29:$D$35,MATCH(MEDIAN($B46-Conversion!$B$15,2020,2050),Report_Scenarios!$A$29:$A$35,1)))*(MEDIAN($B46-Conversion!$B$15,2020,2050)-INDEX(Report_Scenarios!$A$29:$A$35,MATCH(MEDIAN($B46-Conversion!$B$15,2020,2050),Report_Scenarios!$A$29:$A$35,1)))/(INDEX(Report_Scenarios!$A$29:$A$35,MIN(MATCH(MEDIAN($B46-Conversion!$B$15,2020,2050),Report_Scenarios!$A$29:$A$35,1)+1,7))-INDEX(Report_Scenarios!$A$29:$A$35,MATCH(MEDIAN($B46-Conversion!$B$15,2020,2050),Report_Scenarios!$A$29:$A$35,1))))))</f>
        <v/>
      </c>
      <c r="H46" s="23">
        <f>IF($D46="Conservative",IF(INDEX(Report_Scenarios!$A$7:$A$13,MIN(MATCH(MEDIAN($B46-Conversion!$B$15,2020,2050),Report_Scenarios!$A$7:$A$13,1)+1,7))=INDEX(Report_Scenarios!$A$7:$A$13,MATCH(MEDIAN($B46-Conversion!$B$15,2020,2050),Report_Scenarios!$A$7:$A$13,1)),INDEX(Report_Scenarios!$E$7:$E$13,MATCH(MEDIAN($B46-Conversion!$B$15,2020,2050),Report_Scenarios!$A$7:$A$13,1)),INDEX(Report_Scenarios!$E$7:$E$13,MATCH(MEDIAN($B46-Conversion!$B$15,2020,2050),Report_Scenarios!$A$7:$A$13,1))+(INDEX(Report_Scenarios!$E$7:$E$13,MIN(MATCH(MEDIAN($B46-Conversion!$B$15,2020,2050),Report_Scenarios!$A$7:$A$13,1)+1,7))-INDEX(Report_Scenarios!$E$7:$E$13,MATCH(MEDIAN($B46-Conversion!$B$15,2020,2050),Report_Scenarios!$A$7:$A$13,1)))*(MEDIAN($B46-Conversion!$B$15,2020,2050)-INDEX(Report_Scenarios!$A$7:$A$13,MATCH(MEDIAN($B46-Conversion!$B$15,2020,2050),Report_Scenarios!$A$7:$A$13,1)))/(INDEX(Report_Scenarios!$A$7:$A$13,MIN(MATCH(MEDIAN($B46-Conversion!$B$15,2020,2050),Report_Scenarios!$A$7:$A$13,1)+1,7))-INDEX(Report_Scenarios!$A$7:$A$13,MATCH(MEDIAN($B46-Conversion!$B$15,2020,2050),Report_Scenarios!$A$7:$A$13,1)))),IF($D46="Central",IF(INDEX(Report_Scenarios!$A$18:$A$24,MIN(MATCH(MEDIAN($B46-Conversion!$B$15,2020,2050),Report_Scenarios!$A$18:$A$24,1)+1,7))=INDEX(Report_Scenarios!$A$18:$A$24,MATCH(MEDIAN($B46-Conversion!$B$15,2020,2050),Report_Scenarios!$A$18:$A$24,1)),INDEX(Report_Scenarios!$E$18:$E$24,MATCH(MEDIAN($B46-Conversion!$B$15,2020,2050),Report_Scenarios!$A$18:$A$24,1)),INDEX(Report_Scenarios!$E$18:$E$24,MATCH(MEDIAN($B46-Conversion!$B$15,2020,2050),Report_Scenarios!$A$18:$A$24,1))+(INDEX(Report_Scenarios!$E$18:$E$24,MIN(MATCH(MEDIAN($B46-Conversion!$B$15,2020,2050),Report_Scenarios!$A$18:$A$24,1)+1,7))-INDEX(Report_Scenarios!$E$18:$E$24,MATCH(MEDIAN($B46-Conversion!$B$15,2020,2050),Report_Scenarios!$A$18:$A$24,1)))*(MEDIAN($B46-Conversion!$B$15,2020,2050)-INDEX(Report_Scenarios!$A$18:$A$24,MATCH(MEDIAN($B46-Conversion!$B$15,2020,2050),Report_Scenarios!$A$18:$A$24,1)))/(INDEX(Report_Scenarios!$A$18:$A$24,MIN(MATCH(MEDIAN($B46-Conversion!$B$15,2020,2050),Report_Scenarios!$A$18:$A$24,1)+1,7))-INDEX(Report_Scenarios!$A$18:$A$24,MATCH(MEDIAN($B46-Conversion!$B$15,2020,2050),Report_Scenarios!$A$18:$A$24,1)))),IF(INDEX(Report_Scenarios!$A$29:$A$35,MIN(MATCH(MEDIAN($B46-Conversion!$B$15,2020,2050),Report_Scenarios!$A$29:$A$35,1)+1,7))=INDEX(Report_Scenarios!$A$29:$A$35,MATCH(MEDIAN($B46-Conversion!$B$15,2020,2050),Report_Scenarios!$A$29:$A$35,1)),INDEX(Report_Scenarios!$E$29:$E$35,MATCH(MEDIAN($B46-Conversion!$B$15,2020,2050),Report_Scenarios!$A$29:$A$35,1)),INDEX(Report_Scenarios!$E$29:$E$35,MATCH(MEDIAN($B46-Conversion!$B$15,2020,2050),Report_Scenarios!$A$29:$A$35,1))+(INDEX(Report_Scenarios!$E$29:$E$35,MIN(MATCH(MEDIAN($B46-Conversion!$B$15,2020,2050),Report_Scenarios!$A$29:$A$35,1)+1,7))-INDEX(Report_Scenarios!$E$29:$E$35,MATCH(MEDIAN($B46-Conversion!$B$15,2020,2050),Report_Scenarios!$A$29:$A$35,1)))*(MEDIAN($B46-Conversion!$B$15,2020,2050)-INDEX(Report_Scenarios!$A$29:$A$35,MATCH(MEDIAN($B46-Conversion!$B$15,2020,2050),Report_Scenarios!$A$29:$A$35,1)))/(INDEX(Report_Scenarios!$A$29:$A$35,MIN(MATCH(MEDIAN($B46-Conversion!$B$15,2020,2050),Report_Scenarios!$A$29:$A$35,1)+1,7))-INDEX(Report_Scenarios!$A$29:$A$35,MATCH(MEDIAN($B46-Conversion!$B$15,2020,2050),Report_Scenarios!$A$29:$A$35,1))))))</f>
        <v/>
      </c>
      <c r="I46" s="23">
        <f>IF($D46="Conservative",IF(INDEX(Report_Scenarios!$A$7:$A$13,MIN(MATCH(MEDIAN($B46-Conversion!$B$15,2020,2050),Report_Scenarios!$A$7:$A$13,1)+1,7))=INDEX(Report_Scenarios!$A$7:$A$13,MATCH(MEDIAN($B46-Conversion!$B$15,2020,2050),Report_Scenarios!$A$7:$A$13,1)),INDEX(Report_Scenarios!$F$7:$F$13,MATCH(MEDIAN($B46-Conversion!$B$15,2020,2050),Report_Scenarios!$A$7:$A$13,1)),INDEX(Report_Scenarios!$F$7:$F$13,MATCH(MEDIAN($B46-Conversion!$B$15,2020,2050),Report_Scenarios!$A$7:$A$13,1))+(INDEX(Report_Scenarios!$F$7:$F$13,MIN(MATCH(MEDIAN($B46-Conversion!$B$15,2020,2050),Report_Scenarios!$A$7:$A$13,1)+1,7))-INDEX(Report_Scenarios!$F$7:$F$13,MATCH(MEDIAN($B46-Conversion!$B$15,2020,2050),Report_Scenarios!$A$7:$A$13,1)))*(MEDIAN($B46-Conversion!$B$15,2020,2050)-INDEX(Report_Scenarios!$A$7:$A$13,MATCH(MEDIAN($B46-Conversion!$B$15,2020,2050),Report_Scenarios!$A$7:$A$13,1)))/(INDEX(Report_Scenarios!$A$7:$A$13,MIN(MATCH(MEDIAN($B46-Conversion!$B$15,2020,2050),Report_Scenarios!$A$7:$A$13,1)+1,7))-INDEX(Report_Scenarios!$A$7:$A$13,MATCH(MEDIAN($B46-Conversion!$B$15,2020,2050),Report_Scenarios!$A$7:$A$13,1)))),IF($D46="Central",IF(INDEX(Report_Scenarios!$A$18:$A$24,MIN(MATCH(MEDIAN($B46-Conversion!$B$15,2020,2050),Report_Scenarios!$A$18:$A$24,1)+1,7))=INDEX(Report_Scenarios!$A$18:$A$24,MATCH(MEDIAN($B46-Conversion!$B$15,2020,2050),Report_Scenarios!$A$18:$A$24,1)),INDEX(Report_Scenarios!$F$18:$F$24,MATCH(MEDIAN($B46-Conversion!$B$15,2020,2050),Report_Scenarios!$A$18:$A$24,1)),INDEX(Report_Scenarios!$F$18:$F$24,MATCH(MEDIAN($B46-Conversion!$B$15,2020,2050),Report_Scenarios!$A$18:$A$24,1))+(INDEX(Report_Scenarios!$F$18:$F$24,MIN(MATCH(MEDIAN($B46-Conversion!$B$15,2020,2050),Report_Scenarios!$A$18:$A$24,1)+1,7))-INDEX(Report_Scenarios!$F$18:$F$24,MATCH(MEDIAN($B46-Conversion!$B$15,2020,2050),Report_Scenarios!$A$18:$A$24,1)))*(MEDIAN($B46-Conversion!$B$15,2020,2050)-INDEX(Report_Scenarios!$A$18:$A$24,MATCH(MEDIAN($B46-Conversion!$B$15,2020,2050),Report_Scenarios!$A$18:$A$24,1)))/(INDEX(Report_Scenarios!$A$18:$A$24,MIN(MATCH(MEDIAN($B46-Conversion!$B$15,2020,2050),Report_Scenarios!$A$18:$A$24,1)+1,7))-INDEX(Report_Scenarios!$A$18:$A$24,MATCH(MEDIAN($B46-Conversion!$B$15,2020,2050),Report_Scenarios!$A$18:$A$24,1)))),IF(INDEX(Report_Scenarios!$A$29:$A$35,MIN(MATCH(MEDIAN($B46-Conversion!$B$15,2020,2050),Report_Scenarios!$A$29:$A$35,1)+1,7))=INDEX(Report_Scenarios!$A$29:$A$35,MATCH(MEDIAN($B46-Conversion!$B$15,2020,2050),Report_Scenarios!$A$29:$A$35,1)),INDEX(Report_Scenarios!$F$29:$F$35,MATCH(MEDIAN($B46-Conversion!$B$15,2020,2050),Report_Scenarios!$A$29:$A$35,1)),INDEX(Report_Scenarios!$F$29:$F$35,MATCH(MEDIAN($B46-Conversion!$B$15,2020,2050),Report_Scenarios!$A$29:$A$35,1))+(INDEX(Report_Scenarios!$F$29:$F$35,MIN(MATCH(MEDIAN($B46-Conversion!$B$15,2020,2050),Report_Scenarios!$A$29:$A$35,1)+1,7))-INDEX(Report_Scenarios!$F$29:$F$35,MATCH(MEDIAN($B46-Conversion!$B$15,2020,2050),Report_Scenarios!$A$29:$A$35,1)))*(MEDIAN($B46-Conversion!$B$15,2020,2050)-INDEX(Report_Scenarios!$A$29:$A$35,MATCH(MEDIAN($B46-Conversion!$B$15,2020,2050),Report_Scenarios!$A$29:$A$35,1)))/(INDEX(Report_Scenarios!$A$29:$A$35,MIN(MATCH(MEDIAN($B46-Conversion!$B$15,2020,2050),Report_Scenarios!$A$29:$A$35,1)+1,7))-INDEX(Report_Scenarios!$A$29:$A$35,MATCH(MEDIAN($B46-Conversion!$B$15,2020,2050),Report_Scenarios!$A$29:$A$35,1))))))</f>
        <v/>
      </c>
      <c r="J46" s="23">
        <f>IF($D46="Conservative",IF(INDEX(Report_Scenarios!$A$7:$A$13,MIN(MATCH(MEDIAN($B46-Conversion!$B$15,2020,2050),Report_Scenarios!$A$7:$A$13,1)+1,7))=INDEX(Report_Scenarios!$A$7:$A$13,MATCH(MEDIAN($B46-Conversion!$B$15,2020,2050),Report_Scenarios!$A$7:$A$13,1)),INDEX(Report_Scenarios!$G$7:$G$13,MATCH(MEDIAN($B46-Conversion!$B$15,2020,2050),Report_Scenarios!$A$7:$A$13,1)),INDEX(Report_Scenarios!$G$7:$G$13,MATCH(MEDIAN($B46-Conversion!$B$15,2020,2050),Report_Scenarios!$A$7:$A$13,1))+(INDEX(Report_Scenarios!$G$7:$G$13,MIN(MATCH(MEDIAN($B46-Conversion!$B$15,2020,2050),Report_Scenarios!$A$7:$A$13,1)+1,7))-INDEX(Report_Scenarios!$G$7:$G$13,MATCH(MEDIAN($B46-Conversion!$B$15,2020,2050),Report_Scenarios!$A$7:$A$13,1)))*(MEDIAN($B46-Conversion!$B$15,2020,2050)-INDEX(Report_Scenarios!$A$7:$A$13,MATCH(MEDIAN($B46-Conversion!$B$15,2020,2050),Report_Scenarios!$A$7:$A$13,1)))/(INDEX(Report_Scenarios!$A$7:$A$13,MIN(MATCH(MEDIAN($B46-Conversion!$B$15,2020,2050),Report_Scenarios!$A$7:$A$13,1)+1,7))-INDEX(Report_Scenarios!$A$7:$A$13,MATCH(MEDIAN($B46-Conversion!$B$15,2020,2050),Report_Scenarios!$A$7:$A$13,1)))),IF($D46="Central",IF(INDEX(Report_Scenarios!$A$18:$A$24,MIN(MATCH(MEDIAN($B46-Conversion!$B$15,2020,2050),Report_Scenarios!$A$18:$A$24,1)+1,7))=INDEX(Report_Scenarios!$A$18:$A$24,MATCH(MEDIAN($B46-Conversion!$B$15,2020,2050),Report_Scenarios!$A$18:$A$24,1)),INDEX(Report_Scenarios!$G$18:$G$24,MATCH(MEDIAN($B46-Conversion!$B$15,2020,2050),Report_Scenarios!$A$18:$A$24,1)),INDEX(Report_Scenarios!$G$18:$G$24,MATCH(MEDIAN($B46-Conversion!$B$15,2020,2050),Report_Scenarios!$A$18:$A$24,1))+(INDEX(Report_Scenarios!$G$18:$G$24,MIN(MATCH(MEDIAN($B46-Conversion!$B$15,2020,2050),Report_Scenarios!$A$18:$A$24,1)+1,7))-INDEX(Report_Scenarios!$G$18:$G$24,MATCH(MEDIAN($B46-Conversion!$B$15,2020,2050),Report_Scenarios!$A$18:$A$24,1)))*(MEDIAN($B46-Conversion!$B$15,2020,2050)-INDEX(Report_Scenarios!$A$18:$A$24,MATCH(MEDIAN($B46-Conversion!$B$15,2020,2050),Report_Scenarios!$A$18:$A$24,1)))/(INDEX(Report_Scenarios!$A$18:$A$24,MIN(MATCH(MEDIAN($B46-Conversion!$B$15,2020,2050),Report_Scenarios!$A$18:$A$24,1)+1,7))-INDEX(Report_Scenarios!$A$18:$A$24,MATCH(MEDIAN($B46-Conversion!$B$15,2020,2050),Report_Scenarios!$A$18:$A$24,1)))),IF(INDEX(Report_Scenarios!$A$29:$A$35,MIN(MATCH(MEDIAN($B46-Conversion!$B$15,2020,2050),Report_Scenarios!$A$29:$A$35,1)+1,7))=INDEX(Report_Scenarios!$A$29:$A$35,MATCH(MEDIAN($B46-Conversion!$B$15,2020,2050),Report_Scenarios!$A$29:$A$35,1)),INDEX(Report_Scenarios!$G$29:$G$35,MATCH(MEDIAN($B46-Conversion!$B$15,2020,2050),Report_Scenarios!$A$29:$A$35,1)),INDEX(Report_Scenarios!$G$29:$G$35,MATCH(MEDIAN($B46-Conversion!$B$15,2020,2050),Report_Scenarios!$A$29:$A$35,1))+(INDEX(Report_Scenarios!$G$29:$G$35,MIN(MATCH(MEDIAN($B46-Conversion!$B$15,2020,2050),Report_Scenarios!$A$29:$A$35,1)+1,7))-INDEX(Report_Scenarios!$G$29:$G$35,MATCH(MEDIAN($B46-Conversion!$B$15,2020,2050),Report_Scenarios!$A$29:$A$35,1)))*(MEDIAN($B46-Conversion!$B$15,2020,2050)-INDEX(Report_Scenarios!$A$29:$A$35,MATCH(MEDIAN($B46-Conversion!$B$15,2020,2050),Report_Scenarios!$A$29:$A$35,1)))/(INDEX(Report_Scenarios!$A$29:$A$35,MIN(MATCH(MEDIAN($B46-Conversion!$B$15,2020,2050),Report_Scenarios!$A$29:$A$35,1)+1,7))-INDEX(Report_Scenarios!$A$29:$A$35,MATCH(MEDIAN($B46-Conversion!$B$15,2020,2050),Report_Scenarios!$A$29:$A$35,1))))))</f>
        <v/>
      </c>
      <c r="K46" s="23">
        <f>SUM(E46:J46)</f>
        <v/>
      </c>
      <c r="L46" s="23">
        <f>IF(R46&lt;&gt;"",R46,IF($K46=0,0,E46/$K46))</f>
        <v/>
      </c>
      <c r="M46" s="23">
        <f>IF(S46&lt;&gt;"",S46,IF($K46=0,0,F46/$K46))</f>
        <v/>
      </c>
      <c r="N46" s="23">
        <f>IF(T46&lt;&gt;"",T46,IF($K46=0,0,G46/$K46))</f>
        <v/>
      </c>
      <c r="O46" s="23">
        <f>IF(U46&lt;&gt;"",U46,IF($K46=0,0,H46/$K46))</f>
        <v/>
      </c>
      <c r="P46" s="23">
        <f>IF(V46&lt;&gt;"",V46,IF($K46=0,0,I46/$K46))</f>
        <v/>
      </c>
      <c r="Q46" s="23">
        <f>IF(W46&lt;&gt;"",W46,IF($K46=0,0,J46/$K46))</f>
        <v/>
      </c>
      <c r="R46" s="24" t="n"/>
      <c r="S46" s="24" t="n"/>
      <c r="T46" s="24" t="n"/>
      <c r="U46" s="24" t="n"/>
      <c r="V46" s="24" t="n"/>
      <c r="W46" s="24" t="n"/>
    </row>
    <row r="47">
      <c r="A47" s="4" t="inlineStr">
        <is>
          <t>CD</t>
        </is>
      </c>
      <c r="B47" s="4" t="n">
        <v>2040</v>
      </c>
      <c r="C47" s="4" t="inlineStr">
        <is>
          <t>Share_Min</t>
        </is>
      </c>
      <c r="D47" s="4">
        <f>Conversion!$B$18</f>
        <v/>
      </c>
      <c r="E47" s="23">
        <f>IF($D47="Conservative",IF(INDEX(Report_Scenarios!$A$7:$A$13,MIN(MATCH(MEDIAN($B47-Conversion!$B$15,2020,2050),Report_Scenarios!$A$7:$A$13,1)+1,7))=INDEX(Report_Scenarios!$A$7:$A$13,MATCH(MEDIAN($B47-Conversion!$B$15,2020,2050),Report_Scenarios!$A$7:$A$13,1)),INDEX(Report_Scenarios!$B$7:$B$13,MATCH(MEDIAN($B47-Conversion!$B$15,2020,2050),Report_Scenarios!$A$7:$A$13,1)),INDEX(Report_Scenarios!$B$7:$B$13,MATCH(MEDIAN($B47-Conversion!$B$15,2020,2050),Report_Scenarios!$A$7:$A$13,1))+(INDEX(Report_Scenarios!$B$7:$B$13,MIN(MATCH(MEDIAN($B47-Conversion!$B$15,2020,2050),Report_Scenarios!$A$7:$A$13,1)+1,7))-INDEX(Report_Scenarios!$B$7:$B$13,MATCH(MEDIAN($B47-Conversion!$B$15,2020,2050),Report_Scenarios!$A$7:$A$13,1)))*(MEDIAN($B47-Conversion!$B$15,2020,2050)-INDEX(Report_Scenarios!$A$7:$A$13,MATCH(MEDIAN($B47-Conversion!$B$15,2020,2050),Report_Scenarios!$A$7:$A$13,1)))/(INDEX(Report_Scenarios!$A$7:$A$13,MIN(MATCH(MEDIAN($B47-Conversion!$B$15,2020,2050),Report_Scenarios!$A$7:$A$13,1)+1,7))-INDEX(Report_Scenarios!$A$7:$A$13,MATCH(MEDIAN($B47-Conversion!$B$15,2020,2050),Report_Scenarios!$A$7:$A$13,1)))),IF($D47="Central",IF(INDEX(Report_Scenarios!$A$18:$A$24,MIN(MATCH(MEDIAN($B47-Conversion!$B$15,2020,2050),Report_Scenarios!$A$18:$A$24,1)+1,7))=INDEX(Report_Scenarios!$A$18:$A$24,MATCH(MEDIAN($B47-Conversion!$B$15,2020,2050),Report_Scenarios!$A$18:$A$24,1)),INDEX(Report_Scenarios!$B$18:$B$24,MATCH(MEDIAN($B47-Conversion!$B$15,2020,2050),Report_Scenarios!$A$18:$A$24,1)),INDEX(Report_Scenarios!$B$18:$B$24,MATCH(MEDIAN($B47-Conversion!$B$15,2020,2050),Report_Scenarios!$A$18:$A$24,1))+(INDEX(Report_Scenarios!$B$18:$B$24,MIN(MATCH(MEDIAN($B47-Conversion!$B$15,2020,2050),Report_Scenarios!$A$18:$A$24,1)+1,7))-INDEX(Report_Scenarios!$B$18:$B$24,MATCH(MEDIAN($B47-Conversion!$B$15,2020,2050),Report_Scenarios!$A$18:$A$24,1)))*(MEDIAN($B47-Conversion!$B$15,2020,2050)-INDEX(Report_Scenarios!$A$18:$A$24,MATCH(MEDIAN($B47-Conversion!$B$15,2020,2050),Report_Scenarios!$A$18:$A$24,1)))/(INDEX(Report_Scenarios!$A$18:$A$24,MIN(MATCH(MEDIAN($B47-Conversion!$B$15,2020,2050),Report_Scenarios!$A$18:$A$24,1)+1,7))-INDEX(Report_Scenarios!$A$18:$A$24,MATCH(MEDIAN($B47-Conversion!$B$15,2020,2050),Report_Scenarios!$A$18:$A$24,1)))),IF(INDEX(Report_Scenarios!$A$29:$A$35,MIN(MATCH(MEDIAN($B47-Conversion!$B$15,2020,2050),Report_Scenarios!$A$29:$A$35,1)+1,7))=INDEX(Report_Scenarios!$A$29:$A$35,MATCH(MEDIAN($B47-Conversion!$B$15,2020,2050),Report_Scenarios!$A$29:$A$35,1)),INDEX(Report_Scenarios!$B$29:$B$35,MATCH(MEDIAN($B47-Conversion!$B$15,2020,2050),Report_Scenarios!$A$29:$A$35,1)),INDEX(Report_Scenarios!$B$29:$B$35,MATCH(MEDIAN($B47-Conversion!$B$15,2020,2050),Report_Scenarios!$A$29:$A$35,1))+(INDEX(Report_Scenarios!$B$29:$B$35,MIN(MATCH(MEDIAN($B47-Conversion!$B$15,2020,2050),Report_Scenarios!$A$29:$A$35,1)+1,7))-INDEX(Report_Scenarios!$B$29:$B$35,MATCH(MEDIAN($B47-Conversion!$B$15,2020,2050),Report_Scenarios!$A$29:$A$35,1)))*(MEDIAN($B47-Conversion!$B$15,2020,2050)-INDEX(Report_Scenarios!$A$29:$A$35,MATCH(MEDIAN($B47-Conversion!$B$15,2020,2050),Report_Scenarios!$A$29:$A$35,1)))/(INDEX(Report_Scenarios!$A$29:$A$35,MIN(MATCH(MEDIAN($B47-Conversion!$B$15,2020,2050),Report_Scenarios!$A$29:$A$35,1)+1,7))-INDEX(Report_Scenarios!$A$29:$A$35,MATCH(MEDIAN($B47-Conversion!$B$15,2020,2050),Report_Scenarios!$A$29:$A$35,1))))))</f>
        <v/>
      </c>
      <c r="F47" s="23">
        <f>IF($D47="Conservative",IF(INDEX(Report_Scenarios!$A$7:$A$13,MIN(MATCH(MEDIAN($B47-Conversion!$B$15,2020,2050),Report_Scenarios!$A$7:$A$13,1)+1,7))=INDEX(Report_Scenarios!$A$7:$A$13,MATCH(MEDIAN($B47-Conversion!$B$15,2020,2050),Report_Scenarios!$A$7:$A$13,1)),INDEX(Report_Scenarios!$C$7:$C$13,MATCH(MEDIAN($B47-Conversion!$B$15,2020,2050),Report_Scenarios!$A$7:$A$13,1)),INDEX(Report_Scenarios!$C$7:$C$13,MATCH(MEDIAN($B47-Conversion!$B$15,2020,2050),Report_Scenarios!$A$7:$A$13,1))+(INDEX(Report_Scenarios!$C$7:$C$13,MIN(MATCH(MEDIAN($B47-Conversion!$B$15,2020,2050),Report_Scenarios!$A$7:$A$13,1)+1,7))-INDEX(Report_Scenarios!$C$7:$C$13,MATCH(MEDIAN($B47-Conversion!$B$15,2020,2050),Report_Scenarios!$A$7:$A$13,1)))*(MEDIAN($B47-Conversion!$B$15,2020,2050)-INDEX(Report_Scenarios!$A$7:$A$13,MATCH(MEDIAN($B47-Conversion!$B$15,2020,2050),Report_Scenarios!$A$7:$A$13,1)))/(INDEX(Report_Scenarios!$A$7:$A$13,MIN(MATCH(MEDIAN($B47-Conversion!$B$15,2020,2050),Report_Scenarios!$A$7:$A$13,1)+1,7))-INDEX(Report_Scenarios!$A$7:$A$13,MATCH(MEDIAN($B47-Conversion!$B$15,2020,2050),Report_Scenarios!$A$7:$A$13,1)))),IF($D47="Central",IF(INDEX(Report_Scenarios!$A$18:$A$24,MIN(MATCH(MEDIAN($B47-Conversion!$B$15,2020,2050),Report_Scenarios!$A$18:$A$24,1)+1,7))=INDEX(Report_Scenarios!$A$18:$A$24,MATCH(MEDIAN($B47-Conversion!$B$15,2020,2050),Report_Scenarios!$A$18:$A$24,1)),INDEX(Report_Scenarios!$C$18:$C$24,MATCH(MEDIAN($B47-Conversion!$B$15,2020,2050),Report_Scenarios!$A$18:$A$24,1)),INDEX(Report_Scenarios!$C$18:$C$24,MATCH(MEDIAN($B47-Conversion!$B$15,2020,2050),Report_Scenarios!$A$18:$A$24,1))+(INDEX(Report_Scenarios!$C$18:$C$24,MIN(MATCH(MEDIAN($B47-Conversion!$B$15,2020,2050),Report_Scenarios!$A$18:$A$24,1)+1,7))-INDEX(Report_Scenarios!$C$18:$C$24,MATCH(MEDIAN($B47-Conversion!$B$15,2020,2050),Report_Scenarios!$A$18:$A$24,1)))*(MEDIAN($B47-Conversion!$B$15,2020,2050)-INDEX(Report_Scenarios!$A$18:$A$24,MATCH(MEDIAN($B47-Conversion!$B$15,2020,2050),Report_Scenarios!$A$18:$A$24,1)))/(INDEX(Report_Scenarios!$A$18:$A$24,MIN(MATCH(MEDIAN($B47-Conversion!$B$15,2020,2050),Report_Scenarios!$A$18:$A$24,1)+1,7))-INDEX(Report_Scenarios!$A$18:$A$24,MATCH(MEDIAN($B47-Conversion!$B$15,2020,2050),Report_Scenarios!$A$18:$A$24,1)))),IF(INDEX(Report_Scenarios!$A$29:$A$35,MIN(MATCH(MEDIAN($B47-Conversion!$B$15,2020,2050),Report_Scenarios!$A$29:$A$35,1)+1,7))=INDEX(Report_Scenarios!$A$29:$A$35,MATCH(MEDIAN($B47-Conversion!$B$15,2020,2050),Report_Scenarios!$A$29:$A$35,1)),INDEX(Report_Scenarios!$C$29:$C$35,MATCH(MEDIAN($B47-Conversion!$B$15,2020,2050),Report_Scenarios!$A$29:$A$35,1)),INDEX(Report_Scenarios!$C$29:$C$35,MATCH(MEDIAN($B47-Conversion!$B$15,2020,2050),Report_Scenarios!$A$29:$A$35,1))+(INDEX(Report_Scenarios!$C$29:$C$35,MIN(MATCH(MEDIAN($B47-Conversion!$B$15,2020,2050),Report_Scenarios!$A$29:$A$35,1)+1,7))-INDEX(Report_Scenarios!$C$29:$C$35,MATCH(MEDIAN($B47-Conversion!$B$15,2020,2050),Report_Scenarios!$A$29:$A$35,1)))*(MEDIAN($B47-Conversion!$B$15,2020,2050)-INDEX(Report_Scenarios!$A$29:$A$35,MATCH(MEDIAN($B47-Conversion!$B$15,2020,2050),Report_Scenarios!$A$29:$A$35,1)))/(INDEX(Report_Scenarios!$A$29:$A$35,MIN(MATCH(MEDIAN($B47-Conversion!$B$15,2020,2050),Report_Scenarios!$A$29:$A$35,1)+1,7))-INDEX(Report_Scenarios!$A$29:$A$35,MATCH(MEDIAN($B47-Conversion!$B$15,2020,2050),Report_Scenarios!$A$29:$A$35,1))))))</f>
        <v/>
      </c>
      <c r="G47" s="23">
        <f>IF($D47="Conservative",IF(INDEX(Report_Scenarios!$A$7:$A$13,MIN(MATCH(MEDIAN($B47-Conversion!$B$15,2020,2050),Report_Scenarios!$A$7:$A$13,1)+1,7))=INDEX(Report_Scenarios!$A$7:$A$13,MATCH(MEDIAN($B47-Conversion!$B$15,2020,2050),Report_Scenarios!$A$7:$A$13,1)),INDEX(Report_Scenarios!$D$7:$D$13,MATCH(MEDIAN($B47-Conversion!$B$15,2020,2050),Report_Scenarios!$A$7:$A$13,1)),INDEX(Report_Scenarios!$D$7:$D$13,MATCH(MEDIAN($B47-Conversion!$B$15,2020,2050),Report_Scenarios!$A$7:$A$13,1))+(INDEX(Report_Scenarios!$D$7:$D$13,MIN(MATCH(MEDIAN($B47-Conversion!$B$15,2020,2050),Report_Scenarios!$A$7:$A$13,1)+1,7))-INDEX(Report_Scenarios!$D$7:$D$13,MATCH(MEDIAN($B47-Conversion!$B$15,2020,2050),Report_Scenarios!$A$7:$A$13,1)))*(MEDIAN($B47-Conversion!$B$15,2020,2050)-INDEX(Report_Scenarios!$A$7:$A$13,MATCH(MEDIAN($B47-Conversion!$B$15,2020,2050),Report_Scenarios!$A$7:$A$13,1)))/(INDEX(Report_Scenarios!$A$7:$A$13,MIN(MATCH(MEDIAN($B47-Conversion!$B$15,2020,2050),Report_Scenarios!$A$7:$A$13,1)+1,7))-INDEX(Report_Scenarios!$A$7:$A$13,MATCH(MEDIAN($B47-Conversion!$B$15,2020,2050),Report_Scenarios!$A$7:$A$13,1)))),IF($D47="Central",IF(INDEX(Report_Scenarios!$A$18:$A$24,MIN(MATCH(MEDIAN($B47-Conversion!$B$15,2020,2050),Report_Scenarios!$A$18:$A$24,1)+1,7))=INDEX(Report_Scenarios!$A$18:$A$24,MATCH(MEDIAN($B47-Conversion!$B$15,2020,2050),Report_Scenarios!$A$18:$A$24,1)),INDEX(Report_Scenarios!$D$18:$D$24,MATCH(MEDIAN($B47-Conversion!$B$15,2020,2050),Report_Scenarios!$A$18:$A$24,1)),INDEX(Report_Scenarios!$D$18:$D$24,MATCH(MEDIAN($B47-Conversion!$B$15,2020,2050),Report_Scenarios!$A$18:$A$24,1))+(INDEX(Report_Scenarios!$D$18:$D$24,MIN(MATCH(MEDIAN($B47-Conversion!$B$15,2020,2050),Report_Scenarios!$A$18:$A$24,1)+1,7))-INDEX(Report_Scenarios!$D$18:$D$24,MATCH(MEDIAN($B47-Conversion!$B$15,2020,2050),Report_Scenarios!$A$18:$A$24,1)))*(MEDIAN($B47-Conversion!$B$15,2020,2050)-INDEX(Report_Scenarios!$A$18:$A$24,MATCH(MEDIAN($B47-Conversion!$B$15,2020,2050),Report_Scenarios!$A$18:$A$24,1)))/(INDEX(Report_Scenarios!$A$18:$A$24,MIN(MATCH(MEDIAN($B47-Conversion!$B$15,2020,2050),Report_Scenarios!$A$18:$A$24,1)+1,7))-INDEX(Report_Scenarios!$A$18:$A$24,MATCH(MEDIAN($B47-Conversion!$B$15,2020,2050),Report_Scenarios!$A$18:$A$24,1)))),IF(INDEX(Report_Scenarios!$A$29:$A$35,MIN(MATCH(MEDIAN($B47-Conversion!$B$15,2020,2050),Report_Scenarios!$A$29:$A$35,1)+1,7))=INDEX(Report_Scenarios!$A$29:$A$35,MATCH(MEDIAN($B47-Conversion!$B$15,2020,2050),Report_Scenarios!$A$29:$A$35,1)),INDEX(Report_Scenarios!$D$29:$D$35,MATCH(MEDIAN($B47-Conversion!$B$15,2020,2050),Report_Scenarios!$A$29:$A$35,1)),INDEX(Report_Scenarios!$D$29:$D$35,MATCH(MEDIAN($B47-Conversion!$B$15,2020,2050),Report_Scenarios!$A$29:$A$35,1))+(INDEX(Report_Scenarios!$D$29:$D$35,MIN(MATCH(MEDIAN($B47-Conversion!$B$15,2020,2050),Report_Scenarios!$A$29:$A$35,1)+1,7))-INDEX(Report_Scenarios!$D$29:$D$35,MATCH(MEDIAN($B47-Conversion!$B$15,2020,2050),Report_Scenarios!$A$29:$A$35,1)))*(MEDIAN($B47-Conversion!$B$15,2020,2050)-INDEX(Report_Scenarios!$A$29:$A$35,MATCH(MEDIAN($B47-Conversion!$B$15,2020,2050),Report_Scenarios!$A$29:$A$35,1)))/(INDEX(Report_Scenarios!$A$29:$A$35,MIN(MATCH(MEDIAN($B47-Conversion!$B$15,2020,2050),Report_Scenarios!$A$29:$A$35,1)+1,7))-INDEX(Report_Scenarios!$A$29:$A$35,MATCH(MEDIAN($B47-Conversion!$B$15,2020,2050),Report_Scenarios!$A$29:$A$35,1))))))</f>
        <v/>
      </c>
      <c r="H47" s="23">
        <f>IF($D47="Conservative",IF(INDEX(Report_Scenarios!$A$7:$A$13,MIN(MATCH(MEDIAN($B47-Conversion!$B$15,2020,2050),Report_Scenarios!$A$7:$A$13,1)+1,7))=INDEX(Report_Scenarios!$A$7:$A$13,MATCH(MEDIAN($B47-Conversion!$B$15,2020,2050),Report_Scenarios!$A$7:$A$13,1)),INDEX(Report_Scenarios!$E$7:$E$13,MATCH(MEDIAN($B47-Conversion!$B$15,2020,2050),Report_Scenarios!$A$7:$A$13,1)),INDEX(Report_Scenarios!$E$7:$E$13,MATCH(MEDIAN($B47-Conversion!$B$15,2020,2050),Report_Scenarios!$A$7:$A$13,1))+(INDEX(Report_Scenarios!$E$7:$E$13,MIN(MATCH(MEDIAN($B47-Conversion!$B$15,2020,2050),Report_Scenarios!$A$7:$A$13,1)+1,7))-INDEX(Report_Scenarios!$E$7:$E$13,MATCH(MEDIAN($B47-Conversion!$B$15,2020,2050),Report_Scenarios!$A$7:$A$13,1)))*(MEDIAN($B47-Conversion!$B$15,2020,2050)-INDEX(Report_Scenarios!$A$7:$A$13,MATCH(MEDIAN($B47-Conversion!$B$15,2020,2050),Report_Scenarios!$A$7:$A$13,1)))/(INDEX(Report_Scenarios!$A$7:$A$13,MIN(MATCH(MEDIAN($B47-Conversion!$B$15,2020,2050),Report_Scenarios!$A$7:$A$13,1)+1,7))-INDEX(Report_Scenarios!$A$7:$A$13,MATCH(MEDIAN($B47-Conversion!$B$15,2020,2050),Report_Scenarios!$A$7:$A$13,1)))),IF($D47="Central",IF(INDEX(Report_Scenarios!$A$18:$A$24,MIN(MATCH(MEDIAN($B47-Conversion!$B$15,2020,2050),Report_Scenarios!$A$18:$A$24,1)+1,7))=INDEX(Report_Scenarios!$A$18:$A$24,MATCH(MEDIAN($B47-Conversion!$B$15,2020,2050),Report_Scenarios!$A$18:$A$24,1)),INDEX(Report_Scenarios!$E$18:$E$24,MATCH(MEDIAN($B47-Conversion!$B$15,2020,2050),Report_Scenarios!$A$18:$A$24,1)),INDEX(Report_Scenarios!$E$18:$E$24,MATCH(MEDIAN($B47-Conversion!$B$15,2020,2050),Report_Scenarios!$A$18:$A$24,1))+(INDEX(Report_Scenarios!$E$18:$E$24,MIN(MATCH(MEDIAN($B47-Conversion!$B$15,2020,2050),Report_Scenarios!$A$18:$A$24,1)+1,7))-INDEX(Report_Scenarios!$E$18:$E$24,MATCH(MEDIAN($B47-Conversion!$B$15,2020,2050),Report_Scenarios!$A$18:$A$24,1)))*(MEDIAN($B47-Conversion!$B$15,2020,2050)-INDEX(Report_Scenarios!$A$18:$A$24,MATCH(MEDIAN($B47-Conversion!$B$15,2020,2050),Report_Scenarios!$A$18:$A$24,1)))/(INDEX(Report_Scenarios!$A$18:$A$24,MIN(MATCH(MEDIAN($B47-Conversion!$B$15,2020,2050),Report_Scenarios!$A$18:$A$24,1)+1,7))-INDEX(Report_Scenarios!$A$18:$A$24,MATCH(MEDIAN($B47-Conversion!$B$15,2020,2050),Report_Scenarios!$A$18:$A$24,1)))),IF(INDEX(Report_Scenarios!$A$29:$A$35,MIN(MATCH(MEDIAN($B47-Conversion!$B$15,2020,2050),Report_Scenarios!$A$29:$A$35,1)+1,7))=INDEX(Report_Scenarios!$A$29:$A$35,MATCH(MEDIAN($B47-Conversion!$B$15,2020,2050),Report_Scenarios!$A$29:$A$35,1)),INDEX(Report_Scenarios!$E$29:$E$35,MATCH(MEDIAN($B47-Conversion!$B$15,2020,2050),Report_Scenarios!$A$29:$A$35,1)),INDEX(Report_Scenarios!$E$29:$E$35,MATCH(MEDIAN($B47-Conversion!$B$15,2020,2050),Report_Scenarios!$A$29:$A$35,1))+(INDEX(Report_Scenarios!$E$29:$E$35,MIN(MATCH(MEDIAN($B47-Conversion!$B$15,2020,2050),Report_Scenarios!$A$29:$A$35,1)+1,7))-INDEX(Report_Scenarios!$E$29:$E$35,MATCH(MEDIAN($B47-Conversion!$B$15,2020,2050),Report_Scenarios!$A$29:$A$35,1)))*(MEDIAN($B47-Conversion!$B$15,2020,2050)-INDEX(Report_Scenarios!$A$29:$A$35,MATCH(MEDIAN($B47-Conversion!$B$15,2020,2050),Report_Scenarios!$A$29:$A$35,1)))/(INDEX(Report_Scenarios!$A$29:$A$35,MIN(MATCH(MEDIAN($B47-Conversion!$B$15,2020,2050),Report_Scenarios!$A$29:$A$35,1)+1,7))-INDEX(Report_Scenarios!$A$29:$A$35,MATCH(MEDIAN($B47-Conversion!$B$15,2020,2050),Report_Scenarios!$A$29:$A$35,1))))))</f>
        <v/>
      </c>
      <c r="I47" s="23">
        <f>IF($D47="Conservative",IF(INDEX(Report_Scenarios!$A$7:$A$13,MIN(MATCH(MEDIAN($B47-Conversion!$B$15,2020,2050),Report_Scenarios!$A$7:$A$13,1)+1,7))=INDEX(Report_Scenarios!$A$7:$A$13,MATCH(MEDIAN($B47-Conversion!$B$15,2020,2050),Report_Scenarios!$A$7:$A$13,1)),INDEX(Report_Scenarios!$F$7:$F$13,MATCH(MEDIAN($B47-Conversion!$B$15,2020,2050),Report_Scenarios!$A$7:$A$13,1)),INDEX(Report_Scenarios!$F$7:$F$13,MATCH(MEDIAN($B47-Conversion!$B$15,2020,2050),Report_Scenarios!$A$7:$A$13,1))+(INDEX(Report_Scenarios!$F$7:$F$13,MIN(MATCH(MEDIAN($B47-Conversion!$B$15,2020,2050),Report_Scenarios!$A$7:$A$13,1)+1,7))-INDEX(Report_Scenarios!$F$7:$F$13,MATCH(MEDIAN($B47-Conversion!$B$15,2020,2050),Report_Scenarios!$A$7:$A$13,1)))*(MEDIAN($B47-Conversion!$B$15,2020,2050)-INDEX(Report_Scenarios!$A$7:$A$13,MATCH(MEDIAN($B47-Conversion!$B$15,2020,2050),Report_Scenarios!$A$7:$A$13,1)))/(INDEX(Report_Scenarios!$A$7:$A$13,MIN(MATCH(MEDIAN($B47-Conversion!$B$15,2020,2050),Report_Scenarios!$A$7:$A$13,1)+1,7))-INDEX(Report_Scenarios!$A$7:$A$13,MATCH(MEDIAN($B47-Conversion!$B$15,2020,2050),Report_Scenarios!$A$7:$A$13,1)))),IF($D47="Central",IF(INDEX(Report_Scenarios!$A$18:$A$24,MIN(MATCH(MEDIAN($B47-Conversion!$B$15,2020,2050),Report_Scenarios!$A$18:$A$24,1)+1,7))=INDEX(Report_Scenarios!$A$18:$A$24,MATCH(MEDIAN($B47-Conversion!$B$15,2020,2050),Report_Scenarios!$A$18:$A$24,1)),INDEX(Report_Scenarios!$F$18:$F$24,MATCH(MEDIAN($B47-Conversion!$B$15,2020,2050),Report_Scenarios!$A$18:$A$24,1)),INDEX(Report_Scenarios!$F$18:$F$24,MATCH(MEDIAN($B47-Conversion!$B$15,2020,2050),Report_Scenarios!$A$18:$A$24,1))+(INDEX(Report_Scenarios!$F$18:$F$24,MIN(MATCH(MEDIAN($B47-Conversion!$B$15,2020,2050),Report_Scenarios!$A$18:$A$24,1)+1,7))-INDEX(Report_Scenarios!$F$18:$F$24,MATCH(MEDIAN($B47-Conversion!$B$15,2020,2050),Report_Scenarios!$A$18:$A$24,1)))*(MEDIAN($B47-Conversion!$B$15,2020,2050)-INDEX(Report_Scenarios!$A$18:$A$24,MATCH(MEDIAN($B47-Conversion!$B$15,2020,2050),Report_Scenarios!$A$18:$A$24,1)))/(INDEX(Report_Scenarios!$A$18:$A$24,MIN(MATCH(MEDIAN($B47-Conversion!$B$15,2020,2050),Report_Scenarios!$A$18:$A$24,1)+1,7))-INDEX(Report_Scenarios!$A$18:$A$24,MATCH(MEDIAN($B47-Conversion!$B$15,2020,2050),Report_Scenarios!$A$18:$A$24,1)))),IF(INDEX(Report_Scenarios!$A$29:$A$35,MIN(MATCH(MEDIAN($B47-Conversion!$B$15,2020,2050),Report_Scenarios!$A$29:$A$35,1)+1,7))=INDEX(Report_Scenarios!$A$29:$A$35,MATCH(MEDIAN($B47-Conversion!$B$15,2020,2050),Report_Scenarios!$A$29:$A$35,1)),INDEX(Report_Scenarios!$F$29:$F$35,MATCH(MEDIAN($B47-Conversion!$B$15,2020,2050),Report_Scenarios!$A$29:$A$35,1)),INDEX(Report_Scenarios!$F$29:$F$35,MATCH(MEDIAN($B47-Conversion!$B$15,2020,2050),Report_Scenarios!$A$29:$A$35,1))+(INDEX(Report_Scenarios!$F$29:$F$35,MIN(MATCH(MEDIAN($B47-Conversion!$B$15,2020,2050),Report_Scenarios!$A$29:$A$35,1)+1,7))-INDEX(Report_Scenarios!$F$29:$F$35,MATCH(MEDIAN($B47-Conversion!$B$15,2020,2050),Report_Scenarios!$A$29:$A$35,1)))*(MEDIAN($B47-Conversion!$B$15,2020,2050)-INDEX(Report_Scenarios!$A$29:$A$35,MATCH(MEDIAN($B47-Conversion!$B$15,2020,2050),Report_Scenarios!$A$29:$A$35,1)))/(INDEX(Report_Scenarios!$A$29:$A$35,MIN(MATCH(MEDIAN($B47-Conversion!$B$15,2020,2050),Report_Scenarios!$A$29:$A$35,1)+1,7))-INDEX(Report_Scenarios!$A$29:$A$35,MATCH(MEDIAN($B47-Conversion!$B$15,2020,2050),Report_Scenarios!$A$29:$A$35,1))))))</f>
        <v/>
      </c>
      <c r="J47" s="23">
        <f>IF($D47="Conservative",IF(INDEX(Report_Scenarios!$A$7:$A$13,MIN(MATCH(MEDIAN($B47-Conversion!$B$15,2020,2050),Report_Scenarios!$A$7:$A$13,1)+1,7))=INDEX(Report_Scenarios!$A$7:$A$13,MATCH(MEDIAN($B47-Conversion!$B$15,2020,2050),Report_Scenarios!$A$7:$A$13,1)),INDEX(Report_Scenarios!$G$7:$G$13,MATCH(MEDIAN($B47-Conversion!$B$15,2020,2050),Report_Scenarios!$A$7:$A$13,1)),INDEX(Report_Scenarios!$G$7:$G$13,MATCH(MEDIAN($B47-Conversion!$B$15,2020,2050),Report_Scenarios!$A$7:$A$13,1))+(INDEX(Report_Scenarios!$G$7:$G$13,MIN(MATCH(MEDIAN($B47-Conversion!$B$15,2020,2050),Report_Scenarios!$A$7:$A$13,1)+1,7))-INDEX(Report_Scenarios!$G$7:$G$13,MATCH(MEDIAN($B47-Conversion!$B$15,2020,2050),Report_Scenarios!$A$7:$A$13,1)))*(MEDIAN($B47-Conversion!$B$15,2020,2050)-INDEX(Report_Scenarios!$A$7:$A$13,MATCH(MEDIAN($B47-Conversion!$B$15,2020,2050),Report_Scenarios!$A$7:$A$13,1)))/(INDEX(Report_Scenarios!$A$7:$A$13,MIN(MATCH(MEDIAN($B47-Conversion!$B$15,2020,2050),Report_Scenarios!$A$7:$A$13,1)+1,7))-INDEX(Report_Scenarios!$A$7:$A$13,MATCH(MEDIAN($B47-Conversion!$B$15,2020,2050),Report_Scenarios!$A$7:$A$13,1)))),IF($D47="Central",IF(INDEX(Report_Scenarios!$A$18:$A$24,MIN(MATCH(MEDIAN($B47-Conversion!$B$15,2020,2050),Report_Scenarios!$A$18:$A$24,1)+1,7))=INDEX(Report_Scenarios!$A$18:$A$24,MATCH(MEDIAN($B47-Conversion!$B$15,2020,2050),Report_Scenarios!$A$18:$A$24,1)),INDEX(Report_Scenarios!$G$18:$G$24,MATCH(MEDIAN($B47-Conversion!$B$15,2020,2050),Report_Scenarios!$A$18:$A$24,1)),INDEX(Report_Scenarios!$G$18:$G$24,MATCH(MEDIAN($B47-Conversion!$B$15,2020,2050),Report_Scenarios!$A$18:$A$24,1))+(INDEX(Report_Scenarios!$G$18:$G$24,MIN(MATCH(MEDIAN($B47-Conversion!$B$15,2020,2050),Report_Scenarios!$A$18:$A$24,1)+1,7))-INDEX(Report_Scenarios!$G$18:$G$24,MATCH(MEDIAN($B47-Conversion!$B$15,2020,2050),Report_Scenarios!$A$18:$A$24,1)))*(MEDIAN($B47-Conversion!$B$15,2020,2050)-INDEX(Report_Scenarios!$A$18:$A$24,MATCH(MEDIAN($B47-Conversion!$B$15,2020,2050),Report_Scenarios!$A$18:$A$24,1)))/(INDEX(Report_Scenarios!$A$18:$A$24,MIN(MATCH(MEDIAN($B47-Conversion!$B$15,2020,2050),Report_Scenarios!$A$18:$A$24,1)+1,7))-INDEX(Report_Scenarios!$A$18:$A$24,MATCH(MEDIAN($B47-Conversion!$B$15,2020,2050),Report_Scenarios!$A$18:$A$24,1)))),IF(INDEX(Report_Scenarios!$A$29:$A$35,MIN(MATCH(MEDIAN($B47-Conversion!$B$15,2020,2050),Report_Scenarios!$A$29:$A$35,1)+1,7))=INDEX(Report_Scenarios!$A$29:$A$35,MATCH(MEDIAN($B47-Conversion!$B$15,2020,2050),Report_Scenarios!$A$29:$A$35,1)),INDEX(Report_Scenarios!$G$29:$G$35,MATCH(MEDIAN($B47-Conversion!$B$15,2020,2050),Report_Scenarios!$A$29:$A$35,1)),INDEX(Report_Scenarios!$G$29:$G$35,MATCH(MEDIAN($B47-Conversion!$B$15,2020,2050),Report_Scenarios!$A$29:$A$35,1))+(INDEX(Report_Scenarios!$G$29:$G$35,MIN(MATCH(MEDIAN($B47-Conversion!$B$15,2020,2050),Report_Scenarios!$A$29:$A$35,1)+1,7))-INDEX(Report_Scenarios!$G$29:$G$35,MATCH(MEDIAN($B47-Conversion!$B$15,2020,2050),Report_Scenarios!$A$29:$A$35,1)))*(MEDIAN($B47-Conversion!$B$15,2020,2050)-INDEX(Report_Scenarios!$A$29:$A$35,MATCH(MEDIAN($B47-Conversion!$B$15,2020,2050),Report_Scenarios!$A$29:$A$35,1)))/(INDEX(Report_Scenarios!$A$29:$A$35,MIN(MATCH(MEDIAN($B47-Conversion!$B$15,2020,2050),Report_Scenarios!$A$29:$A$35,1)+1,7))-INDEX(Report_Scenarios!$A$29:$A$35,MATCH(MEDIAN($B47-Conversion!$B$15,2020,2050),Report_Scenarios!$A$29:$A$35,1))))))</f>
        <v/>
      </c>
      <c r="K47" s="23">
        <f>SUM(E47:J47)</f>
        <v/>
      </c>
      <c r="L47" s="23">
        <f>IF(R47&lt;&gt;"",R47,IF($K47=0,0,E47/$K47))</f>
        <v/>
      </c>
      <c r="M47" s="23">
        <f>IF(S47&lt;&gt;"",S47,IF($K47=0,0,F47/$K47))</f>
        <v/>
      </c>
      <c r="N47" s="23">
        <f>IF(T47&lt;&gt;"",T47,IF($K47=0,0,G47/$K47))</f>
        <v/>
      </c>
      <c r="O47" s="23">
        <f>IF(U47&lt;&gt;"",U47,IF($K47=0,0,H47/$K47))</f>
        <v/>
      </c>
      <c r="P47" s="23">
        <f>IF(V47&lt;&gt;"",V47,IF($K47=0,0,I47/$K47))</f>
        <v/>
      </c>
      <c r="Q47" s="23">
        <f>IF(W47&lt;&gt;"",W47,IF($K47=0,0,J47/$K47))</f>
        <v/>
      </c>
      <c r="R47" s="24" t="n"/>
      <c r="S47" s="24" t="n"/>
      <c r="T47" s="24" t="n"/>
      <c r="U47" s="24" t="n"/>
      <c r="V47" s="24" t="n"/>
      <c r="W47" s="24" t="n"/>
    </row>
    <row r="48">
      <c r="A48" s="4" t="inlineStr">
        <is>
          <t>CD</t>
        </is>
      </c>
      <c r="B48" s="4" t="n">
        <v>2040</v>
      </c>
      <c r="C48" s="4" t="inlineStr">
        <is>
          <t>Share_Mode</t>
        </is>
      </c>
      <c r="D48" s="4">
        <f>Conversion!$B$19</f>
        <v/>
      </c>
      <c r="E48" s="23">
        <f>IF($D48="Conservative",IF(INDEX(Report_Scenarios!$A$7:$A$13,MIN(MATCH(MEDIAN($B48-Conversion!$B$15,2020,2050),Report_Scenarios!$A$7:$A$13,1)+1,7))=INDEX(Report_Scenarios!$A$7:$A$13,MATCH(MEDIAN($B48-Conversion!$B$15,2020,2050),Report_Scenarios!$A$7:$A$13,1)),INDEX(Report_Scenarios!$B$7:$B$13,MATCH(MEDIAN($B48-Conversion!$B$15,2020,2050),Report_Scenarios!$A$7:$A$13,1)),INDEX(Report_Scenarios!$B$7:$B$13,MATCH(MEDIAN($B48-Conversion!$B$15,2020,2050),Report_Scenarios!$A$7:$A$13,1))+(INDEX(Report_Scenarios!$B$7:$B$13,MIN(MATCH(MEDIAN($B48-Conversion!$B$15,2020,2050),Report_Scenarios!$A$7:$A$13,1)+1,7))-INDEX(Report_Scenarios!$B$7:$B$13,MATCH(MEDIAN($B48-Conversion!$B$15,2020,2050),Report_Scenarios!$A$7:$A$13,1)))*(MEDIAN($B48-Conversion!$B$15,2020,2050)-INDEX(Report_Scenarios!$A$7:$A$13,MATCH(MEDIAN($B48-Conversion!$B$15,2020,2050),Report_Scenarios!$A$7:$A$13,1)))/(INDEX(Report_Scenarios!$A$7:$A$13,MIN(MATCH(MEDIAN($B48-Conversion!$B$15,2020,2050),Report_Scenarios!$A$7:$A$13,1)+1,7))-INDEX(Report_Scenarios!$A$7:$A$13,MATCH(MEDIAN($B48-Conversion!$B$15,2020,2050),Report_Scenarios!$A$7:$A$13,1)))),IF($D48="Central",IF(INDEX(Report_Scenarios!$A$18:$A$24,MIN(MATCH(MEDIAN($B48-Conversion!$B$15,2020,2050),Report_Scenarios!$A$18:$A$24,1)+1,7))=INDEX(Report_Scenarios!$A$18:$A$24,MATCH(MEDIAN($B48-Conversion!$B$15,2020,2050),Report_Scenarios!$A$18:$A$24,1)),INDEX(Report_Scenarios!$B$18:$B$24,MATCH(MEDIAN($B48-Conversion!$B$15,2020,2050),Report_Scenarios!$A$18:$A$24,1)),INDEX(Report_Scenarios!$B$18:$B$24,MATCH(MEDIAN($B48-Conversion!$B$15,2020,2050),Report_Scenarios!$A$18:$A$24,1))+(INDEX(Report_Scenarios!$B$18:$B$24,MIN(MATCH(MEDIAN($B48-Conversion!$B$15,2020,2050),Report_Scenarios!$A$18:$A$24,1)+1,7))-INDEX(Report_Scenarios!$B$18:$B$24,MATCH(MEDIAN($B48-Conversion!$B$15,2020,2050),Report_Scenarios!$A$18:$A$24,1)))*(MEDIAN($B48-Conversion!$B$15,2020,2050)-INDEX(Report_Scenarios!$A$18:$A$24,MATCH(MEDIAN($B48-Conversion!$B$15,2020,2050),Report_Scenarios!$A$18:$A$24,1)))/(INDEX(Report_Scenarios!$A$18:$A$24,MIN(MATCH(MEDIAN($B48-Conversion!$B$15,2020,2050),Report_Scenarios!$A$18:$A$24,1)+1,7))-INDEX(Report_Scenarios!$A$18:$A$24,MATCH(MEDIAN($B48-Conversion!$B$15,2020,2050),Report_Scenarios!$A$18:$A$24,1)))),IF(INDEX(Report_Scenarios!$A$29:$A$35,MIN(MATCH(MEDIAN($B48-Conversion!$B$15,2020,2050),Report_Scenarios!$A$29:$A$35,1)+1,7))=INDEX(Report_Scenarios!$A$29:$A$35,MATCH(MEDIAN($B48-Conversion!$B$15,2020,2050),Report_Scenarios!$A$29:$A$35,1)),INDEX(Report_Scenarios!$B$29:$B$35,MATCH(MEDIAN($B48-Conversion!$B$15,2020,2050),Report_Scenarios!$A$29:$A$35,1)),INDEX(Report_Scenarios!$B$29:$B$35,MATCH(MEDIAN($B48-Conversion!$B$15,2020,2050),Report_Scenarios!$A$29:$A$35,1))+(INDEX(Report_Scenarios!$B$29:$B$35,MIN(MATCH(MEDIAN($B48-Conversion!$B$15,2020,2050),Report_Scenarios!$A$29:$A$35,1)+1,7))-INDEX(Report_Scenarios!$B$29:$B$35,MATCH(MEDIAN($B48-Conversion!$B$15,2020,2050),Report_Scenarios!$A$29:$A$35,1)))*(MEDIAN($B48-Conversion!$B$15,2020,2050)-INDEX(Report_Scenarios!$A$29:$A$35,MATCH(MEDIAN($B48-Conversion!$B$15,2020,2050),Report_Scenarios!$A$29:$A$35,1)))/(INDEX(Report_Scenarios!$A$29:$A$35,MIN(MATCH(MEDIAN($B48-Conversion!$B$15,2020,2050),Report_Scenarios!$A$29:$A$35,1)+1,7))-INDEX(Report_Scenarios!$A$29:$A$35,MATCH(MEDIAN($B48-Conversion!$B$15,2020,2050),Report_Scenarios!$A$29:$A$35,1))))))</f>
        <v/>
      </c>
      <c r="F48" s="23">
        <f>IF($D48="Conservative",IF(INDEX(Report_Scenarios!$A$7:$A$13,MIN(MATCH(MEDIAN($B48-Conversion!$B$15,2020,2050),Report_Scenarios!$A$7:$A$13,1)+1,7))=INDEX(Report_Scenarios!$A$7:$A$13,MATCH(MEDIAN($B48-Conversion!$B$15,2020,2050),Report_Scenarios!$A$7:$A$13,1)),INDEX(Report_Scenarios!$C$7:$C$13,MATCH(MEDIAN($B48-Conversion!$B$15,2020,2050),Report_Scenarios!$A$7:$A$13,1)),INDEX(Report_Scenarios!$C$7:$C$13,MATCH(MEDIAN($B48-Conversion!$B$15,2020,2050),Report_Scenarios!$A$7:$A$13,1))+(INDEX(Report_Scenarios!$C$7:$C$13,MIN(MATCH(MEDIAN($B48-Conversion!$B$15,2020,2050),Report_Scenarios!$A$7:$A$13,1)+1,7))-INDEX(Report_Scenarios!$C$7:$C$13,MATCH(MEDIAN($B48-Conversion!$B$15,2020,2050),Report_Scenarios!$A$7:$A$13,1)))*(MEDIAN($B48-Conversion!$B$15,2020,2050)-INDEX(Report_Scenarios!$A$7:$A$13,MATCH(MEDIAN($B48-Conversion!$B$15,2020,2050),Report_Scenarios!$A$7:$A$13,1)))/(INDEX(Report_Scenarios!$A$7:$A$13,MIN(MATCH(MEDIAN($B48-Conversion!$B$15,2020,2050),Report_Scenarios!$A$7:$A$13,1)+1,7))-INDEX(Report_Scenarios!$A$7:$A$13,MATCH(MEDIAN($B48-Conversion!$B$15,2020,2050),Report_Scenarios!$A$7:$A$13,1)))),IF($D48="Central",IF(INDEX(Report_Scenarios!$A$18:$A$24,MIN(MATCH(MEDIAN($B48-Conversion!$B$15,2020,2050),Report_Scenarios!$A$18:$A$24,1)+1,7))=INDEX(Report_Scenarios!$A$18:$A$24,MATCH(MEDIAN($B48-Conversion!$B$15,2020,2050),Report_Scenarios!$A$18:$A$24,1)),INDEX(Report_Scenarios!$C$18:$C$24,MATCH(MEDIAN($B48-Conversion!$B$15,2020,2050),Report_Scenarios!$A$18:$A$24,1)),INDEX(Report_Scenarios!$C$18:$C$24,MATCH(MEDIAN($B48-Conversion!$B$15,2020,2050),Report_Scenarios!$A$18:$A$24,1))+(INDEX(Report_Scenarios!$C$18:$C$24,MIN(MATCH(MEDIAN($B48-Conversion!$B$15,2020,2050),Report_Scenarios!$A$18:$A$24,1)+1,7))-INDEX(Report_Scenarios!$C$18:$C$24,MATCH(MEDIAN($B48-Conversion!$B$15,2020,2050),Report_Scenarios!$A$18:$A$24,1)))*(MEDIAN($B48-Conversion!$B$15,2020,2050)-INDEX(Report_Scenarios!$A$18:$A$24,MATCH(MEDIAN($B48-Conversion!$B$15,2020,2050),Report_Scenarios!$A$18:$A$24,1)))/(INDEX(Report_Scenarios!$A$18:$A$24,MIN(MATCH(MEDIAN($B48-Conversion!$B$15,2020,2050),Report_Scenarios!$A$18:$A$24,1)+1,7))-INDEX(Report_Scenarios!$A$18:$A$24,MATCH(MEDIAN($B48-Conversion!$B$15,2020,2050),Report_Scenarios!$A$18:$A$24,1)))),IF(INDEX(Report_Scenarios!$A$29:$A$35,MIN(MATCH(MEDIAN($B48-Conversion!$B$15,2020,2050),Report_Scenarios!$A$29:$A$35,1)+1,7))=INDEX(Report_Scenarios!$A$29:$A$35,MATCH(MEDIAN($B48-Conversion!$B$15,2020,2050),Report_Scenarios!$A$29:$A$35,1)),INDEX(Report_Scenarios!$C$29:$C$35,MATCH(MEDIAN($B48-Conversion!$B$15,2020,2050),Report_Scenarios!$A$29:$A$35,1)),INDEX(Report_Scenarios!$C$29:$C$35,MATCH(MEDIAN($B48-Conversion!$B$15,2020,2050),Report_Scenarios!$A$29:$A$35,1))+(INDEX(Report_Scenarios!$C$29:$C$35,MIN(MATCH(MEDIAN($B48-Conversion!$B$15,2020,2050),Report_Scenarios!$A$29:$A$35,1)+1,7))-INDEX(Report_Scenarios!$C$29:$C$35,MATCH(MEDIAN($B48-Conversion!$B$15,2020,2050),Report_Scenarios!$A$29:$A$35,1)))*(MEDIAN($B48-Conversion!$B$15,2020,2050)-INDEX(Report_Scenarios!$A$29:$A$35,MATCH(MEDIAN($B48-Conversion!$B$15,2020,2050),Report_Scenarios!$A$29:$A$35,1)))/(INDEX(Report_Scenarios!$A$29:$A$35,MIN(MATCH(MEDIAN($B48-Conversion!$B$15,2020,2050),Report_Scenarios!$A$29:$A$35,1)+1,7))-INDEX(Report_Scenarios!$A$29:$A$35,MATCH(MEDIAN($B48-Conversion!$B$15,2020,2050),Report_Scenarios!$A$29:$A$35,1))))))</f>
        <v/>
      </c>
      <c r="G48" s="23">
        <f>IF($D48="Conservative",IF(INDEX(Report_Scenarios!$A$7:$A$13,MIN(MATCH(MEDIAN($B48-Conversion!$B$15,2020,2050),Report_Scenarios!$A$7:$A$13,1)+1,7))=INDEX(Report_Scenarios!$A$7:$A$13,MATCH(MEDIAN($B48-Conversion!$B$15,2020,2050),Report_Scenarios!$A$7:$A$13,1)),INDEX(Report_Scenarios!$D$7:$D$13,MATCH(MEDIAN($B48-Conversion!$B$15,2020,2050),Report_Scenarios!$A$7:$A$13,1)),INDEX(Report_Scenarios!$D$7:$D$13,MATCH(MEDIAN($B48-Conversion!$B$15,2020,2050),Report_Scenarios!$A$7:$A$13,1))+(INDEX(Report_Scenarios!$D$7:$D$13,MIN(MATCH(MEDIAN($B48-Conversion!$B$15,2020,2050),Report_Scenarios!$A$7:$A$13,1)+1,7))-INDEX(Report_Scenarios!$D$7:$D$13,MATCH(MEDIAN($B48-Conversion!$B$15,2020,2050),Report_Scenarios!$A$7:$A$13,1)))*(MEDIAN($B48-Conversion!$B$15,2020,2050)-INDEX(Report_Scenarios!$A$7:$A$13,MATCH(MEDIAN($B48-Conversion!$B$15,2020,2050),Report_Scenarios!$A$7:$A$13,1)))/(INDEX(Report_Scenarios!$A$7:$A$13,MIN(MATCH(MEDIAN($B48-Conversion!$B$15,2020,2050),Report_Scenarios!$A$7:$A$13,1)+1,7))-INDEX(Report_Scenarios!$A$7:$A$13,MATCH(MEDIAN($B48-Conversion!$B$15,2020,2050),Report_Scenarios!$A$7:$A$13,1)))),IF($D48="Central",IF(INDEX(Report_Scenarios!$A$18:$A$24,MIN(MATCH(MEDIAN($B48-Conversion!$B$15,2020,2050),Report_Scenarios!$A$18:$A$24,1)+1,7))=INDEX(Report_Scenarios!$A$18:$A$24,MATCH(MEDIAN($B48-Conversion!$B$15,2020,2050),Report_Scenarios!$A$18:$A$24,1)),INDEX(Report_Scenarios!$D$18:$D$24,MATCH(MEDIAN($B48-Conversion!$B$15,2020,2050),Report_Scenarios!$A$18:$A$24,1)),INDEX(Report_Scenarios!$D$18:$D$24,MATCH(MEDIAN($B48-Conversion!$B$15,2020,2050),Report_Scenarios!$A$18:$A$24,1))+(INDEX(Report_Scenarios!$D$18:$D$24,MIN(MATCH(MEDIAN($B48-Conversion!$B$15,2020,2050),Report_Scenarios!$A$18:$A$24,1)+1,7))-INDEX(Report_Scenarios!$D$18:$D$24,MATCH(MEDIAN($B48-Conversion!$B$15,2020,2050),Report_Scenarios!$A$18:$A$24,1)))*(MEDIAN($B48-Conversion!$B$15,2020,2050)-INDEX(Report_Scenarios!$A$18:$A$24,MATCH(MEDIAN($B48-Conversion!$B$15,2020,2050),Report_Scenarios!$A$18:$A$24,1)))/(INDEX(Report_Scenarios!$A$18:$A$24,MIN(MATCH(MEDIAN($B48-Conversion!$B$15,2020,2050),Report_Scenarios!$A$18:$A$24,1)+1,7))-INDEX(Report_Scenarios!$A$18:$A$24,MATCH(MEDIAN($B48-Conversion!$B$15,2020,2050),Report_Scenarios!$A$18:$A$24,1)))),IF(INDEX(Report_Scenarios!$A$29:$A$35,MIN(MATCH(MEDIAN($B48-Conversion!$B$15,2020,2050),Report_Scenarios!$A$29:$A$35,1)+1,7))=INDEX(Report_Scenarios!$A$29:$A$35,MATCH(MEDIAN($B48-Conversion!$B$15,2020,2050),Report_Scenarios!$A$29:$A$35,1)),INDEX(Report_Scenarios!$D$29:$D$35,MATCH(MEDIAN($B48-Conversion!$B$15,2020,2050),Report_Scenarios!$A$29:$A$35,1)),INDEX(Report_Scenarios!$D$29:$D$35,MATCH(MEDIAN($B48-Conversion!$B$15,2020,2050),Report_Scenarios!$A$29:$A$35,1))+(INDEX(Report_Scenarios!$D$29:$D$35,MIN(MATCH(MEDIAN($B48-Conversion!$B$15,2020,2050),Report_Scenarios!$A$29:$A$35,1)+1,7))-INDEX(Report_Scenarios!$D$29:$D$35,MATCH(MEDIAN($B48-Conversion!$B$15,2020,2050),Report_Scenarios!$A$29:$A$35,1)))*(MEDIAN($B48-Conversion!$B$15,2020,2050)-INDEX(Report_Scenarios!$A$29:$A$35,MATCH(MEDIAN($B48-Conversion!$B$15,2020,2050),Report_Scenarios!$A$29:$A$35,1)))/(INDEX(Report_Scenarios!$A$29:$A$35,MIN(MATCH(MEDIAN($B48-Conversion!$B$15,2020,2050),Report_Scenarios!$A$29:$A$35,1)+1,7))-INDEX(Report_Scenarios!$A$29:$A$35,MATCH(MEDIAN($B48-Conversion!$B$15,2020,2050),Report_Scenarios!$A$29:$A$35,1))))))</f>
        <v/>
      </c>
      <c r="H48" s="23">
        <f>IF($D48="Conservative",IF(INDEX(Report_Scenarios!$A$7:$A$13,MIN(MATCH(MEDIAN($B48-Conversion!$B$15,2020,2050),Report_Scenarios!$A$7:$A$13,1)+1,7))=INDEX(Report_Scenarios!$A$7:$A$13,MATCH(MEDIAN($B48-Conversion!$B$15,2020,2050),Report_Scenarios!$A$7:$A$13,1)),INDEX(Report_Scenarios!$E$7:$E$13,MATCH(MEDIAN($B48-Conversion!$B$15,2020,2050),Report_Scenarios!$A$7:$A$13,1)),INDEX(Report_Scenarios!$E$7:$E$13,MATCH(MEDIAN($B48-Conversion!$B$15,2020,2050),Report_Scenarios!$A$7:$A$13,1))+(INDEX(Report_Scenarios!$E$7:$E$13,MIN(MATCH(MEDIAN($B48-Conversion!$B$15,2020,2050),Report_Scenarios!$A$7:$A$13,1)+1,7))-INDEX(Report_Scenarios!$E$7:$E$13,MATCH(MEDIAN($B48-Conversion!$B$15,2020,2050),Report_Scenarios!$A$7:$A$13,1)))*(MEDIAN($B48-Conversion!$B$15,2020,2050)-INDEX(Report_Scenarios!$A$7:$A$13,MATCH(MEDIAN($B48-Conversion!$B$15,2020,2050),Report_Scenarios!$A$7:$A$13,1)))/(INDEX(Report_Scenarios!$A$7:$A$13,MIN(MATCH(MEDIAN($B48-Conversion!$B$15,2020,2050),Report_Scenarios!$A$7:$A$13,1)+1,7))-INDEX(Report_Scenarios!$A$7:$A$13,MATCH(MEDIAN($B48-Conversion!$B$15,2020,2050),Report_Scenarios!$A$7:$A$13,1)))),IF($D48="Central",IF(INDEX(Report_Scenarios!$A$18:$A$24,MIN(MATCH(MEDIAN($B48-Conversion!$B$15,2020,2050),Report_Scenarios!$A$18:$A$24,1)+1,7))=INDEX(Report_Scenarios!$A$18:$A$24,MATCH(MEDIAN($B48-Conversion!$B$15,2020,2050),Report_Scenarios!$A$18:$A$24,1)),INDEX(Report_Scenarios!$E$18:$E$24,MATCH(MEDIAN($B48-Conversion!$B$15,2020,2050),Report_Scenarios!$A$18:$A$24,1)),INDEX(Report_Scenarios!$E$18:$E$24,MATCH(MEDIAN($B48-Conversion!$B$15,2020,2050),Report_Scenarios!$A$18:$A$24,1))+(INDEX(Report_Scenarios!$E$18:$E$24,MIN(MATCH(MEDIAN($B48-Conversion!$B$15,2020,2050),Report_Scenarios!$A$18:$A$24,1)+1,7))-INDEX(Report_Scenarios!$E$18:$E$24,MATCH(MEDIAN($B48-Conversion!$B$15,2020,2050),Report_Scenarios!$A$18:$A$24,1)))*(MEDIAN($B48-Conversion!$B$15,2020,2050)-INDEX(Report_Scenarios!$A$18:$A$24,MATCH(MEDIAN($B48-Conversion!$B$15,2020,2050),Report_Scenarios!$A$18:$A$24,1)))/(INDEX(Report_Scenarios!$A$18:$A$24,MIN(MATCH(MEDIAN($B48-Conversion!$B$15,2020,2050),Report_Scenarios!$A$18:$A$24,1)+1,7))-INDEX(Report_Scenarios!$A$18:$A$24,MATCH(MEDIAN($B48-Conversion!$B$15,2020,2050),Report_Scenarios!$A$18:$A$24,1)))),IF(INDEX(Report_Scenarios!$A$29:$A$35,MIN(MATCH(MEDIAN($B48-Conversion!$B$15,2020,2050),Report_Scenarios!$A$29:$A$35,1)+1,7))=INDEX(Report_Scenarios!$A$29:$A$35,MATCH(MEDIAN($B48-Conversion!$B$15,2020,2050),Report_Scenarios!$A$29:$A$35,1)),INDEX(Report_Scenarios!$E$29:$E$35,MATCH(MEDIAN($B48-Conversion!$B$15,2020,2050),Report_Scenarios!$A$29:$A$35,1)),INDEX(Report_Scenarios!$E$29:$E$35,MATCH(MEDIAN($B48-Conversion!$B$15,2020,2050),Report_Scenarios!$A$29:$A$35,1))+(INDEX(Report_Scenarios!$E$29:$E$35,MIN(MATCH(MEDIAN($B48-Conversion!$B$15,2020,2050),Report_Scenarios!$A$29:$A$35,1)+1,7))-INDEX(Report_Scenarios!$E$29:$E$35,MATCH(MEDIAN($B48-Conversion!$B$15,2020,2050),Report_Scenarios!$A$29:$A$35,1)))*(MEDIAN($B48-Conversion!$B$15,2020,2050)-INDEX(Report_Scenarios!$A$29:$A$35,MATCH(MEDIAN($B48-Conversion!$B$15,2020,2050),Report_Scenarios!$A$29:$A$35,1)))/(INDEX(Report_Scenarios!$A$29:$A$35,MIN(MATCH(MEDIAN($B48-Conversion!$B$15,2020,2050),Report_Scenarios!$A$29:$A$35,1)+1,7))-INDEX(Report_Scenarios!$A$29:$A$35,MATCH(MEDIAN($B48-Conversion!$B$15,2020,2050),Report_Scenarios!$A$29:$A$35,1))))))</f>
        <v/>
      </c>
      <c r="I48" s="23">
        <f>IF($D48="Conservative",IF(INDEX(Report_Scenarios!$A$7:$A$13,MIN(MATCH(MEDIAN($B48-Conversion!$B$15,2020,2050),Report_Scenarios!$A$7:$A$13,1)+1,7))=INDEX(Report_Scenarios!$A$7:$A$13,MATCH(MEDIAN($B48-Conversion!$B$15,2020,2050),Report_Scenarios!$A$7:$A$13,1)),INDEX(Report_Scenarios!$F$7:$F$13,MATCH(MEDIAN($B48-Conversion!$B$15,2020,2050),Report_Scenarios!$A$7:$A$13,1)),INDEX(Report_Scenarios!$F$7:$F$13,MATCH(MEDIAN($B48-Conversion!$B$15,2020,2050),Report_Scenarios!$A$7:$A$13,1))+(INDEX(Report_Scenarios!$F$7:$F$13,MIN(MATCH(MEDIAN($B48-Conversion!$B$15,2020,2050),Report_Scenarios!$A$7:$A$13,1)+1,7))-INDEX(Report_Scenarios!$F$7:$F$13,MATCH(MEDIAN($B48-Conversion!$B$15,2020,2050),Report_Scenarios!$A$7:$A$13,1)))*(MEDIAN($B48-Conversion!$B$15,2020,2050)-INDEX(Report_Scenarios!$A$7:$A$13,MATCH(MEDIAN($B48-Conversion!$B$15,2020,2050),Report_Scenarios!$A$7:$A$13,1)))/(INDEX(Report_Scenarios!$A$7:$A$13,MIN(MATCH(MEDIAN($B48-Conversion!$B$15,2020,2050),Report_Scenarios!$A$7:$A$13,1)+1,7))-INDEX(Report_Scenarios!$A$7:$A$13,MATCH(MEDIAN($B48-Conversion!$B$15,2020,2050),Report_Scenarios!$A$7:$A$13,1)))),IF($D48="Central",IF(INDEX(Report_Scenarios!$A$18:$A$24,MIN(MATCH(MEDIAN($B48-Conversion!$B$15,2020,2050),Report_Scenarios!$A$18:$A$24,1)+1,7))=INDEX(Report_Scenarios!$A$18:$A$24,MATCH(MEDIAN($B48-Conversion!$B$15,2020,2050),Report_Scenarios!$A$18:$A$24,1)),INDEX(Report_Scenarios!$F$18:$F$24,MATCH(MEDIAN($B48-Conversion!$B$15,2020,2050),Report_Scenarios!$A$18:$A$24,1)),INDEX(Report_Scenarios!$F$18:$F$24,MATCH(MEDIAN($B48-Conversion!$B$15,2020,2050),Report_Scenarios!$A$18:$A$24,1))+(INDEX(Report_Scenarios!$F$18:$F$24,MIN(MATCH(MEDIAN($B48-Conversion!$B$15,2020,2050),Report_Scenarios!$A$18:$A$24,1)+1,7))-INDEX(Report_Scenarios!$F$18:$F$24,MATCH(MEDIAN($B48-Conversion!$B$15,2020,2050),Report_Scenarios!$A$18:$A$24,1)))*(MEDIAN($B48-Conversion!$B$15,2020,2050)-INDEX(Report_Scenarios!$A$18:$A$24,MATCH(MEDIAN($B48-Conversion!$B$15,2020,2050),Report_Scenarios!$A$18:$A$24,1)))/(INDEX(Report_Scenarios!$A$18:$A$24,MIN(MATCH(MEDIAN($B48-Conversion!$B$15,2020,2050),Report_Scenarios!$A$18:$A$24,1)+1,7))-INDEX(Report_Scenarios!$A$18:$A$24,MATCH(MEDIAN($B48-Conversion!$B$15,2020,2050),Report_Scenarios!$A$18:$A$24,1)))),IF(INDEX(Report_Scenarios!$A$29:$A$35,MIN(MATCH(MEDIAN($B48-Conversion!$B$15,2020,2050),Report_Scenarios!$A$29:$A$35,1)+1,7))=INDEX(Report_Scenarios!$A$29:$A$35,MATCH(MEDIAN($B48-Conversion!$B$15,2020,2050),Report_Scenarios!$A$29:$A$35,1)),INDEX(Report_Scenarios!$F$29:$F$35,MATCH(MEDIAN($B48-Conversion!$B$15,2020,2050),Report_Scenarios!$A$29:$A$35,1)),INDEX(Report_Scenarios!$F$29:$F$35,MATCH(MEDIAN($B48-Conversion!$B$15,2020,2050),Report_Scenarios!$A$29:$A$35,1))+(INDEX(Report_Scenarios!$F$29:$F$35,MIN(MATCH(MEDIAN($B48-Conversion!$B$15,2020,2050),Report_Scenarios!$A$29:$A$35,1)+1,7))-INDEX(Report_Scenarios!$F$29:$F$35,MATCH(MEDIAN($B48-Conversion!$B$15,2020,2050),Report_Scenarios!$A$29:$A$35,1)))*(MEDIAN($B48-Conversion!$B$15,2020,2050)-INDEX(Report_Scenarios!$A$29:$A$35,MATCH(MEDIAN($B48-Conversion!$B$15,2020,2050),Report_Scenarios!$A$29:$A$35,1)))/(INDEX(Report_Scenarios!$A$29:$A$35,MIN(MATCH(MEDIAN($B48-Conversion!$B$15,2020,2050),Report_Scenarios!$A$29:$A$35,1)+1,7))-INDEX(Report_Scenarios!$A$29:$A$35,MATCH(MEDIAN($B48-Conversion!$B$15,2020,2050),Report_Scenarios!$A$29:$A$35,1))))))</f>
        <v/>
      </c>
      <c r="J48" s="23">
        <f>IF($D48="Conservative",IF(INDEX(Report_Scenarios!$A$7:$A$13,MIN(MATCH(MEDIAN($B48-Conversion!$B$15,2020,2050),Report_Scenarios!$A$7:$A$13,1)+1,7))=INDEX(Report_Scenarios!$A$7:$A$13,MATCH(MEDIAN($B48-Conversion!$B$15,2020,2050),Report_Scenarios!$A$7:$A$13,1)),INDEX(Report_Scenarios!$G$7:$G$13,MATCH(MEDIAN($B48-Conversion!$B$15,2020,2050),Report_Scenarios!$A$7:$A$13,1)),INDEX(Report_Scenarios!$G$7:$G$13,MATCH(MEDIAN($B48-Conversion!$B$15,2020,2050),Report_Scenarios!$A$7:$A$13,1))+(INDEX(Report_Scenarios!$G$7:$G$13,MIN(MATCH(MEDIAN($B48-Conversion!$B$15,2020,2050),Report_Scenarios!$A$7:$A$13,1)+1,7))-INDEX(Report_Scenarios!$G$7:$G$13,MATCH(MEDIAN($B48-Conversion!$B$15,2020,2050),Report_Scenarios!$A$7:$A$13,1)))*(MEDIAN($B48-Conversion!$B$15,2020,2050)-INDEX(Report_Scenarios!$A$7:$A$13,MATCH(MEDIAN($B48-Conversion!$B$15,2020,2050),Report_Scenarios!$A$7:$A$13,1)))/(INDEX(Report_Scenarios!$A$7:$A$13,MIN(MATCH(MEDIAN($B48-Conversion!$B$15,2020,2050),Report_Scenarios!$A$7:$A$13,1)+1,7))-INDEX(Report_Scenarios!$A$7:$A$13,MATCH(MEDIAN($B48-Conversion!$B$15,2020,2050),Report_Scenarios!$A$7:$A$13,1)))),IF($D48="Central",IF(INDEX(Report_Scenarios!$A$18:$A$24,MIN(MATCH(MEDIAN($B48-Conversion!$B$15,2020,2050),Report_Scenarios!$A$18:$A$24,1)+1,7))=INDEX(Report_Scenarios!$A$18:$A$24,MATCH(MEDIAN($B48-Conversion!$B$15,2020,2050),Report_Scenarios!$A$18:$A$24,1)),INDEX(Report_Scenarios!$G$18:$G$24,MATCH(MEDIAN($B48-Conversion!$B$15,2020,2050),Report_Scenarios!$A$18:$A$24,1)),INDEX(Report_Scenarios!$G$18:$G$24,MATCH(MEDIAN($B48-Conversion!$B$15,2020,2050),Report_Scenarios!$A$18:$A$24,1))+(INDEX(Report_Scenarios!$G$18:$G$24,MIN(MATCH(MEDIAN($B48-Conversion!$B$15,2020,2050),Report_Scenarios!$A$18:$A$24,1)+1,7))-INDEX(Report_Scenarios!$G$18:$G$24,MATCH(MEDIAN($B48-Conversion!$B$15,2020,2050),Report_Scenarios!$A$18:$A$24,1)))*(MEDIAN($B48-Conversion!$B$15,2020,2050)-INDEX(Report_Scenarios!$A$18:$A$24,MATCH(MEDIAN($B48-Conversion!$B$15,2020,2050),Report_Scenarios!$A$18:$A$24,1)))/(INDEX(Report_Scenarios!$A$18:$A$24,MIN(MATCH(MEDIAN($B48-Conversion!$B$15,2020,2050),Report_Scenarios!$A$18:$A$24,1)+1,7))-INDEX(Report_Scenarios!$A$18:$A$24,MATCH(MEDIAN($B48-Conversion!$B$15,2020,2050),Report_Scenarios!$A$18:$A$24,1)))),IF(INDEX(Report_Scenarios!$A$29:$A$35,MIN(MATCH(MEDIAN($B48-Conversion!$B$15,2020,2050),Report_Scenarios!$A$29:$A$35,1)+1,7))=INDEX(Report_Scenarios!$A$29:$A$35,MATCH(MEDIAN($B48-Conversion!$B$15,2020,2050),Report_Scenarios!$A$29:$A$35,1)),INDEX(Report_Scenarios!$G$29:$G$35,MATCH(MEDIAN($B48-Conversion!$B$15,2020,2050),Report_Scenarios!$A$29:$A$35,1)),INDEX(Report_Scenarios!$G$29:$G$35,MATCH(MEDIAN($B48-Conversion!$B$15,2020,2050),Report_Scenarios!$A$29:$A$35,1))+(INDEX(Report_Scenarios!$G$29:$G$35,MIN(MATCH(MEDIAN($B48-Conversion!$B$15,2020,2050),Report_Scenarios!$A$29:$A$35,1)+1,7))-INDEX(Report_Scenarios!$G$29:$G$35,MATCH(MEDIAN($B48-Conversion!$B$15,2020,2050),Report_Scenarios!$A$29:$A$35,1)))*(MEDIAN($B48-Conversion!$B$15,2020,2050)-INDEX(Report_Scenarios!$A$29:$A$35,MATCH(MEDIAN($B48-Conversion!$B$15,2020,2050),Report_Scenarios!$A$29:$A$35,1)))/(INDEX(Report_Scenarios!$A$29:$A$35,MIN(MATCH(MEDIAN($B48-Conversion!$B$15,2020,2050),Report_Scenarios!$A$29:$A$35,1)+1,7))-INDEX(Report_Scenarios!$A$29:$A$35,MATCH(MEDIAN($B48-Conversion!$B$15,2020,2050),Report_Scenarios!$A$29:$A$35,1))))))</f>
        <v/>
      </c>
      <c r="K48" s="23">
        <f>SUM(E48:J48)</f>
        <v/>
      </c>
      <c r="L48" s="23">
        <f>IF(R48&lt;&gt;"",R48,IF($K48=0,0,E48/$K48))</f>
        <v/>
      </c>
      <c r="M48" s="23">
        <f>IF(S48&lt;&gt;"",S48,IF($K48=0,0,F48/$K48))</f>
        <v/>
      </c>
      <c r="N48" s="23">
        <f>IF(T48&lt;&gt;"",T48,IF($K48=0,0,G48/$K48))</f>
        <v/>
      </c>
      <c r="O48" s="23">
        <f>IF(U48&lt;&gt;"",U48,IF($K48=0,0,H48/$K48))</f>
        <v/>
      </c>
      <c r="P48" s="23">
        <f>IF(V48&lt;&gt;"",V48,IF($K48=0,0,I48/$K48))</f>
        <v/>
      </c>
      <c r="Q48" s="23">
        <f>IF(W48&lt;&gt;"",W48,IF($K48=0,0,J48/$K48))</f>
        <v/>
      </c>
      <c r="R48" s="24" t="n"/>
      <c r="S48" s="24" t="n"/>
      <c r="T48" s="24" t="n"/>
      <c r="U48" s="24" t="n"/>
      <c r="V48" s="24" t="n"/>
      <c r="W48" s="24" t="n"/>
    </row>
    <row r="49">
      <c r="A49" s="4" t="inlineStr">
        <is>
          <t>CD</t>
        </is>
      </c>
      <c r="B49" s="4" t="n">
        <v>2040</v>
      </c>
      <c r="C49" s="4" t="inlineStr">
        <is>
          <t>Share_Max</t>
        </is>
      </c>
      <c r="D49" s="4">
        <f>Conversion!$B$20</f>
        <v/>
      </c>
      <c r="E49" s="23">
        <f>IF($D49="Conservative",IF(INDEX(Report_Scenarios!$A$7:$A$13,MIN(MATCH(MEDIAN($B49-Conversion!$B$15,2020,2050),Report_Scenarios!$A$7:$A$13,1)+1,7))=INDEX(Report_Scenarios!$A$7:$A$13,MATCH(MEDIAN($B49-Conversion!$B$15,2020,2050),Report_Scenarios!$A$7:$A$13,1)),INDEX(Report_Scenarios!$B$7:$B$13,MATCH(MEDIAN($B49-Conversion!$B$15,2020,2050),Report_Scenarios!$A$7:$A$13,1)),INDEX(Report_Scenarios!$B$7:$B$13,MATCH(MEDIAN($B49-Conversion!$B$15,2020,2050),Report_Scenarios!$A$7:$A$13,1))+(INDEX(Report_Scenarios!$B$7:$B$13,MIN(MATCH(MEDIAN($B49-Conversion!$B$15,2020,2050),Report_Scenarios!$A$7:$A$13,1)+1,7))-INDEX(Report_Scenarios!$B$7:$B$13,MATCH(MEDIAN($B49-Conversion!$B$15,2020,2050),Report_Scenarios!$A$7:$A$13,1)))*(MEDIAN($B49-Conversion!$B$15,2020,2050)-INDEX(Report_Scenarios!$A$7:$A$13,MATCH(MEDIAN($B49-Conversion!$B$15,2020,2050),Report_Scenarios!$A$7:$A$13,1)))/(INDEX(Report_Scenarios!$A$7:$A$13,MIN(MATCH(MEDIAN($B49-Conversion!$B$15,2020,2050),Report_Scenarios!$A$7:$A$13,1)+1,7))-INDEX(Report_Scenarios!$A$7:$A$13,MATCH(MEDIAN($B49-Conversion!$B$15,2020,2050),Report_Scenarios!$A$7:$A$13,1)))),IF($D49="Central",IF(INDEX(Report_Scenarios!$A$18:$A$24,MIN(MATCH(MEDIAN($B49-Conversion!$B$15,2020,2050),Report_Scenarios!$A$18:$A$24,1)+1,7))=INDEX(Report_Scenarios!$A$18:$A$24,MATCH(MEDIAN($B49-Conversion!$B$15,2020,2050),Report_Scenarios!$A$18:$A$24,1)),INDEX(Report_Scenarios!$B$18:$B$24,MATCH(MEDIAN($B49-Conversion!$B$15,2020,2050),Report_Scenarios!$A$18:$A$24,1)),INDEX(Report_Scenarios!$B$18:$B$24,MATCH(MEDIAN($B49-Conversion!$B$15,2020,2050),Report_Scenarios!$A$18:$A$24,1))+(INDEX(Report_Scenarios!$B$18:$B$24,MIN(MATCH(MEDIAN($B49-Conversion!$B$15,2020,2050),Report_Scenarios!$A$18:$A$24,1)+1,7))-INDEX(Report_Scenarios!$B$18:$B$24,MATCH(MEDIAN($B49-Conversion!$B$15,2020,2050),Report_Scenarios!$A$18:$A$24,1)))*(MEDIAN($B49-Conversion!$B$15,2020,2050)-INDEX(Report_Scenarios!$A$18:$A$24,MATCH(MEDIAN($B49-Conversion!$B$15,2020,2050),Report_Scenarios!$A$18:$A$24,1)))/(INDEX(Report_Scenarios!$A$18:$A$24,MIN(MATCH(MEDIAN($B49-Conversion!$B$15,2020,2050),Report_Scenarios!$A$18:$A$24,1)+1,7))-INDEX(Report_Scenarios!$A$18:$A$24,MATCH(MEDIAN($B49-Conversion!$B$15,2020,2050),Report_Scenarios!$A$18:$A$24,1)))),IF(INDEX(Report_Scenarios!$A$29:$A$35,MIN(MATCH(MEDIAN($B49-Conversion!$B$15,2020,2050),Report_Scenarios!$A$29:$A$35,1)+1,7))=INDEX(Report_Scenarios!$A$29:$A$35,MATCH(MEDIAN($B49-Conversion!$B$15,2020,2050),Report_Scenarios!$A$29:$A$35,1)),INDEX(Report_Scenarios!$B$29:$B$35,MATCH(MEDIAN($B49-Conversion!$B$15,2020,2050),Report_Scenarios!$A$29:$A$35,1)),INDEX(Report_Scenarios!$B$29:$B$35,MATCH(MEDIAN($B49-Conversion!$B$15,2020,2050),Report_Scenarios!$A$29:$A$35,1))+(INDEX(Report_Scenarios!$B$29:$B$35,MIN(MATCH(MEDIAN($B49-Conversion!$B$15,2020,2050),Report_Scenarios!$A$29:$A$35,1)+1,7))-INDEX(Report_Scenarios!$B$29:$B$35,MATCH(MEDIAN($B49-Conversion!$B$15,2020,2050),Report_Scenarios!$A$29:$A$35,1)))*(MEDIAN($B49-Conversion!$B$15,2020,2050)-INDEX(Report_Scenarios!$A$29:$A$35,MATCH(MEDIAN($B49-Conversion!$B$15,2020,2050),Report_Scenarios!$A$29:$A$35,1)))/(INDEX(Report_Scenarios!$A$29:$A$35,MIN(MATCH(MEDIAN($B49-Conversion!$B$15,2020,2050),Report_Scenarios!$A$29:$A$35,1)+1,7))-INDEX(Report_Scenarios!$A$29:$A$35,MATCH(MEDIAN($B49-Conversion!$B$15,2020,2050),Report_Scenarios!$A$29:$A$35,1))))))</f>
        <v/>
      </c>
      <c r="F49" s="23">
        <f>IF($D49="Conservative",IF(INDEX(Report_Scenarios!$A$7:$A$13,MIN(MATCH(MEDIAN($B49-Conversion!$B$15,2020,2050),Report_Scenarios!$A$7:$A$13,1)+1,7))=INDEX(Report_Scenarios!$A$7:$A$13,MATCH(MEDIAN($B49-Conversion!$B$15,2020,2050),Report_Scenarios!$A$7:$A$13,1)),INDEX(Report_Scenarios!$C$7:$C$13,MATCH(MEDIAN($B49-Conversion!$B$15,2020,2050),Report_Scenarios!$A$7:$A$13,1)),INDEX(Report_Scenarios!$C$7:$C$13,MATCH(MEDIAN($B49-Conversion!$B$15,2020,2050),Report_Scenarios!$A$7:$A$13,1))+(INDEX(Report_Scenarios!$C$7:$C$13,MIN(MATCH(MEDIAN($B49-Conversion!$B$15,2020,2050),Report_Scenarios!$A$7:$A$13,1)+1,7))-INDEX(Report_Scenarios!$C$7:$C$13,MATCH(MEDIAN($B49-Conversion!$B$15,2020,2050),Report_Scenarios!$A$7:$A$13,1)))*(MEDIAN($B49-Conversion!$B$15,2020,2050)-INDEX(Report_Scenarios!$A$7:$A$13,MATCH(MEDIAN($B49-Conversion!$B$15,2020,2050),Report_Scenarios!$A$7:$A$13,1)))/(INDEX(Report_Scenarios!$A$7:$A$13,MIN(MATCH(MEDIAN($B49-Conversion!$B$15,2020,2050),Report_Scenarios!$A$7:$A$13,1)+1,7))-INDEX(Report_Scenarios!$A$7:$A$13,MATCH(MEDIAN($B49-Conversion!$B$15,2020,2050),Report_Scenarios!$A$7:$A$13,1)))),IF($D49="Central",IF(INDEX(Report_Scenarios!$A$18:$A$24,MIN(MATCH(MEDIAN($B49-Conversion!$B$15,2020,2050),Report_Scenarios!$A$18:$A$24,1)+1,7))=INDEX(Report_Scenarios!$A$18:$A$24,MATCH(MEDIAN($B49-Conversion!$B$15,2020,2050),Report_Scenarios!$A$18:$A$24,1)),INDEX(Report_Scenarios!$C$18:$C$24,MATCH(MEDIAN($B49-Conversion!$B$15,2020,2050),Report_Scenarios!$A$18:$A$24,1)),INDEX(Report_Scenarios!$C$18:$C$24,MATCH(MEDIAN($B49-Conversion!$B$15,2020,2050),Report_Scenarios!$A$18:$A$24,1))+(INDEX(Report_Scenarios!$C$18:$C$24,MIN(MATCH(MEDIAN($B49-Conversion!$B$15,2020,2050),Report_Scenarios!$A$18:$A$24,1)+1,7))-INDEX(Report_Scenarios!$C$18:$C$24,MATCH(MEDIAN($B49-Conversion!$B$15,2020,2050),Report_Scenarios!$A$18:$A$24,1)))*(MEDIAN($B49-Conversion!$B$15,2020,2050)-INDEX(Report_Scenarios!$A$18:$A$24,MATCH(MEDIAN($B49-Conversion!$B$15,2020,2050),Report_Scenarios!$A$18:$A$24,1)))/(INDEX(Report_Scenarios!$A$18:$A$24,MIN(MATCH(MEDIAN($B49-Conversion!$B$15,2020,2050),Report_Scenarios!$A$18:$A$24,1)+1,7))-INDEX(Report_Scenarios!$A$18:$A$24,MATCH(MEDIAN($B49-Conversion!$B$15,2020,2050),Report_Scenarios!$A$18:$A$24,1)))),IF(INDEX(Report_Scenarios!$A$29:$A$35,MIN(MATCH(MEDIAN($B49-Conversion!$B$15,2020,2050),Report_Scenarios!$A$29:$A$35,1)+1,7))=INDEX(Report_Scenarios!$A$29:$A$35,MATCH(MEDIAN($B49-Conversion!$B$15,2020,2050),Report_Scenarios!$A$29:$A$35,1)),INDEX(Report_Scenarios!$C$29:$C$35,MATCH(MEDIAN($B49-Conversion!$B$15,2020,2050),Report_Scenarios!$A$29:$A$35,1)),INDEX(Report_Scenarios!$C$29:$C$35,MATCH(MEDIAN($B49-Conversion!$B$15,2020,2050),Report_Scenarios!$A$29:$A$35,1))+(INDEX(Report_Scenarios!$C$29:$C$35,MIN(MATCH(MEDIAN($B49-Conversion!$B$15,2020,2050),Report_Scenarios!$A$29:$A$35,1)+1,7))-INDEX(Report_Scenarios!$C$29:$C$35,MATCH(MEDIAN($B49-Conversion!$B$15,2020,2050),Report_Scenarios!$A$29:$A$35,1)))*(MEDIAN($B49-Conversion!$B$15,2020,2050)-INDEX(Report_Scenarios!$A$29:$A$35,MATCH(MEDIAN($B49-Conversion!$B$15,2020,2050),Report_Scenarios!$A$29:$A$35,1)))/(INDEX(Report_Scenarios!$A$29:$A$35,MIN(MATCH(MEDIAN($B49-Conversion!$B$15,2020,2050),Report_Scenarios!$A$29:$A$35,1)+1,7))-INDEX(Report_Scenarios!$A$29:$A$35,MATCH(MEDIAN($B49-Conversion!$B$15,2020,2050),Report_Scenarios!$A$29:$A$35,1))))))</f>
        <v/>
      </c>
      <c r="G49" s="23">
        <f>IF($D49="Conservative",IF(INDEX(Report_Scenarios!$A$7:$A$13,MIN(MATCH(MEDIAN($B49-Conversion!$B$15,2020,2050),Report_Scenarios!$A$7:$A$13,1)+1,7))=INDEX(Report_Scenarios!$A$7:$A$13,MATCH(MEDIAN($B49-Conversion!$B$15,2020,2050),Report_Scenarios!$A$7:$A$13,1)),INDEX(Report_Scenarios!$D$7:$D$13,MATCH(MEDIAN($B49-Conversion!$B$15,2020,2050),Report_Scenarios!$A$7:$A$13,1)),INDEX(Report_Scenarios!$D$7:$D$13,MATCH(MEDIAN($B49-Conversion!$B$15,2020,2050),Report_Scenarios!$A$7:$A$13,1))+(INDEX(Report_Scenarios!$D$7:$D$13,MIN(MATCH(MEDIAN($B49-Conversion!$B$15,2020,2050),Report_Scenarios!$A$7:$A$13,1)+1,7))-INDEX(Report_Scenarios!$D$7:$D$13,MATCH(MEDIAN($B49-Conversion!$B$15,2020,2050),Report_Scenarios!$A$7:$A$13,1)))*(MEDIAN($B49-Conversion!$B$15,2020,2050)-INDEX(Report_Scenarios!$A$7:$A$13,MATCH(MEDIAN($B49-Conversion!$B$15,2020,2050),Report_Scenarios!$A$7:$A$13,1)))/(INDEX(Report_Scenarios!$A$7:$A$13,MIN(MATCH(MEDIAN($B49-Conversion!$B$15,2020,2050),Report_Scenarios!$A$7:$A$13,1)+1,7))-INDEX(Report_Scenarios!$A$7:$A$13,MATCH(MEDIAN($B49-Conversion!$B$15,2020,2050),Report_Scenarios!$A$7:$A$13,1)))),IF($D49="Central",IF(INDEX(Report_Scenarios!$A$18:$A$24,MIN(MATCH(MEDIAN($B49-Conversion!$B$15,2020,2050),Report_Scenarios!$A$18:$A$24,1)+1,7))=INDEX(Report_Scenarios!$A$18:$A$24,MATCH(MEDIAN($B49-Conversion!$B$15,2020,2050),Report_Scenarios!$A$18:$A$24,1)),INDEX(Report_Scenarios!$D$18:$D$24,MATCH(MEDIAN($B49-Conversion!$B$15,2020,2050),Report_Scenarios!$A$18:$A$24,1)),INDEX(Report_Scenarios!$D$18:$D$24,MATCH(MEDIAN($B49-Conversion!$B$15,2020,2050),Report_Scenarios!$A$18:$A$24,1))+(INDEX(Report_Scenarios!$D$18:$D$24,MIN(MATCH(MEDIAN($B49-Conversion!$B$15,2020,2050),Report_Scenarios!$A$18:$A$24,1)+1,7))-INDEX(Report_Scenarios!$D$18:$D$24,MATCH(MEDIAN($B49-Conversion!$B$15,2020,2050),Report_Scenarios!$A$18:$A$24,1)))*(MEDIAN($B49-Conversion!$B$15,2020,2050)-INDEX(Report_Scenarios!$A$18:$A$24,MATCH(MEDIAN($B49-Conversion!$B$15,2020,2050),Report_Scenarios!$A$18:$A$24,1)))/(INDEX(Report_Scenarios!$A$18:$A$24,MIN(MATCH(MEDIAN($B49-Conversion!$B$15,2020,2050),Report_Scenarios!$A$18:$A$24,1)+1,7))-INDEX(Report_Scenarios!$A$18:$A$24,MATCH(MEDIAN($B49-Conversion!$B$15,2020,2050),Report_Scenarios!$A$18:$A$24,1)))),IF(INDEX(Report_Scenarios!$A$29:$A$35,MIN(MATCH(MEDIAN($B49-Conversion!$B$15,2020,2050),Report_Scenarios!$A$29:$A$35,1)+1,7))=INDEX(Report_Scenarios!$A$29:$A$35,MATCH(MEDIAN($B49-Conversion!$B$15,2020,2050),Report_Scenarios!$A$29:$A$35,1)),INDEX(Report_Scenarios!$D$29:$D$35,MATCH(MEDIAN($B49-Conversion!$B$15,2020,2050),Report_Scenarios!$A$29:$A$35,1)),INDEX(Report_Scenarios!$D$29:$D$35,MATCH(MEDIAN($B49-Conversion!$B$15,2020,2050),Report_Scenarios!$A$29:$A$35,1))+(INDEX(Report_Scenarios!$D$29:$D$35,MIN(MATCH(MEDIAN($B49-Conversion!$B$15,2020,2050),Report_Scenarios!$A$29:$A$35,1)+1,7))-INDEX(Report_Scenarios!$D$29:$D$35,MATCH(MEDIAN($B49-Conversion!$B$15,2020,2050),Report_Scenarios!$A$29:$A$35,1)))*(MEDIAN($B49-Conversion!$B$15,2020,2050)-INDEX(Report_Scenarios!$A$29:$A$35,MATCH(MEDIAN($B49-Conversion!$B$15,2020,2050),Report_Scenarios!$A$29:$A$35,1)))/(INDEX(Report_Scenarios!$A$29:$A$35,MIN(MATCH(MEDIAN($B49-Conversion!$B$15,2020,2050),Report_Scenarios!$A$29:$A$35,1)+1,7))-INDEX(Report_Scenarios!$A$29:$A$35,MATCH(MEDIAN($B49-Conversion!$B$15,2020,2050),Report_Scenarios!$A$29:$A$35,1))))))</f>
        <v/>
      </c>
      <c r="H49" s="23">
        <f>IF($D49="Conservative",IF(INDEX(Report_Scenarios!$A$7:$A$13,MIN(MATCH(MEDIAN($B49-Conversion!$B$15,2020,2050),Report_Scenarios!$A$7:$A$13,1)+1,7))=INDEX(Report_Scenarios!$A$7:$A$13,MATCH(MEDIAN($B49-Conversion!$B$15,2020,2050),Report_Scenarios!$A$7:$A$13,1)),INDEX(Report_Scenarios!$E$7:$E$13,MATCH(MEDIAN($B49-Conversion!$B$15,2020,2050),Report_Scenarios!$A$7:$A$13,1)),INDEX(Report_Scenarios!$E$7:$E$13,MATCH(MEDIAN($B49-Conversion!$B$15,2020,2050),Report_Scenarios!$A$7:$A$13,1))+(INDEX(Report_Scenarios!$E$7:$E$13,MIN(MATCH(MEDIAN($B49-Conversion!$B$15,2020,2050),Report_Scenarios!$A$7:$A$13,1)+1,7))-INDEX(Report_Scenarios!$E$7:$E$13,MATCH(MEDIAN($B49-Conversion!$B$15,2020,2050),Report_Scenarios!$A$7:$A$13,1)))*(MEDIAN($B49-Conversion!$B$15,2020,2050)-INDEX(Report_Scenarios!$A$7:$A$13,MATCH(MEDIAN($B49-Conversion!$B$15,2020,2050),Report_Scenarios!$A$7:$A$13,1)))/(INDEX(Report_Scenarios!$A$7:$A$13,MIN(MATCH(MEDIAN($B49-Conversion!$B$15,2020,2050),Report_Scenarios!$A$7:$A$13,1)+1,7))-INDEX(Report_Scenarios!$A$7:$A$13,MATCH(MEDIAN($B49-Conversion!$B$15,2020,2050),Report_Scenarios!$A$7:$A$13,1)))),IF($D49="Central",IF(INDEX(Report_Scenarios!$A$18:$A$24,MIN(MATCH(MEDIAN($B49-Conversion!$B$15,2020,2050),Report_Scenarios!$A$18:$A$24,1)+1,7))=INDEX(Report_Scenarios!$A$18:$A$24,MATCH(MEDIAN($B49-Conversion!$B$15,2020,2050),Report_Scenarios!$A$18:$A$24,1)),INDEX(Report_Scenarios!$E$18:$E$24,MATCH(MEDIAN($B49-Conversion!$B$15,2020,2050),Report_Scenarios!$A$18:$A$24,1)),INDEX(Report_Scenarios!$E$18:$E$24,MATCH(MEDIAN($B49-Conversion!$B$15,2020,2050),Report_Scenarios!$A$18:$A$24,1))+(INDEX(Report_Scenarios!$E$18:$E$24,MIN(MATCH(MEDIAN($B49-Conversion!$B$15,2020,2050),Report_Scenarios!$A$18:$A$24,1)+1,7))-INDEX(Report_Scenarios!$E$18:$E$24,MATCH(MEDIAN($B49-Conversion!$B$15,2020,2050),Report_Scenarios!$A$18:$A$24,1)))*(MEDIAN($B49-Conversion!$B$15,2020,2050)-INDEX(Report_Scenarios!$A$18:$A$24,MATCH(MEDIAN($B49-Conversion!$B$15,2020,2050),Report_Scenarios!$A$18:$A$24,1)))/(INDEX(Report_Scenarios!$A$18:$A$24,MIN(MATCH(MEDIAN($B49-Conversion!$B$15,2020,2050),Report_Scenarios!$A$18:$A$24,1)+1,7))-INDEX(Report_Scenarios!$A$18:$A$24,MATCH(MEDIAN($B49-Conversion!$B$15,2020,2050),Report_Scenarios!$A$18:$A$24,1)))),IF(INDEX(Report_Scenarios!$A$29:$A$35,MIN(MATCH(MEDIAN($B49-Conversion!$B$15,2020,2050),Report_Scenarios!$A$29:$A$35,1)+1,7))=INDEX(Report_Scenarios!$A$29:$A$35,MATCH(MEDIAN($B49-Conversion!$B$15,2020,2050),Report_Scenarios!$A$29:$A$35,1)),INDEX(Report_Scenarios!$E$29:$E$35,MATCH(MEDIAN($B49-Conversion!$B$15,2020,2050),Report_Scenarios!$A$29:$A$35,1)),INDEX(Report_Scenarios!$E$29:$E$35,MATCH(MEDIAN($B49-Conversion!$B$15,2020,2050),Report_Scenarios!$A$29:$A$35,1))+(INDEX(Report_Scenarios!$E$29:$E$35,MIN(MATCH(MEDIAN($B49-Conversion!$B$15,2020,2050),Report_Scenarios!$A$29:$A$35,1)+1,7))-INDEX(Report_Scenarios!$E$29:$E$35,MATCH(MEDIAN($B49-Conversion!$B$15,2020,2050),Report_Scenarios!$A$29:$A$35,1)))*(MEDIAN($B49-Conversion!$B$15,2020,2050)-INDEX(Report_Scenarios!$A$29:$A$35,MATCH(MEDIAN($B49-Conversion!$B$15,2020,2050),Report_Scenarios!$A$29:$A$35,1)))/(INDEX(Report_Scenarios!$A$29:$A$35,MIN(MATCH(MEDIAN($B49-Conversion!$B$15,2020,2050),Report_Scenarios!$A$29:$A$35,1)+1,7))-INDEX(Report_Scenarios!$A$29:$A$35,MATCH(MEDIAN($B49-Conversion!$B$15,2020,2050),Report_Scenarios!$A$29:$A$35,1))))))</f>
        <v/>
      </c>
      <c r="I49" s="23">
        <f>IF($D49="Conservative",IF(INDEX(Report_Scenarios!$A$7:$A$13,MIN(MATCH(MEDIAN($B49-Conversion!$B$15,2020,2050),Report_Scenarios!$A$7:$A$13,1)+1,7))=INDEX(Report_Scenarios!$A$7:$A$13,MATCH(MEDIAN($B49-Conversion!$B$15,2020,2050),Report_Scenarios!$A$7:$A$13,1)),INDEX(Report_Scenarios!$F$7:$F$13,MATCH(MEDIAN($B49-Conversion!$B$15,2020,2050),Report_Scenarios!$A$7:$A$13,1)),INDEX(Report_Scenarios!$F$7:$F$13,MATCH(MEDIAN($B49-Conversion!$B$15,2020,2050),Report_Scenarios!$A$7:$A$13,1))+(INDEX(Report_Scenarios!$F$7:$F$13,MIN(MATCH(MEDIAN($B49-Conversion!$B$15,2020,2050),Report_Scenarios!$A$7:$A$13,1)+1,7))-INDEX(Report_Scenarios!$F$7:$F$13,MATCH(MEDIAN($B49-Conversion!$B$15,2020,2050),Report_Scenarios!$A$7:$A$13,1)))*(MEDIAN($B49-Conversion!$B$15,2020,2050)-INDEX(Report_Scenarios!$A$7:$A$13,MATCH(MEDIAN($B49-Conversion!$B$15,2020,2050),Report_Scenarios!$A$7:$A$13,1)))/(INDEX(Report_Scenarios!$A$7:$A$13,MIN(MATCH(MEDIAN($B49-Conversion!$B$15,2020,2050),Report_Scenarios!$A$7:$A$13,1)+1,7))-INDEX(Report_Scenarios!$A$7:$A$13,MATCH(MEDIAN($B49-Conversion!$B$15,2020,2050),Report_Scenarios!$A$7:$A$13,1)))),IF($D49="Central",IF(INDEX(Report_Scenarios!$A$18:$A$24,MIN(MATCH(MEDIAN($B49-Conversion!$B$15,2020,2050),Report_Scenarios!$A$18:$A$24,1)+1,7))=INDEX(Report_Scenarios!$A$18:$A$24,MATCH(MEDIAN($B49-Conversion!$B$15,2020,2050),Report_Scenarios!$A$18:$A$24,1)),INDEX(Report_Scenarios!$F$18:$F$24,MATCH(MEDIAN($B49-Conversion!$B$15,2020,2050),Report_Scenarios!$A$18:$A$24,1)),INDEX(Report_Scenarios!$F$18:$F$24,MATCH(MEDIAN($B49-Conversion!$B$15,2020,2050),Report_Scenarios!$A$18:$A$24,1))+(INDEX(Report_Scenarios!$F$18:$F$24,MIN(MATCH(MEDIAN($B49-Conversion!$B$15,2020,2050),Report_Scenarios!$A$18:$A$24,1)+1,7))-INDEX(Report_Scenarios!$F$18:$F$24,MATCH(MEDIAN($B49-Conversion!$B$15,2020,2050),Report_Scenarios!$A$18:$A$24,1)))*(MEDIAN($B49-Conversion!$B$15,2020,2050)-INDEX(Report_Scenarios!$A$18:$A$24,MATCH(MEDIAN($B49-Conversion!$B$15,2020,2050),Report_Scenarios!$A$18:$A$24,1)))/(INDEX(Report_Scenarios!$A$18:$A$24,MIN(MATCH(MEDIAN($B49-Conversion!$B$15,2020,2050),Report_Scenarios!$A$18:$A$24,1)+1,7))-INDEX(Report_Scenarios!$A$18:$A$24,MATCH(MEDIAN($B49-Conversion!$B$15,2020,2050),Report_Scenarios!$A$18:$A$24,1)))),IF(INDEX(Report_Scenarios!$A$29:$A$35,MIN(MATCH(MEDIAN($B49-Conversion!$B$15,2020,2050),Report_Scenarios!$A$29:$A$35,1)+1,7))=INDEX(Report_Scenarios!$A$29:$A$35,MATCH(MEDIAN($B49-Conversion!$B$15,2020,2050),Report_Scenarios!$A$29:$A$35,1)),INDEX(Report_Scenarios!$F$29:$F$35,MATCH(MEDIAN($B49-Conversion!$B$15,2020,2050),Report_Scenarios!$A$29:$A$35,1)),INDEX(Report_Scenarios!$F$29:$F$35,MATCH(MEDIAN($B49-Conversion!$B$15,2020,2050),Report_Scenarios!$A$29:$A$35,1))+(INDEX(Report_Scenarios!$F$29:$F$35,MIN(MATCH(MEDIAN($B49-Conversion!$B$15,2020,2050),Report_Scenarios!$A$29:$A$35,1)+1,7))-INDEX(Report_Scenarios!$F$29:$F$35,MATCH(MEDIAN($B49-Conversion!$B$15,2020,2050),Report_Scenarios!$A$29:$A$35,1)))*(MEDIAN($B49-Conversion!$B$15,2020,2050)-INDEX(Report_Scenarios!$A$29:$A$35,MATCH(MEDIAN($B49-Conversion!$B$15,2020,2050),Report_Scenarios!$A$29:$A$35,1)))/(INDEX(Report_Scenarios!$A$29:$A$35,MIN(MATCH(MEDIAN($B49-Conversion!$B$15,2020,2050),Report_Scenarios!$A$29:$A$35,1)+1,7))-INDEX(Report_Scenarios!$A$29:$A$35,MATCH(MEDIAN($B49-Conversion!$B$15,2020,2050),Report_Scenarios!$A$29:$A$35,1))))))</f>
        <v/>
      </c>
      <c r="J49" s="23">
        <f>IF($D49="Conservative",IF(INDEX(Report_Scenarios!$A$7:$A$13,MIN(MATCH(MEDIAN($B49-Conversion!$B$15,2020,2050),Report_Scenarios!$A$7:$A$13,1)+1,7))=INDEX(Report_Scenarios!$A$7:$A$13,MATCH(MEDIAN($B49-Conversion!$B$15,2020,2050),Report_Scenarios!$A$7:$A$13,1)),INDEX(Report_Scenarios!$G$7:$G$13,MATCH(MEDIAN($B49-Conversion!$B$15,2020,2050),Report_Scenarios!$A$7:$A$13,1)),INDEX(Report_Scenarios!$G$7:$G$13,MATCH(MEDIAN($B49-Conversion!$B$15,2020,2050),Report_Scenarios!$A$7:$A$13,1))+(INDEX(Report_Scenarios!$G$7:$G$13,MIN(MATCH(MEDIAN($B49-Conversion!$B$15,2020,2050),Report_Scenarios!$A$7:$A$13,1)+1,7))-INDEX(Report_Scenarios!$G$7:$G$13,MATCH(MEDIAN($B49-Conversion!$B$15,2020,2050),Report_Scenarios!$A$7:$A$13,1)))*(MEDIAN($B49-Conversion!$B$15,2020,2050)-INDEX(Report_Scenarios!$A$7:$A$13,MATCH(MEDIAN($B49-Conversion!$B$15,2020,2050),Report_Scenarios!$A$7:$A$13,1)))/(INDEX(Report_Scenarios!$A$7:$A$13,MIN(MATCH(MEDIAN($B49-Conversion!$B$15,2020,2050),Report_Scenarios!$A$7:$A$13,1)+1,7))-INDEX(Report_Scenarios!$A$7:$A$13,MATCH(MEDIAN($B49-Conversion!$B$15,2020,2050),Report_Scenarios!$A$7:$A$13,1)))),IF($D49="Central",IF(INDEX(Report_Scenarios!$A$18:$A$24,MIN(MATCH(MEDIAN($B49-Conversion!$B$15,2020,2050),Report_Scenarios!$A$18:$A$24,1)+1,7))=INDEX(Report_Scenarios!$A$18:$A$24,MATCH(MEDIAN($B49-Conversion!$B$15,2020,2050),Report_Scenarios!$A$18:$A$24,1)),INDEX(Report_Scenarios!$G$18:$G$24,MATCH(MEDIAN($B49-Conversion!$B$15,2020,2050),Report_Scenarios!$A$18:$A$24,1)),INDEX(Report_Scenarios!$G$18:$G$24,MATCH(MEDIAN($B49-Conversion!$B$15,2020,2050),Report_Scenarios!$A$18:$A$24,1))+(INDEX(Report_Scenarios!$G$18:$G$24,MIN(MATCH(MEDIAN($B49-Conversion!$B$15,2020,2050),Report_Scenarios!$A$18:$A$24,1)+1,7))-INDEX(Report_Scenarios!$G$18:$G$24,MATCH(MEDIAN($B49-Conversion!$B$15,2020,2050),Report_Scenarios!$A$18:$A$24,1)))*(MEDIAN($B49-Conversion!$B$15,2020,2050)-INDEX(Report_Scenarios!$A$18:$A$24,MATCH(MEDIAN($B49-Conversion!$B$15,2020,2050),Report_Scenarios!$A$18:$A$24,1)))/(INDEX(Report_Scenarios!$A$18:$A$24,MIN(MATCH(MEDIAN($B49-Conversion!$B$15,2020,2050),Report_Scenarios!$A$18:$A$24,1)+1,7))-INDEX(Report_Scenarios!$A$18:$A$24,MATCH(MEDIAN($B49-Conversion!$B$15,2020,2050),Report_Scenarios!$A$18:$A$24,1)))),IF(INDEX(Report_Scenarios!$A$29:$A$35,MIN(MATCH(MEDIAN($B49-Conversion!$B$15,2020,2050),Report_Scenarios!$A$29:$A$35,1)+1,7))=INDEX(Report_Scenarios!$A$29:$A$35,MATCH(MEDIAN($B49-Conversion!$B$15,2020,2050),Report_Scenarios!$A$29:$A$35,1)),INDEX(Report_Scenarios!$G$29:$G$35,MATCH(MEDIAN($B49-Conversion!$B$15,2020,2050),Report_Scenarios!$A$29:$A$35,1)),INDEX(Report_Scenarios!$G$29:$G$35,MATCH(MEDIAN($B49-Conversion!$B$15,2020,2050),Report_Scenarios!$A$29:$A$35,1))+(INDEX(Report_Scenarios!$G$29:$G$35,MIN(MATCH(MEDIAN($B49-Conversion!$B$15,2020,2050),Report_Scenarios!$A$29:$A$35,1)+1,7))-INDEX(Report_Scenarios!$G$29:$G$35,MATCH(MEDIAN($B49-Conversion!$B$15,2020,2050),Report_Scenarios!$A$29:$A$35,1)))*(MEDIAN($B49-Conversion!$B$15,2020,2050)-INDEX(Report_Scenarios!$A$29:$A$35,MATCH(MEDIAN($B49-Conversion!$B$15,2020,2050),Report_Scenarios!$A$29:$A$35,1)))/(INDEX(Report_Scenarios!$A$29:$A$35,MIN(MATCH(MEDIAN($B49-Conversion!$B$15,2020,2050),Report_Scenarios!$A$29:$A$35,1)+1,7))-INDEX(Report_Scenarios!$A$29:$A$35,MATCH(MEDIAN($B49-Conversion!$B$15,2020,2050),Report_Scenarios!$A$29:$A$35,1))))))</f>
        <v/>
      </c>
      <c r="K49" s="23">
        <f>SUM(E49:J49)</f>
        <v/>
      </c>
      <c r="L49" s="23">
        <f>IF(R49&lt;&gt;"",R49,IF($K49=0,0,E49/$K49))</f>
        <v/>
      </c>
      <c r="M49" s="23">
        <f>IF(S49&lt;&gt;"",S49,IF($K49=0,0,F49/$K49))</f>
        <v/>
      </c>
      <c r="N49" s="23">
        <f>IF(T49&lt;&gt;"",T49,IF($K49=0,0,G49/$K49))</f>
        <v/>
      </c>
      <c r="O49" s="23">
        <f>IF(U49&lt;&gt;"",U49,IF($K49=0,0,H49/$K49))</f>
        <v/>
      </c>
      <c r="P49" s="23">
        <f>IF(V49&lt;&gt;"",V49,IF($K49=0,0,I49/$K49))</f>
        <v/>
      </c>
      <c r="Q49" s="23">
        <f>IF(W49&lt;&gt;"",W49,IF($K49=0,0,J49/$K49))</f>
        <v/>
      </c>
      <c r="R49" s="24" t="n"/>
      <c r="S49" s="24" t="n"/>
      <c r="T49" s="24" t="n"/>
      <c r="U49" s="24" t="n"/>
      <c r="V49" s="24" t="n"/>
      <c r="W49" s="24" t="n"/>
    </row>
    <row r="50">
      <c r="A50" s="4" t="inlineStr">
        <is>
          <t>CD</t>
        </is>
      </c>
      <c r="B50" s="4" t="n">
        <v>2045</v>
      </c>
      <c r="C50" s="4" t="inlineStr">
        <is>
          <t>Share_Min</t>
        </is>
      </c>
      <c r="D50" s="4">
        <f>Conversion!$B$18</f>
        <v/>
      </c>
      <c r="E50" s="23">
        <f>IF($D50="Conservative",IF(INDEX(Report_Scenarios!$A$7:$A$13,MIN(MATCH(MEDIAN($B50-Conversion!$B$15,2020,2050),Report_Scenarios!$A$7:$A$13,1)+1,7))=INDEX(Report_Scenarios!$A$7:$A$13,MATCH(MEDIAN($B50-Conversion!$B$15,2020,2050),Report_Scenarios!$A$7:$A$13,1)),INDEX(Report_Scenarios!$B$7:$B$13,MATCH(MEDIAN($B50-Conversion!$B$15,2020,2050),Report_Scenarios!$A$7:$A$13,1)),INDEX(Report_Scenarios!$B$7:$B$13,MATCH(MEDIAN($B50-Conversion!$B$15,2020,2050),Report_Scenarios!$A$7:$A$13,1))+(INDEX(Report_Scenarios!$B$7:$B$13,MIN(MATCH(MEDIAN($B50-Conversion!$B$15,2020,2050),Report_Scenarios!$A$7:$A$13,1)+1,7))-INDEX(Report_Scenarios!$B$7:$B$13,MATCH(MEDIAN($B50-Conversion!$B$15,2020,2050),Report_Scenarios!$A$7:$A$13,1)))*(MEDIAN($B50-Conversion!$B$15,2020,2050)-INDEX(Report_Scenarios!$A$7:$A$13,MATCH(MEDIAN($B50-Conversion!$B$15,2020,2050),Report_Scenarios!$A$7:$A$13,1)))/(INDEX(Report_Scenarios!$A$7:$A$13,MIN(MATCH(MEDIAN($B50-Conversion!$B$15,2020,2050),Report_Scenarios!$A$7:$A$13,1)+1,7))-INDEX(Report_Scenarios!$A$7:$A$13,MATCH(MEDIAN($B50-Conversion!$B$15,2020,2050),Report_Scenarios!$A$7:$A$13,1)))),IF($D50="Central",IF(INDEX(Report_Scenarios!$A$18:$A$24,MIN(MATCH(MEDIAN($B50-Conversion!$B$15,2020,2050),Report_Scenarios!$A$18:$A$24,1)+1,7))=INDEX(Report_Scenarios!$A$18:$A$24,MATCH(MEDIAN($B50-Conversion!$B$15,2020,2050),Report_Scenarios!$A$18:$A$24,1)),INDEX(Report_Scenarios!$B$18:$B$24,MATCH(MEDIAN($B50-Conversion!$B$15,2020,2050),Report_Scenarios!$A$18:$A$24,1)),INDEX(Report_Scenarios!$B$18:$B$24,MATCH(MEDIAN($B50-Conversion!$B$15,2020,2050),Report_Scenarios!$A$18:$A$24,1))+(INDEX(Report_Scenarios!$B$18:$B$24,MIN(MATCH(MEDIAN($B50-Conversion!$B$15,2020,2050),Report_Scenarios!$A$18:$A$24,1)+1,7))-INDEX(Report_Scenarios!$B$18:$B$24,MATCH(MEDIAN($B50-Conversion!$B$15,2020,2050),Report_Scenarios!$A$18:$A$24,1)))*(MEDIAN($B50-Conversion!$B$15,2020,2050)-INDEX(Report_Scenarios!$A$18:$A$24,MATCH(MEDIAN($B50-Conversion!$B$15,2020,2050),Report_Scenarios!$A$18:$A$24,1)))/(INDEX(Report_Scenarios!$A$18:$A$24,MIN(MATCH(MEDIAN($B50-Conversion!$B$15,2020,2050),Report_Scenarios!$A$18:$A$24,1)+1,7))-INDEX(Report_Scenarios!$A$18:$A$24,MATCH(MEDIAN($B50-Conversion!$B$15,2020,2050),Report_Scenarios!$A$18:$A$24,1)))),IF(INDEX(Report_Scenarios!$A$29:$A$35,MIN(MATCH(MEDIAN($B50-Conversion!$B$15,2020,2050),Report_Scenarios!$A$29:$A$35,1)+1,7))=INDEX(Report_Scenarios!$A$29:$A$35,MATCH(MEDIAN($B50-Conversion!$B$15,2020,2050),Report_Scenarios!$A$29:$A$35,1)),INDEX(Report_Scenarios!$B$29:$B$35,MATCH(MEDIAN($B50-Conversion!$B$15,2020,2050),Report_Scenarios!$A$29:$A$35,1)),INDEX(Report_Scenarios!$B$29:$B$35,MATCH(MEDIAN($B50-Conversion!$B$15,2020,2050),Report_Scenarios!$A$29:$A$35,1))+(INDEX(Report_Scenarios!$B$29:$B$35,MIN(MATCH(MEDIAN($B50-Conversion!$B$15,2020,2050),Report_Scenarios!$A$29:$A$35,1)+1,7))-INDEX(Report_Scenarios!$B$29:$B$35,MATCH(MEDIAN($B50-Conversion!$B$15,2020,2050),Report_Scenarios!$A$29:$A$35,1)))*(MEDIAN($B50-Conversion!$B$15,2020,2050)-INDEX(Report_Scenarios!$A$29:$A$35,MATCH(MEDIAN($B50-Conversion!$B$15,2020,2050),Report_Scenarios!$A$29:$A$35,1)))/(INDEX(Report_Scenarios!$A$29:$A$35,MIN(MATCH(MEDIAN($B50-Conversion!$B$15,2020,2050),Report_Scenarios!$A$29:$A$35,1)+1,7))-INDEX(Report_Scenarios!$A$29:$A$35,MATCH(MEDIAN($B50-Conversion!$B$15,2020,2050),Report_Scenarios!$A$29:$A$35,1))))))</f>
        <v/>
      </c>
      <c r="F50" s="23">
        <f>IF($D50="Conservative",IF(INDEX(Report_Scenarios!$A$7:$A$13,MIN(MATCH(MEDIAN($B50-Conversion!$B$15,2020,2050),Report_Scenarios!$A$7:$A$13,1)+1,7))=INDEX(Report_Scenarios!$A$7:$A$13,MATCH(MEDIAN($B50-Conversion!$B$15,2020,2050),Report_Scenarios!$A$7:$A$13,1)),INDEX(Report_Scenarios!$C$7:$C$13,MATCH(MEDIAN($B50-Conversion!$B$15,2020,2050),Report_Scenarios!$A$7:$A$13,1)),INDEX(Report_Scenarios!$C$7:$C$13,MATCH(MEDIAN($B50-Conversion!$B$15,2020,2050),Report_Scenarios!$A$7:$A$13,1))+(INDEX(Report_Scenarios!$C$7:$C$13,MIN(MATCH(MEDIAN($B50-Conversion!$B$15,2020,2050),Report_Scenarios!$A$7:$A$13,1)+1,7))-INDEX(Report_Scenarios!$C$7:$C$13,MATCH(MEDIAN($B50-Conversion!$B$15,2020,2050),Report_Scenarios!$A$7:$A$13,1)))*(MEDIAN($B50-Conversion!$B$15,2020,2050)-INDEX(Report_Scenarios!$A$7:$A$13,MATCH(MEDIAN($B50-Conversion!$B$15,2020,2050),Report_Scenarios!$A$7:$A$13,1)))/(INDEX(Report_Scenarios!$A$7:$A$13,MIN(MATCH(MEDIAN($B50-Conversion!$B$15,2020,2050),Report_Scenarios!$A$7:$A$13,1)+1,7))-INDEX(Report_Scenarios!$A$7:$A$13,MATCH(MEDIAN($B50-Conversion!$B$15,2020,2050),Report_Scenarios!$A$7:$A$13,1)))),IF($D50="Central",IF(INDEX(Report_Scenarios!$A$18:$A$24,MIN(MATCH(MEDIAN($B50-Conversion!$B$15,2020,2050),Report_Scenarios!$A$18:$A$24,1)+1,7))=INDEX(Report_Scenarios!$A$18:$A$24,MATCH(MEDIAN($B50-Conversion!$B$15,2020,2050),Report_Scenarios!$A$18:$A$24,1)),INDEX(Report_Scenarios!$C$18:$C$24,MATCH(MEDIAN($B50-Conversion!$B$15,2020,2050),Report_Scenarios!$A$18:$A$24,1)),INDEX(Report_Scenarios!$C$18:$C$24,MATCH(MEDIAN($B50-Conversion!$B$15,2020,2050),Report_Scenarios!$A$18:$A$24,1))+(INDEX(Report_Scenarios!$C$18:$C$24,MIN(MATCH(MEDIAN($B50-Conversion!$B$15,2020,2050),Report_Scenarios!$A$18:$A$24,1)+1,7))-INDEX(Report_Scenarios!$C$18:$C$24,MATCH(MEDIAN($B50-Conversion!$B$15,2020,2050),Report_Scenarios!$A$18:$A$24,1)))*(MEDIAN($B50-Conversion!$B$15,2020,2050)-INDEX(Report_Scenarios!$A$18:$A$24,MATCH(MEDIAN($B50-Conversion!$B$15,2020,2050),Report_Scenarios!$A$18:$A$24,1)))/(INDEX(Report_Scenarios!$A$18:$A$24,MIN(MATCH(MEDIAN($B50-Conversion!$B$15,2020,2050),Report_Scenarios!$A$18:$A$24,1)+1,7))-INDEX(Report_Scenarios!$A$18:$A$24,MATCH(MEDIAN($B50-Conversion!$B$15,2020,2050),Report_Scenarios!$A$18:$A$24,1)))),IF(INDEX(Report_Scenarios!$A$29:$A$35,MIN(MATCH(MEDIAN($B50-Conversion!$B$15,2020,2050),Report_Scenarios!$A$29:$A$35,1)+1,7))=INDEX(Report_Scenarios!$A$29:$A$35,MATCH(MEDIAN($B50-Conversion!$B$15,2020,2050),Report_Scenarios!$A$29:$A$35,1)),INDEX(Report_Scenarios!$C$29:$C$35,MATCH(MEDIAN($B50-Conversion!$B$15,2020,2050),Report_Scenarios!$A$29:$A$35,1)),INDEX(Report_Scenarios!$C$29:$C$35,MATCH(MEDIAN($B50-Conversion!$B$15,2020,2050),Report_Scenarios!$A$29:$A$35,1))+(INDEX(Report_Scenarios!$C$29:$C$35,MIN(MATCH(MEDIAN($B50-Conversion!$B$15,2020,2050),Report_Scenarios!$A$29:$A$35,1)+1,7))-INDEX(Report_Scenarios!$C$29:$C$35,MATCH(MEDIAN($B50-Conversion!$B$15,2020,2050),Report_Scenarios!$A$29:$A$35,1)))*(MEDIAN($B50-Conversion!$B$15,2020,2050)-INDEX(Report_Scenarios!$A$29:$A$35,MATCH(MEDIAN($B50-Conversion!$B$15,2020,2050),Report_Scenarios!$A$29:$A$35,1)))/(INDEX(Report_Scenarios!$A$29:$A$35,MIN(MATCH(MEDIAN($B50-Conversion!$B$15,2020,2050),Report_Scenarios!$A$29:$A$35,1)+1,7))-INDEX(Report_Scenarios!$A$29:$A$35,MATCH(MEDIAN($B50-Conversion!$B$15,2020,2050),Report_Scenarios!$A$29:$A$35,1))))))</f>
        <v/>
      </c>
      <c r="G50" s="23">
        <f>IF($D50="Conservative",IF(INDEX(Report_Scenarios!$A$7:$A$13,MIN(MATCH(MEDIAN($B50-Conversion!$B$15,2020,2050),Report_Scenarios!$A$7:$A$13,1)+1,7))=INDEX(Report_Scenarios!$A$7:$A$13,MATCH(MEDIAN($B50-Conversion!$B$15,2020,2050),Report_Scenarios!$A$7:$A$13,1)),INDEX(Report_Scenarios!$D$7:$D$13,MATCH(MEDIAN($B50-Conversion!$B$15,2020,2050),Report_Scenarios!$A$7:$A$13,1)),INDEX(Report_Scenarios!$D$7:$D$13,MATCH(MEDIAN($B50-Conversion!$B$15,2020,2050),Report_Scenarios!$A$7:$A$13,1))+(INDEX(Report_Scenarios!$D$7:$D$13,MIN(MATCH(MEDIAN($B50-Conversion!$B$15,2020,2050),Report_Scenarios!$A$7:$A$13,1)+1,7))-INDEX(Report_Scenarios!$D$7:$D$13,MATCH(MEDIAN($B50-Conversion!$B$15,2020,2050),Report_Scenarios!$A$7:$A$13,1)))*(MEDIAN($B50-Conversion!$B$15,2020,2050)-INDEX(Report_Scenarios!$A$7:$A$13,MATCH(MEDIAN($B50-Conversion!$B$15,2020,2050),Report_Scenarios!$A$7:$A$13,1)))/(INDEX(Report_Scenarios!$A$7:$A$13,MIN(MATCH(MEDIAN($B50-Conversion!$B$15,2020,2050),Report_Scenarios!$A$7:$A$13,1)+1,7))-INDEX(Report_Scenarios!$A$7:$A$13,MATCH(MEDIAN($B50-Conversion!$B$15,2020,2050),Report_Scenarios!$A$7:$A$13,1)))),IF($D50="Central",IF(INDEX(Report_Scenarios!$A$18:$A$24,MIN(MATCH(MEDIAN($B50-Conversion!$B$15,2020,2050),Report_Scenarios!$A$18:$A$24,1)+1,7))=INDEX(Report_Scenarios!$A$18:$A$24,MATCH(MEDIAN($B50-Conversion!$B$15,2020,2050),Report_Scenarios!$A$18:$A$24,1)),INDEX(Report_Scenarios!$D$18:$D$24,MATCH(MEDIAN($B50-Conversion!$B$15,2020,2050),Report_Scenarios!$A$18:$A$24,1)),INDEX(Report_Scenarios!$D$18:$D$24,MATCH(MEDIAN($B50-Conversion!$B$15,2020,2050),Report_Scenarios!$A$18:$A$24,1))+(INDEX(Report_Scenarios!$D$18:$D$24,MIN(MATCH(MEDIAN($B50-Conversion!$B$15,2020,2050),Report_Scenarios!$A$18:$A$24,1)+1,7))-INDEX(Report_Scenarios!$D$18:$D$24,MATCH(MEDIAN($B50-Conversion!$B$15,2020,2050),Report_Scenarios!$A$18:$A$24,1)))*(MEDIAN($B50-Conversion!$B$15,2020,2050)-INDEX(Report_Scenarios!$A$18:$A$24,MATCH(MEDIAN($B50-Conversion!$B$15,2020,2050),Report_Scenarios!$A$18:$A$24,1)))/(INDEX(Report_Scenarios!$A$18:$A$24,MIN(MATCH(MEDIAN($B50-Conversion!$B$15,2020,2050),Report_Scenarios!$A$18:$A$24,1)+1,7))-INDEX(Report_Scenarios!$A$18:$A$24,MATCH(MEDIAN($B50-Conversion!$B$15,2020,2050),Report_Scenarios!$A$18:$A$24,1)))),IF(INDEX(Report_Scenarios!$A$29:$A$35,MIN(MATCH(MEDIAN($B50-Conversion!$B$15,2020,2050),Report_Scenarios!$A$29:$A$35,1)+1,7))=INDEX(Report_Scenarios!$A$29:$A$35,MATCH(MEDIAN($B50-Conversion!$B$15,2020,2050),Report_Scenarios!$A$29:$A$35,1)),INDEX(Report_Scenarios!$D$29:$D$35,MATCH(MEDIAN($B50-Conversion!$B$15,2020,2050),Report_Scenarios!$A$29:$A$35,1)),INDEX(Report_Scenarios!$D$29:$D$35,MATCH(MEDIAN($B50-Conversion!$B$15,2020,2050),Report_Scenarios!$A$29:$A$35,1))+(INDEX(Report_Scenarios!$D$29:$D$35,MIN(MATCH(MEDIAN($B50-Conversion!$B$15,2020,2050),Report_Scenarios!$A$29:$A$35,1)+1,7))-INDEX(Report_Scenarios!$D$29:$D$35,MATCH(MEDIAN($B50-Conversion!$B$15,2020,2050),Report_Scenarios!$A$29:$A$35,1)))*(MEDIAN($B50-Conversion!$B$15,2020,2050)-INDEX(Report_Scenarios!$A$29:$A$35,MATCH(MEDIAN($B50-Conversion!$B$15,2020,2050),Report_Scenarios!$A$29:$A$35,1)))/(INDEX(Report_Scenarios!$A$29:$A$35,MIN(MATCH(MEDIAN($B50-Conversion!$B$15,2020,2050),Report_Scenarios!$A$29:$A$35,1)+1,7))-INDEX(Report_Scenarios!$A$29:$A$35,MATCH(MEDIAN($B50-Conversion!$B$15,2020,2050),Report_Scenarios!$A$29:$A$35,1))))))</f>
        <v/>
      </c>
      <c r="H50" s="23">
        <f>IF($D50="Conservative",IF(INDEX(Report_Scenarios!$A$7:$A$13,MIN(MATCH(MEDIAN($B50-Conversion!$B$15,2020,2050),Report_Scenarios!$A$7:$A$13,1)+1,7))=INDEX(Report_Scenarios!$A$7:$A$13,MATCH(MEDIAN($B50-Conversion!$B$15,2020,2050),Report_Scenarios!$A$7:$A$13,1)),INDEX(Report_Scenarios!$E$7:$E$13,MATCH(MEDIAN($B50-Conversion!$B$15,2020,2050),Report_Scenarios!$A$7:$A$13,1)),INDEX(Report_Scenarios!$E$7:$E$13,MATCH(MEDIAN($B50-Conversion!$B$15,2020,2050),Report_Scenarios!$A$7:$A$13,1))+(INDEX(Report_Scenarios!$E$7:$E$13,MIN(MATCH(MEDIAN($B50-Conversion!$B$15,2020,2050),Report_Scenarios!$A$7:$A$13,1)+1,7))-INDEX(Report_Scenarios!$E$7:$E$13,MATCH(MEDIAN($B50-Conversion!$B$15,2020,2050),Report_Scenarios!$A$7:$A$13,1)))*(MEDIAN($B50-Conversion!$B$15,2020,2050)-INDEX(Report_Scenarios!$A$7:$A$13,MATCH(MEDIAN($B50-Conversion!$B$15,2020,2050),Report_Scenarios!$A$7:$A$13,1)))/(INDEX(Report_Scenarios!$A$7:$A$13,MIN(MATCH(MEDIAN($B50-Conversion!$B$15,2020,2050),Report_Scenarios!$A$7:$A$13,1)+1,7))-INDEX(Report_Scenarios!$A$7:$A$13,MATCH(MEDIAN($B50-Conversion!$B$15,2020,2050),Report_Scenarios!$A$7:$A$13,1)))),IF($D50="Central",IF(INDEX(Report_Scenarios!$A$18:$A$24,MIN(MATCH(MEDIAN($B50-Conversion!$B$15,2020,2050),Report_Scenarios!$A$18:$A$24,1)+1,7))=INDEX(Report_Scenarios!$A$18:$A$24,MATCH(MEDIAN($B50-Conversion!$B$15,2020,2050),Report_Scenarios!$A$18:$A$24,1)),INDEX(Report_Scenarios!$E$18:$E$24,MATCH(MEDIAN($B50-Conversion!$B$15,2020,2050),Report_Scenarios!$A$18:$A$24,1)),INDEX(Report_Scenarios!$E$18:$E$24,MATCH(MEDIAN($B50-Conversion!$B$15,2020,2050),Report_Scenarios!$A$18:$A$24,1))+(INDEX(Report_Scenarios!$E$18:$E$24,MIN(MATCH(MEDIAN($B50-Conversion!$B$15,2020,2050),Report_Scenarios!$A$18:$A$24,1)+1,7))-INDEX(Report_Scenarios!$E$18:$E$24,MATCH(MEDIAN($B50-Conversion!$B$15,2020,2050),Report_Scenarios!$A$18:$A$24,1)))*(MEDIAN($B50-Conversion!$B$15,2020,2050)-INDEX(Report_Scenarios!$A$18:$A$24,MATCH(MEDIAN($B50-Conversion!$B$15,2020,2050),Report_Scenarios!$A$18:$A$24,1)))/(INDEX(Report_Scenarios!$A$18:$A$24,MIN(MATCH(MEDIAN($B50-Conversion!$B$15,2020,2050),Report_Scenarios!$A$18:$A$24,1)+1,7))-INDEX(Report_Scenarios!$A$18:$A$24,MATCH(MEDIAN($B50-Conversion!$B$15,2020,2050),Report_Scenarios!$A$18:$A$24,1)))),IF(INDEX(Report_Scenarios!$A$29:$A$35,MIN(MATCH(MEDIAN($B50-Conversion!$B$15,2020,2050),Report_Scenarios!$A$29:$A$35,1)+1,7))=INDEX(Report_Scenarios!$A$29:$A$35,MATCH(MEDIAN($B50-Conversion!$B$15,2020,2050),Report_Scenarios!$A$29:$A$35,1)),INDEX(Report_Scenarios!$E$29:$E$35,MATCH(MEDIAN($B50-Conversion!$B$15,2020,2050),Report_Scenarios!$A$29:$A$35,1)),INDEX(Report_Scenarios!$E$29:$E$35,MATCH(MEDIAN($B50-Conversion!$B$15,2020,2050),Report_Scenarios!$A$29:$A$35,1))+(INDEX(Report_Scenarios!$E$29:$E$35,MIN(MATCH(MEDIAN($B50-Conversion!$B$15,2020,2050),Report_Scenarios!$A$29:$A$35,1)+1,7))-INDEX(Report_Scenarios!$E$29:$E$35,MATCH(MEDIAN($B50-Conversion!$B$15,2020,2050),Report_Scenarios!$A$29:$A$35,1)))*(MEDIAN($B50-Conversion!$B$15,2020,2050)-INDEX(Report_Scenarios!$A$29:$A$35,MATCH(MEDIAN($B50-Conversion!$B$15,2020,2050),Report_Scenarios!$A$29:$A$35,1)))/(INDEX(Report_Scenarios!$A$29:$A$35,MIN(MATCH(MEDIAN($B50-Conversion!$B$15,2020,2050),Report_Scenarios!$A$29:$A$35,1)+1,7))-INDEX(Report_Scenarios!$A$29:$A$35,MATCH(MEDIAN($B50-Conversion!$B$15,2020,2050),Report_Scenarios!$A$29:$A$35,1))))))</f>
        <v/>
      </c>
      <c r="I50" s="23">
        <f>IF($D50="Conservative",IF(INDEX(Report_Scenarios!$A$7:$A$13,MIN(MATCH(MEDIAN($B50-Conversion!$B$15,2020,2050),Report_Scenarios!$A$7:$A$13,1)+1,7))=INDEX(Report_Scenarios!$A$7:$A$13,MATCH(MEDIAN($B50-Conversion!$B$15,2020,2050),Report_Scenarios!$A$7:$A$13,1)),INDEX(Report_Scenarios!$F$7:$F$13,MATCH(MEDIAN($B50-Conversion!$B$15,2020,2050),Report_Scenarios!$A$7:$A$13,1)),INDEX(Report_Scenarios!$F$7:$F$13,MATCH(MEDIAN($B50-Conversion!$B$15,2020,2050),Report_Scenarios!$A$7:$A$13,1))+(INDEX(Report_Scenarios!$F$7:$F$13,MIN(MATCH(MEDIAN($B50-Conversion!$B$15,2020,2050),Report_Scenarios!$A$7:$A$13,1)+1,7))-INDEX(Report_Scenarios!$F$7:$F$13,MATCH(MEDIAN($B50-Conversion!$B$15,2020,2050),Report_Scenarios!$A$7:$A$13,1)))*(MEDIAN($B50-Conversion!$B$15,2020,2050)-INDEX(Report_Scenarios!$A$7:$A$13,MATCH(MEDIAN($B50-Conversion!$B$15,2020,2050),Report_Scenarios!$A$7:$A$13,1)))/(INDEX(Report_Scenarios!$A$7:$A$13,MIN(MATCH(MEDIAN($B50-Conversion!$B$15,2020,2050),Report_Scenarios!$A$7:$A$13,1)+1,7))-INDEX(Report_Scenarios!$A$7:$A$13,MATCH(MEDIAN($B50-Conversion!$B$15,2020,2050),Report_Scenarios!$A$7:$A$13,1)))),IF($D50="Central",IF(INDEX(Report_Scenarios!$A$18:$A$24,MIN(MATCH(MEDIAN($B50-Conversion!$B$15,2020,2050),Report_Scenarios!$A$18:$A$24,1)+1,7))=INDEX(Report_Scenarios!$A$18:$A$24,MATCH(MEDIAN($B50-Conversion!$B$15,2020,2050),Report_Scenarios!$A$18:$A$24,1)),INDEX(Report_Scenarios!$F$18:$F$24,MATCH(MEDIAN($B50-Conversion!$B$15,2020,2050),Report_Scenarios!$A$18:$A$24,1)),INDEX(Report_Scenarios!$F$18:$F$24,MATCH(MEDIAN($B50-Conversion!$B$15,2020,2050),Report_Scenarios!$A$18:$A$24,1))+(INDEX(Report_Scenarios!$F$18:$F$24,MIN(MATCH(MEDIAN($B50-Conversion!$B$15,2020,2050),Report_Scenarios!$A$18:$A$24,1)+1,7))-INDEX(Report_Scenarios!$F$18:$F$24,MATCH(MEDIAN($B50-Conversion!$B$15,2020,2050),Report_Scenarios!$A$18:$A$24,1)))*(MEDIAN($B50-Conversion!$B$15,2020,2050)-INDEX(Report_Scenarios!$A$18:$A$24,MATCH(MEDIAN($B50-Conversion!$B$15,2020,2050),Report_Scenarios!$A$18:$A$24,1)))/(INDEX(Report_Scenarios!$A$18:$A$24,MIN(MATCH(MEDIAN($B50-Conversion!$B$15,2020,2050),Report_Scenarios!$A$18:$A$24,1)+1,7))-INDEX(Report_Scenarios!$A$18:$A$24,MATCH(MEDIAN($B50-Conversion!$B$15,2020,2050),Report_Scenarios!$A$18:$A$24,1)))),IF(INDEX(Report_Scenarios!$A$29:$A$35,MIN(MATCH(MEDIAN($B50-Conversion!$B$15,2020,2050),Report_Scenarios!$A$29:$A$35,1)+1,7))=INDEX(Report_Scenarios!$A$29:$A$35,MATCH(MEDIAN($B50-Conversion!$B$15,2020,2050),Report_Scenarios!$A$29:$A$35,1)),INDEX(Report_Scenarios!$F$29:$F$35,MATCH(MEDIAN($B50-Conversion!$B$15,2020,2050),Report_Scenarios!$A$29:$A$35,1)),INDEX(Report_Scenarios!$F$29:$F$35,MATCH(MEDIAN($B50-Conversion!$B$15,2020,2050),Report_Scenarios!$A$29:$A$35,1))+(INDEX(Report_Scenarios!$F$29:$F$35,MIN(MATCH(MEDIAN($B50-Conversion!$B$15,2020,2050),Report_Scenarios!$A$29:$A$35,1)+1,7))-INDEX(Report_Scenarios!$F$29:$F$35,MATCH(MEDIAN($B50-Conversion!$B$15,2020,2050),Report_Scenarios!$A$29:$A$35,1)))*(MEDIAN($B50-Conversion!$B$15,2020,2050)-INDEX(Report_Scenarios!$A$29:$A$35,MATCH(MEDIAN($B50-Conversion!$B$15,2020,2050),Report_Scenarios!$A$29:$A$35,1)))/(INDEX(Report_Scenarios!$A$29:$A$35,MIN(MATCH(MEDIAN($B50-Conversion!$B$15,2020,2050),Report_Scenarios!$A$29:$A$35,1)+1,7))-INDEX(Report_Scenarios!$A$29:$A$35,MATCH(MEDIAN($B50-Conversion!$B$15,2020,2050),Report_Scenarios!$A$29:$A$35,1))))))</f>
        <v/>
      </c>
      <c r="J50" s="23">
        <f>IF($D50="Conservative",IF(INDEX(Report_Scenarios!$A$7:$A$13,MIN(MATCH(MEDIAN($B50-Conversion!$B$15,2020,2050),Report_Scenarios!$A$7:$A$13,1)+1,7))=INDEX(Report_Scenarios!$A$7:$A$13,MATCH(MEDIAN($B50-Conversion!$B$15,2020,2050),Report_Scenarios!$A$7:$A$13,1)),INDEX(Report_Scenarios!$G$7:$G$13,MATCH(MEDIAN($B50-Conversion!$B$15,2020,2050),Report_Scenarios!$A$7:$A$13,1)),INDEX(Report_Scenarios!$G$7:$G$13,MATCH(MEDIAN($B50-Conversion!$B$15,2020,2050),Report_Scenarios!$A$7:$A$13,1))+(INDEX(Report_Scenarios!$G$7:$G$13,MIN(MATCH(MEDIAN($B50-Conversion!$B$15,2020,2050),Report_Scenarios!$A$7:$A$13,1)+1,7))-INDEX(Report_Scenarios!$G$7:$G$13,MATCH(MEDIAN($B50-Conversion!$B$15,2020,2050),Report_Scenarios!$A$7:$A$13,1)))*(MEDIAN($B50-Conversion!$B$15,2020,2050)-INDEX(Report_Scenarios!$A$7:$A$13,MATCH(MEDIAN($B50-Conversion!$B$15,2020,2050),Report_Scenarios!$A$7:$A$13,1)))/(INDEX(Report_Scenarios!$A$7:$A$13,MIN(MATCH(MEDIAN($B50-Conversion!$B$15,2020,2050),Report_Scenarios!$A$7:$A$13,1)+1,7))-INDEX(Report_Scenarios!$A$7:$A$13,MATCH(MEDIAN($B50-Conversion!$B$15,2020,2050),Report_Scenarios!$A$7:$A$13,1)))),IF($D50="Central",IF(INDEX(Report_Scenarios!$A$18:$A$24,MIN(MATCH(MEDIAN($B50-Conversion!$B$15,2020,2050),Report_Scenarios!$A$18:$A$24,1)+1,7))=INDEX(Report_Scenarios!$A$18:$A$24,MATCH(MEDIAN($B50-Conversion!$B$15,2020,2050),Report_Scenarios!$A$18:$A$24,1)),INDEX(Report_Scenarios!$G$18:$G$24,MATCH(MEDIAN($B50-Conversion!$B$15,2020,2050),Report_Scenarios!$A$18:$A$24,1)),INDEX(Report_Scenarios!$G$18:$G$24,MATCH(MEDIAN($B50-Conversion!$B$15,2020,2050),Report_Scenarios!$A$18:$A$24,1))+(INDEX(Report_Scenarios!$G$18:$G$24,MIN(MATCH(MEDIAN($B50-Conversion!$B$15,2020,2050),Report_Scenarios!$A$18:$A$24,1)+1,7))-INDEX(Report_Scenarios!$G$18:$G$24,MATCH(MEDIAN($B50-Conversion!$B$15,2020,2050),Report_Scenarios!$A$18:$A$24,1)))*(MEDIAN($B50-Conversion!$B$15,2020,2050)-INDEX(Report_Scenarios!$A$18:$A$24,MATCH(MEDIAN($B50-Conversion!$B$15,2020,2050),Report_Scenarios!$A$18:$A$24,1)))/(INDEX(Report_Scenarios!$A$18:$A$24,MIN(MATCH(MEDIAN($B50-Conversion!$B$15,2020,2050),Report_Scenarios!$A$18:$A$24,1)+1,7))-INDEX(Report_Scenarios!$A$18:$A$24,MATCH(MEDIAN($B50-Conversion!$B$15,2020,2050),Report_Scenarios!$A$18:$A$24,1)))),IF(INDEX(Report_Scenarios!$A$29:$A$35,MIN(MATCH(MEDIAN($B50-Conversion!$B$15,2020,2050),Report_Scenarios!$A$29:$A$35,1)+1,7))=INDEX(Report_Scenarios!$A$29:$A$35,MATCH(MEDIAN($B50-Conversion!$B$15,2020,2050),Report_Scenarios!$A$29:$A$35,1)),INDEX(Report_Scenarios!$G$29:$G$35,MATCH(MEDIAN($B50-Conversion!$B$15,2020,2050),Report_Scenarios!$A$29:$A$35,1)),INDEX(Report_Scenarios!$G$29:$G$35,MATCH(MEDIAN($B50-Conversion!$B$15,2020,2050),Report_Scenarios!$A$29:$A$35,1))+(INDEX(Report_Scenarios!$G$29:$G$35,MIN(MATCH(MEDIAN($B50-Conversion!$B$15,2020,2050),Report_Scenarios!$A$29:$A$35,1)+1,7))-INDEX(Report_Scenarios!$G$29:$G$35,MATCH(MEDIAN($B50-Conversion!$B$15,2020,2050),Report_Scenarios!$A$29:$A$35,1)))*(MEDIAN($B50-Conversion!$B$15,2020,2050)-INDEX(Report_Scenarios!$A$29:$A$35,MATCH(MEDIAN($B50-Conversion!$B$15,2020,2050),Report_Scenarios!$A$29:$A$35,1)))/(INDEX(Report_Scenarios!$A$29:$A$35,MIN(MATCH(MEDIAN($B50-Conversion!$B$15,2020,2050),Report_Scenarios!$A$29:$A$35,1)+1,7))-INDEX(Report_Scenarios!$A$29:$A$35,MATCH(MEDIAN($B50-Conversion!$B$15,2020,2050),Report_Scenarios!$A$29:$A$35,1))))))</f>
        <v/>
      </c>
      <c r="K50" s="23">
        <f>SUM(E50:J50)</f>
        <v/>
      </c>
      <c r="L50" s="23">
        <f>IF(R50&lt;&gt;"",R50,IF($K50=0,0,E50/$K50))</f>
        <v/>
      </c>
      <c r="M50" s="23">
        <f>IF(S50&lt;&gt;"",S50,IF($K50=0,0,F50/$K50))</f>
        <v/>
      </c>
      <c r="N50" s="23">
        <f>IF(T50&lt;&gt;"",T50,IF($K50=0,0,G50/$K50))</f>
        <v/>
      </c>
      <c r="O50" s="23">
        <f>IF(U50&lt;&gt;"",U50,IF($K50=0,0,H50/$K50))</f>
        <v/>
      </c>
      <c r="P50" s="23">
        <f>IF(V50&lt;&gt;"",V50,IF($K50=0,0,I50/$K50))</f>
        <v/>
      </c>
      <c r="Q50" s="23">
        <f>IF(W50&lt;&gt;"",W50,IF($K50=0,0,J50/$K50))</f>
        <v/>
      </c>
      <c r="R50" s="24" t="n"/>
      <c r="S50" s="24" t="n"/>
      <c r="T50" s="24" t="n"/>
      <c r="U50" s="24" t="n"/>
      <c r="V50" s="24" t="n"/>
      <c r="W50" s="24" t="n"/>
    </row>
    <row r="51">
      <c r="A51" s="4" t="inlineStr">
        <is>
          <t>CD</t>
        </is>
      </c>
      <c r="B51" s="4" t="n">
        <v>2045</v>
      </c>
      <c r="C51" s="4" t="inlineStr">
        <is>
          <t>Share_Mode</t>
        </is>
      </c>
      <c r="D51" s="4">
        <f>Conversion!$B$19</f>
        <v/>
      </c>
      <c r="E51" s="23">
        <f>IF($D51="Conservative",IF(INDEX(Report_Scenarios!$A$7:$A$13,MIN(MATCH(MEDIAN($B51-Conversion!$B$15,2020,2050),Report_Scenarios!$A$7:$A$13,1)+1,7))=INDEX(Report_Scenarios!$A$7:$A$13,MATCH(MEDIAN($B51-Conversion!$B$15,2020,2050),Report_Scenarios!$A$7:$A$13,1)),INDEX(Report_Scenarios!$B$7:$B$13,MATCH(MEDIAN($B51-Conversion!$B$15,2020,2050),Report_Scenarios!$A$7:$A$13,1)),INDEX(Report_Scenarios!$B$7:$B$13,MATCH(MEDIAN($B51-Conversion!$B$15,2020,2050),Report_Scenarios!$A$7:$A$13,1))+(INDEX(Report_Scenarios!$B$7:$B$13,MIN(MATCH(MEDIAN($B51-Conversion!$B$15,2020,2050),Report_Scenarios!$A$7:$A$13,1)+1,7))-INDEX(Report_Scenarios!$B$7:$B$13,MATCH(MEDIAN($B51-Conversion!$B$15,2020,2050),Report_Scenarios!$A$7:$A$13,1)))*(MEDIAN($B51-Conversion!$B$15,2020,2050)-INDEX(Report_Scenarios!$A$7:$A$13,MATCH(MEDIAN($B51-Conversion!$B$15,2020,2050),Report_Scenarios!$A$7:$A$13,1)))/(INDEX(Report_Scenarios!$A$7:$A$13,MIN(MATCH(MEDIAN($B51-Conversion!$B$15,2020,2050),Report_Scenarios!$A$7:$A$13,1)+1,7))-INDEX(Report_Scenarios!$A$7:$A$13,MATCH(MEDIAN($B51-Conversion!$B$15,2020,2050),Report_Scenarios!$A$7:$A$13,1)))),IF($D51="Central",IF(INDEX(Report_Scenarios!$A$18:$A$24,MIN(MATCH(MEDIAN($B51-Conversion!$B$15,2020,2050),Report_Scenarios!$A$18:$A$24,1)+1,7))=INDEX(Report_Scenarios!$A$18:$A$24,MATCH(MEDIAN($B51-Conversion!$B$15,2020,2050),Report_Scenarios!$A$18:$A$24,1)),INDEX(Report_Scenarios!$B$18:$B$24,MATCH(MEDIAN($B51-Conversion!$B$15,2020,2050),Report_Scenarios!$A$18:$A$24,1)),INDEX(Report_Scenarios!$B$18:$B$24,MATCH(MEDIAN($B51-Conversion!$B$15,2020,2050),Report_Scenarios!$A$18:$A$24,1))+(INDEX(Report_Scenarios!$B$18:$B$24,MIN(MATCH(MEDIAN($B51-Conversion!$B$15,2020,2050),Report_Scenarios!$A$18:$A$24,1)+1,7))-INDEX(Report_Scenarios!$B$18:$B$24,MATCH(MEDIAN($B51-Conversion!$B$15,2020,2050),Report_Scenarios!$A$18:$A$24,1)))*(MEDIAN($B51-Conversion!$B$15,2020,2050)-INDEX(Report_Scenarios!$A$18:$A$24,MATCH(MEDIAN($B51-Conversion!$B$15,2020,2050),Report_Scenarios!$A$18:$A$24,1)))/(INDEX(Report_Scenarios!$A$18:$A$24,MIN(MATCH(MEDIAN($B51-Conversion!$B$15,2020,2050),Report_Scenarios!$A$18:$A$24,1)+1,7))-INDEX(Report_Scenarios!$A$18:$A$24,MATCH(MEDIAN($B51-Conversion!$B$15,2020,2050),Report_Scenarios!$A$18:$A$24,1)))),IF(INDEX(Report_Scenarios!$A$29:$A$35,MIN(MATCH(MEDIAN($B51-Conversion!$B$15,2020,2050),Report_Scenarios!$A$29:$A$35,1)+1,7))=INDEX(Report_Scenarios!$A$29:$A$35,MATCH(MEDIAN($B51-Conversion!$B$15,2020,2050),Report_Scenarios!$A$29:$A$35,1)),INDEX(Report_Scenarios!$B$29:$B$35,MATCH(MEDIAN($B51-Conversion!$B$15,2020,2050),Report_Scenarios!$A$29:$A$35,1)),INDEX(Report_Scenarios!$B$29:$B$35,MATCH(MEDIAN($B51-Conversion!$B$15,2020,2050),Report_Scenarios!$A$29:$A$35,1))+(INDEX(Report_Scenarios!$B$29:$B$35,MIN(MATCH(MEDIAN($B51-Conversion!$B$15,2020,2050),Report_Scenarios!$A$29:$A$35,1)+1,7))-INDEX(Report_Scenarios!$B$29:$B$35,MATCH(MEDIAN($B51-Conversion!$B$15,2020,2050),Report_Scenarios!$A$29:$A$35,1)))*(MEDIAN($B51-Conversion!$B$15,2020,2050)-INDEX(Report_Scenarios!$A$29:$A$35,MATCH(MEDIAN($B51-Conversion!$B$15,2020,2050),Report_Scenarios!$A$29:$A$35,1)))/(INDEX(Report_Scenarios!$A$29:$A$35,MIN(MATCH(MEDIAN($B51-Conversion!$B$15,2020,2050),Report_Scenarios!$A$29:$A$35,1)+1,7))-INDEX(Report_Scenarios!$A$29:$A$35,MATCH(MEDIAN($B51-Conversion!$B$15,2020,2050),Report_Scenarios!$A$29:$A$35,1))))))</f>
        <v/>
      </c>
      <c r="F51" s="23">
        <f>IF($D51="Conservative",IF(INDEX(Report_Scenarios!$A$7:$A$13,MIN(MATCH(MEDIAN($B51-Conversion!$B$15,2020,2050),Report_Scenarios!$A$7:$A$13,1)+1,7))=INDEX(Report_Scenarios!$A$7:$A$13,MATCH(MEDIAN($B51-Conversion!$B$15,2020,2050),Report_Scenarios!$A$7:$A$13,1)),INDEX(Report_Scenarios!$C$7:$C$13,MATCH(MEDIAN($B51-Conversion!$B$15,2020,2050),Report_Scenarios!$A$7:$A$13,1)),INDEX(Report_Scenarios!$C$7:$C$13,MATCH(MEDIAN($B51-Conversion!$B$15,2020,2050),Report_Scenarios!$A$7:$A$13,1))+(INDEX(Report_Scenarios!$C$7:$C$13,MIN(MATCH(MEDIAN($B51-Conversion!$B$15,2020,2050),Report_Scenarios!$A$7:$A$13,1)+1,7))-INDEX(Report_Scenarios!$C$7:$C$13,MATCH(MEDIAN($B51-Conversion!$B$15,2020,2050),Report_Scenarios!$A$7:$A$13,1)))*(MEDIAN($B51-Conversion!$B$15,2020,2050)-INDEX(Report_Scenarios!$A$7:$A$13,MATCH(MEDIAN($B51-Conversion!$B$15,2020,2050),Report_Scenarios!$A$7:$A$13,1)))/(INDEX(Report_Scenarios!$A$7:$A$13,MIN(MATCH(MEDIAN($B51-Conversion!$B$15,2020,2050),Report_Scenarios!$A$7:$A$13,1)+1,7))-INDEX(Report_Scenarios!$A$7:$A$13,MATCH(MEDIAN($B51-Conversion!$B$15,2020,2050),Report_Scenarios!$A$7:$A$13,1)))),IF($D51="Central",IF(INDEX(Report_Scenarios!$A$18:$A$24,MIN(MATCH(MEDIAN($B51-Conversion!$B$15,2020,2050),Report_Scenarios!$A$18:$A$24,1)+1,7))=INDEX(Report_Scenarios!$A$18:$A$24,MATCH(MEDIAN($B51-Conversion!$B$15,2020,2050),Report_Scenarios!$A$18:$A$24,1)),INDEX(Report_Scenarios!$C$18:$C$24,MATCH(MEDIAN($B51-Conversion!$B$15,2020,2050),Report_Scenarios!$A$18:$A$24,1)),INDEX(Report_Scenarios!$C$18:$C$24,MATCH(MEDIAN($B51-Conversion!$B$15,2020,2050),Report_Scenarios!$A$18:$A$24,1))+(INDEX(Report_Scenarios!$C$18:$C$24,MIN(MATCH(MEDIAN($B51-Conversion!$B$15,2020,2050),Report_Scenarios!$A$18:$A$24,1)+1,7))-INDEX(Report_Scenarios!$C$18:$C$24,MATCH(MEDIAN($B51-Conversion!$B$15,2020,2050),Report_Scenarios!$A$18:$A$24,1)))*(MEDIAN($B51-Conversion!$B$15,2020,2050)-INDEX(Report_Scenarios!$A$18:$A$24,MATCH(MEDIAN($B51-Conversion!$B$15,2020,2050),Report_Scenarios!$A$18:$A$24,1)))/(INDEX(Report_Scenarios!$A$18:$A$24,MIN(MATCH(MEDIAN($B51-Conversion!$B$15,2020,2050),Report_Scenarios!$A$18:$A$24,1)+1,7))-INDEX(Report_Scenarios!$A$18:$A$24,MATCH(MEDIAN($B51-Conversion!$B$15,2020,2050),Report_Scenarios!$A$18:$A$24,1)))),IF(INDEX(Report_Scenarios!$A$29:$A$35,MIN(MATCH(MEDIAN($B51-Conversion!$B$15,2020,2050),Report_Scenarios!$A$29:$A$35,1)+1,7))=INDEX(Report_Scenarios!$A$29:$A$35,MATCH(MEDIAN($B51-Conversion!$B$15,2020,2050),Report_Scenarios!$A$29:$A$35,1)),INDEX(Report_Scenarios!$C$29:$C$35,MATCH(MEDIAN($B51-Conversion!$B$15,2020,2050),Report_Scenarios!$A$29:$A$35,1)),INDEX(Report_Scenarios!$C$29:$C$35,MATCH(MEDIAN($B51-Conversion!$B$15,2020,2050),Report_Scenarios!$A$29:$A$35,1))+(INDEX(Report_Scenarios!$C$29:$C$35,MIN(MATCH(MEDIAN($B51-Conversion!$B$15,2020,2050),Report_Scenarios!$A$29:$A$35,1)+1,7))-INDEX(Report_Scenarios!$C$29:$C$35,MATCH(MEDIAN($B51-Conversion!$B$15,2020,2050),Report_Scenarios!$A$29:$A$35,1)))*(MEDIAN($B51-Conversion!$B$15,2020,2050)-INDEX(Report_Scenarios!$A$29:$A$35,MATCH(MEDIAN($B51-Conversion!$B$15,2020,2050),Report_Scenarios!$A$29:$A$35,1)))/(INDEX(Report_Scenarios!$A$29:$A$35,MIN(MATCH(MEDIAN($B51-Conversion!$B$15,2020,2050),Report_Scenarios!$A$29:$A$35,1)+1,7))-INDEX(Report_Scenarios!$A$29:$A$35,MATCH(MEDIAN($B51-Conversion!$B$15,2020,2050),Report_Scenarios!$A$29:$A$35,1))))))</f>
        <v/>
      </c>
      <c r="G51" s="23">
        <f>IF($D51="Conservative",IF(INDEX(Report_Scenarios!$A$7:$A$13,MIN(MATCH(MEDIAN($B51-Conversion!$B$15,2020,2050),Report_Scenarios!$A$7:$A$13,1)+1,7))=INDEX(Report_Scenarios!$A$7:$A$13,MATCH(MEDIAN($B51-Conversion!$B$15,2020,2050),Report_Scenarios!$A$7:$A$13,1)),INDEX(Report_Scenarios!$D$7:$D$13,MATCH(MEDIAN($B51-Conversion!$B$15,2020,2050),Report_Scenarios!$A$7:$A$13,1)),INDEX(Report_Scenarios!$D$7:$D$13,MATCH(MEDIAN($B51-Conversion!$B$15,2020,2050),Report_Scenarios!$A$7:$A$13,1))+(INDEX(Report_Scenarios!$D$7:$D$13,MIN(MATCH(MEDIAN($B51-Conversion!$B$15,2020,2050),Report_Scenarios!$A$7:$A$13,1)+1,7))-INDEX(Report_Scenarios!$D$7:$D$13,MATCH(MEDIAN($B51-Conversion!$B$15,2020,2050),Report_Scenarios!$A$7:$A$13,1)))*(MEDIAN($B51-Conversion!$B$15,2020,2050)-INDEX(Report_Scenarios!$A$7:$A$13,MATCH(MEDIAN($B51-Conversion!$B$15,2020,2050),Report_Scenarios!$A$7:$A$13,1)))/(INDEX(Report_Scenarios!$A$7:$A$13,MIN(MATCH(MEDIAN($B51-Conversion!$B$15,2020,2050),Report_Scenarios!$A$7:$A$13,1)+1,7))-INDEX(Report_Scenarios!$A$7:$A$13,MATCH(MEDIAN($B51-Conversion!$B$15,2020,2050),Report_Scenarios!$A$7:$A$13,1)))),IF($D51="Central",IF(INDEX(Report_Scenarios!$A$18:$A$24,MIN(MATCH(MEDIAN($B51-Conversion!$B$15,2020,2050),Report_Scenarios!$A$18:$A$24,1)+1,7))=INDEX(Report_Scenarios!$A$18:$A$24,MATCH(MEDIAN($B51-Conversion!$B$15,2020,2050),Report_Scenarios!$A$18:$A$24,1)),INDEX(Report_Scenarios!$D$18:$D$24,MATCH(MEDIAN($B51-Conversion!$B$15,2020,2050),Report_Scenarios!$A$18:$A$24,1)),INDEX(Report_Scenarios!$D$18:$D$24,MATCH(MEDIAN($B51-Conversion!$B$15,2020,2050),Report_Scenarios!$A$18:$A$24,1))+(INDEX(Report_Scenarios!$D$18:$D$24,MIN(MATCH(MEDIAN($B51-Conversion!$B$15,2020,2050),Report_Scenarios!$A$18:$A$24,1)+1,7))-INDEX(Report_Scenarios!$D$18:$D$24,MATCH(MEDIAN($B51-Conversion!$B$15,2020,2050),Report_Scenarios!$A$18:$A$24,1)))*(MEDIAN($B51-Conversion!$B$15,2020,2050)-INDEX(Report_Scenarios!$A$18:$A$24,MATCH(MEDIAN($B51-Conversion!$B$15,2020,2050),Report_Scenarios!$A$18:$A$24,1)))/(INDEX(Report_Scenarios!$A$18:$A$24,MIN(MATCH(MEDIAN($B51-Conversion!$B$15,2020,2050),Report_Scenarios!$A$18:$A$24,1)+1,7))-INDEX(Report_Scenarios!$A$18:$A$24,MATCH(MEDIAN($B51-Conversion!$B$15,2020,2050),Report_Scenarios!$A$18:$A$24,1)))),IF(INDEX(Report_Scenarios!$A$29:$A$35,MIN(MATCH(MEDIAN($B51-Conversion!$B$15,2020,2050),Report_Scenarios!$A$29:$A$35,1)+1,7))=INDEX(Report_Scenarios!$A$29:$A$35,MATCH(MEDIAN($B51-Conversion!$B$15,2020,2050),Report_Scenarios!$A$29:$A$35,1)),INDEX(Report_Scenarios!$D$29:$D$35,MATCH(MEDIAN($B51-Conversion!$B$15,2020,2050),Report_Scenarios!$A$29:$A$35,1)),INDEX(Report_Scenarios!$D$29:$D$35,MATCH(MEDIAN($B51-Conversion!$B$15,2020,2050),Report_Scenarios!$A$29:$A$35,1))+(INDEX(Report_Scenarios!$D$29:$D$35,MIN(MATCH(MEDIAN($B51-Conversion!$B$15,2020,2050),Report_Scenarios!$A$29:$A$35,1)+1,7))-INDEX(Report_Scenarios!$D$29:$D$35,MATCH(MEDIAN($B51-Conversion!$B$15,2020,2050),Report_Scenarios!$A$29:$A$35,1)))*(MEDIAN($B51-Conversion!$B$15,2020,2050)-INDEX(Report_Scenarios!$A$29:$A$35,MATCH(MEDIAN($B51-Conversion!$B$15,2020,2050),Report_Scenarios!$A$29:$A$35,1)))/(INDEX(Report_Scenarios!$A$29:$A$35,MIN(MATCH(MEDIAN($B51-Conversion!$B$15,2020,2050),Report_Scenarios!$A$29:$A$35,1)+1,7))-INDEX(Report_Scenarios!$A$29:$A$35,MATCH(MEDIAN($B51-Conversion!$B$15,2020,2050),Report_Scenarios!$A$29:$A$35,1))))))</f>
        <v/>
      </c>
      <c r="H51" s="23">
        <f>IF($D51="Conservative",IF(INDEX(Report_Scenarios!$A$7:$A$13,MIN(MATCH(MEDIAN($B51-Conversion!$B$15,2020,2050),Report_Scenarios!$A$7:$A$13,1)+1,7))=INDEX(Report_Scenarios!$A$7:$A$13,MATCH(MEDIAN($B51-Conversion!$B$15,2020,2050),Report_Scenarios!$A$7:$A$13,1)),INDEX(Report_Scenarios!$E$7:$E$13,MATCH(MEDIAN($B51-Conversion!$B$15,2020,2050),Report_Scenarios!$A$7:$A$13,1)),INDEX(Report_Scenarios!$E$7:$E$13,MATCH(MEDIAN($B51-Conversion!$B$15,2020,2050),Report_Scenarios!$A$7:$A$13,1))+(INDEX(Report_Scenarios!$E$7:$E$13,MIN(MATCH(MEDIAN($B51-Conversion!$B$15,2020,2050),Report_Scenarios!$A$7:$A$13,1)+1,7))-INDEX(Report_Scenarios!$E$7:$E$13,MATCH(MEDIAN($B51-Conversion!$B$15,2020,2050),Report_Scenarios!$A$7:$A$13,1)))*(MEDIAN($B51-Conversion!$B$15,2020,2050)-INDEX(Report_Scenarios!$A$7:$A$13,MATCH(MEDIAN($B51-Conversion!$B$15,2020,2050),Report_Scenarios!$A$7:$A$13,1)))/(INDEX(Report_Scenarios!$A$7:$A$13,MIN(MATCH(MEDIAN($B51-Conversion!$B$15,2020,2050),Report_Scenarios!$A$7:$A$13,1)+1,7))-INDEX(Report_Scenarios!$A$7:$A$13,MATCH(MEDIAN($B51-Conversion!$B$15,2020,2050),Report_Scenarios!$A$7:$A$13,1)))),IF($D51="Central",IF(INDEX(Report_Scenarios!$A$18:$A$24,MIN(MATCH(MEDIAN($B51-Conversion!$B$15,2020,2050),Report_Scenarios!$A$18:$A$24,1)+1,7))=INDEX(Report_Scenarios!$A$18:$A$24,MATCH(MEDIAN($B51-Conversion!$B$15,2020,2050),Report_Scenarios!$A$18:$A$24,1)),INDEX(Report_Scenarios!$E$18:$E$24,MATCH(MEDIAN($B51-Conversion!$B$15,2020,2050),Report_Scenarios!$A$18:$A$24,1)),INDEX(Report_Scenarios!$E$18:$E$24,MATCH(MEDIAN($B51-Conversion!$B$15,2020,2050),Report_Scenarios!$A$18:$A$24,1))+(INDEX(Report_Scenarios!$E$18:$E$24,MIN(MATCH(MEDIAN($B51-Conversion!$B$15,2020,2050),Report_Scenarios!$A$18:$A$24,1)+1,7))-INDEX(Report_Scenarios!$E$18:$E$24,MATCH(MEDIAN($B51-Conversion!$B$15,2020,2050),Report_Scenarios!$A$18:$A$24,1)))*(MEDIAN($B51-Conversion!$B$15,2020,2050)-INDEX(Report_Scenarios!$A$18:$A$24,MATCH(MEDIAN($B51-Conversion!$B$15,2020,2050),Report_Scenarios!$A$18:$A$24,1)))/(INDEX(Report_Scenarios!$A$18:$A$24,MIN(MATCH(MEDIAN($B51-Conversion!$B$15,2020,2050),Report_Scenarios!$A$18:$A$24,1)+1,7))-INDEX(Report_Scenarios!$A$18:$A$24,MATCH(MEDIAN($B51-Conversion!$B$15,2020,2050),Report_Scenarios!$A$18:$A$24,1)))),IF(INDEX(Report_Scenarios!$A$29:$A$35,MIN(MATCH(MEDIAN($B51-Conversion!$B$15,2020,2050),Report_Scenarios!$A$29:$A$35,1)+1,7))=INDEX(Report_Scenarios!$A$29:$A$35,MATCH(MEDIAN($B51-Conversion!$B$15,2020,2050),Report_Scenarios!$A$29:$A$35,1)),INDEX(Report_Scenarios!$E$29:$E$35,MATCH(MEDIAN($B51-Conversion!$B$15,2020,2050),Report_Scenarios!$A$29:$A$35,1)),INDEX(Report_Scenarios!$E$29:$E$35,MATCH(MEDIAN($B51-Conversion!$B$15,2020,2050),Report_Scenarios!$A$29:$A$35,1))+(INDEX(Report_Scenarios!$E$29:$E$35,MIN(MATCH(MEDIAN($B51-Conversion!$B$15,2020,2050),Report_Scenarios!$A$29:$A$35,1)+1,7))-INDEX(Report_Scenarios!$E$29:$E$35,MATCH(MEDIAN($B51-Conversion!$B$15,2020,2050),Report_Scenarios!$A$29:$A$35,1)))*(MEDIAN($B51-Conversion!$B$15,2020,2050)-INDEX(Report_Scenarios!$A$29:$A$35,MATCH(MEDIAN($B51-Conversion!$B$15,2020,2050),Report_Scenarios!$A$29:$A$35,1)))/(INDEX(Report_Scenarios!$A$29:$A$35,MIN(MATCH(MEDIAN($B51-Conversion!$B$15,2020,2050),Report_Scenarios!$A$29:$A$35,1)+1,7))-INDEX(Report_Scenarios!$A$29:$A$35,MATCH(MEDIAN($B51-Conversion!$B$15,2020,2050),Report_Scenarios!$A$29:$A$35,1))))))</f>
        <v/>
      </c>
      <c r="I51" s="23">
        <f>IF($D51="Conservative",IF(INDEX(Report_Scenarios!$A$7:$A$13,MIN(MATCH(MEDIAN($B51-Conversion!$B$15,2020,2050),Report_Scenarios!$A$7:$A$13,1)+1,7))=INDEX(Report_Scenarios!$A$7:$A$13,MATCH(MEDIAN($B51-Conversion!$B$15,2020,2050),Report_Scenarios!$A$7:$A$13,1)),INDEX(Report_Scenarios!$F$7:$F$13,MATCH(MEDIAN($B51-Conversion!$B$15,2020,2050),Report_Scenarios!$A$7:$A$13,1)),INDEX(Report_Scenarios!$F$7:$F$13,MATCH(MEDIAN($B51-Conversion!$B$15,2020,2050),Report_Scenarios!$A$7:$A$13,1))+(INDEX(Report_Scenarios!$F$7:$F$13,MIN(MATCH(MEDIAN($B51-Conversion!$B$15,2020,2050),Report_Scenarios!$A$7:$A$13,1)+1,7))-INDEX(Report_Scenarios!$F$7:$F$13,MATCH(MEDIAN($B51-Conversion!$B$15,2020,2050),Report_Scenarios!$A$7:$A$13,1)))*(MEDIAN($B51-Conversion!$B$15,2020,2050)-INDEX(Report_Scenarios!$A$7:$A$13,MATCH(MEDIAN($B51-Conversion!$B$15,2020,2050),Report_Scenarios!$A$7:$A$13,1)))/(INDEX(Report_Scenarios!$A$7:$A$13,MIN(MATCH(MEDIAN($B51-Conversion!$B$15,2020,2050),Report_Scenarios!$A$7:$A$13,1)+1,7))-INDEX(Report_Scenarios!$A$7:$A$13,MATCH(MEDIAN($B51-Conversion!$B$15,2020,2050),Report_Scenarios!$A$7:$A$13,1)))),IF($D51="Central",IF(INDEX(Report_Scenarios!$A$18:$A$24,MIN(MATCH(MEDIAN($B51-Conversion!$B$15,2020,2050),Report_Scenarios!$A$18:$A$24,1)+1,7))=INDEX(Report_Scenarios!$A$18:$A$24,MATCH(MEDIAN($B51-Conversion!$B$15,2020,2050),Report_Scenarios!$A$18:$A$24,1)),INDEX(Report_Scenarios!$F$18:$F$24,MATCH(MEDIAN($B51-Conversion!$B$15,2020,2050),Report_Scenarios!$A$18:$A$24,1)),INDEX(Report_Scenarios!$F$18:$F$24,MATCH(MEDIAN($B51-Conversion!$B$15,2020,2050),Report_Scenarios!$A$18:$A$24,1))+(INDEX(Report_Scenarios!$F$18:$F$24,MIN(MATCH(MEDIAN($B51-Conversion!$B$15,2020,2050),Report_Scenarios!$A$18:$A$24,1)+1,7))-INDEX(Report_Scenarios!$F$18:$F$24,MATCH(MEDIAN($B51-Conversion!$B$15,2020,2050),Report_Scenarios!$A$18:$A$24,1)))*(MEDIAN($B51-Conversion!$B$15,2020,2050)-INDEX(Report_Scenarios!$A$18:$A$24,MATCH(MEDIAN($B51-Conversion!$B$15,2020,2050),Report_Scenarios!$A$18:$A$24,1)))/(INDEX(Report_Scenarios!$A$18:$A$24,MIN(MATCH(MEDIAN($B51-Conversion!$B$15,2020,2050),Report_Scenarios!$A$18:$A$24,1)+1,7))-INDEX(Report_Scenarios!$A$18:$A$24,MATCH(MEDIAN($B51-Conversion!$B$15,2020,2050),Report_Scenarios!$A$18:$A$24,1)))),IF(INDEX(Report_Scenarios!$A$29:$A$35,MIN(MATCH(MEDIAN($B51-Conversion!$B$15,2020,2050),Report_Scenarios!$A$29:$A$35,1)+1,7))=INDEX(Report_Scenarios!$A$29:$A$35,MATCH(MEDIAN($B51-Conversion!$B$15,2020,2050),Report_Scenarios!$A$29:$A$35,1)),INDEX(Report_Scenarios!$F$29:$F$35,MATCH(MEDIAN($B51-Conversion!$B$15,2020,2050),Report_Scenarios!$A$29:$A$35,1)),INDEX(Report_Scenarios!$F$29:$F$35,MATCH(MEDIAN($B51-Conversion!$B$15,2020,2050),Report_Scenarios!$A$29:$A$35,1))+(INDEX(Report_Scenarios!$F$29:$F$35,MIN(MATCH(MEDIAN($B51-Conversion!$B$15,2020,2050),Report_Scenarios!$A$29:$A$35,1)+1,7))-INDEX(Report_Scenarios!$F$29:$F$35,MATCH(MEDIAN($B51-Conversion!$B$15,2020,2050),Report_Scenarios!$A$29:$A$35,1)))*(MEDIAN($B51-Conversion!$B$15,2020,2050)-INDEX(Report_Scenarios!$A$29:$A$35,MATCH(MEDIAN($B51-Conversion!$B$15,2020,2050),Report_Scenarios!$A$29:$A$35,1)))/(INDEX(Report_Scenarios!$A$29:$A$35,MIN(MATCH(MEDIAN($B51-Conversion!$B$15,2020,2050),Report_Scenarios!$A$29:$A$35,1)+1,7))-INDEX(Report_Scenarios!$A$29:$A$35,MATCH(MEDIAN($B51-Conversion!$B$15,2020,2050),Report_Scenarios!$A$29:$A$35,1))))))</f>
        <v/>
      </c>
      <c r="J51" s="23">
        <f>IF($D51="Conservative",IF(INDEX(Report_Scenarios!$A$7:$A$13,MIN(MATCH(MEDIAN($B51-Conversion!$B$15,2020,2050),Report_Scenarios!$A$7:$A$13,1)+1,7))=INDEX(Report_Scenarios!$A$7:$A$13,MATCH(MEDIAN($B51-Conversion!$B$15,2020,2050),Report_Scenarios!$A$7:$A$13,1)),INDEX(Report_Scenarios!$G$7:$G$13,MATCH(MEDIAN($B51-Conversion!$B$15,2020,2050),Report_Scenarios!$A$7:$A$13,1)),INDEX(Report_Scenarios!$G$7:$G$13,MATCH(MEDIAN($B51-Conversion!$B$15,2020,2050),Report_Scenarios!$A$7:$A$13,1))+(INDEX(Report_Scenarios!$G$7:$G$13,MIN(MATCH(MEDIAN($B51-Conversion!$B$15,2020,2050),Report_Scenarios!$A$7:$A$13,1)+1,7))-INDEX(Report_Scenarios!$G$7:$G$13,MATCH(MEDIAN($B51-Conversion!$B$15,2020,2050),Report_Scenarios!$A$7:$A$13,1)))*(MEDIAN($B51-Conversion!$B$15,2020,2050)-INDEX(Report_Scenarios!$A$7:$A$13,MATCH(MEDIAN($B51-Conversion!$B$15,2020,2050),Report_Scenarios!$A$7:$A$13,1)))/(INDEX(Report_Scenarios!$A$7:$A$13,MIN(MATCH(MEDIAN($B51-Conversion!$B$15,2020,2050),Report_Scenarios!$A$7:$A$13,1)+1,7))-INDEX(Report_Scenarios!$A$7:$A$13,MATCH(MEDIAN($B51-Conversion!$B$15,2020,2050),Report_Scenarios!$A$7:$A$13,1)))),IF($D51="Central",IF(INDEX(Report_Scenarios!$A$18:$A$24,MIN(MATCH(MEDIAN($B51-Conversion!$B$15,2020,2050),Report_Scenarios!$A$18:$A$24,1)+1,7))=INDEX(Report_Scenarios!$A$18:$A$24,MATCH(MEDIAN($B51-Conversion!$B$15,2020,2050),Report_Scenarios!$A$18:$A$24,1)),INDEX(Report_Scenarios!$G$18:$G$24,MATCH(MEDIAN($B51-Conversion!$B$15,2020,2050),Report_Scenarios!$A$18:$A$24,1)),INDEX(Report_Scenarios!$G$18:$G$24,MATCH(MEDIAN($B51-Conversion!$B$15,2020,2050),Report_Scenarios!$A$18:$A$24,1))+(INDEX(Report_Scenarios!$G$18:$G$24,MIN(MATCH(MEDIAN($B51-Conversion!$B$15,2020,2050),Report_Scenarios!$A$18:$A$24,1)+1,7))-INDEX(Report_Scenarios!$G$18:$G$24,MATCH(MEDIAN($B51-Conversion!$B$15,2020,2050),Report_Scenarios!$A$18:$A$24,1)))*(MEDIAN($B51-Conversion!$B$15,2020,2050)-INDEX(Report_Scenarios!$A$18:$A$24,MATCH(MEDIAN($B51-Conversion!$B$15,2020,2050),Report_Scenarios!$A$18:$A$24,1)))/(INDEX(Report_Scenarios!$A$18:$A$24,MIN(MATCH(MEDIAN($B51-Conversion!$B$15,2020,2050),Report_Scenarios!$A$18:$A$24,1)+1,7))-INDEX(Report_Scenarios!$A$18:$A$24,MATCH(MEDIAN($B51-Conversion!$B$15,2020,2050),Report_Scenarios!$A$18:$A$24,1)))),IF(INDEX(Report_Scenarios!$A$29:$A$35,MIN(MATCH(MEDIAN($B51-Conversion!$B$15,2020,2050),Report_Scenarios!$A$29:$A$35,1)+1,7))=INDEX(Report_Scenarios!$A$29:$A$35,MATCH(MEDIAN($B51-Conversion!$B$15,2020,2050),Report_Scenarios!$A$29:$A$35,1)),INDEX(Report_Scenarios!$G$29:$G$35,MATCH(MEDIAN($B51-Conversion!$B$15,2020,2050),Report_Scenarios!$A$29:$A$35,1)),INDEX(Report_Scenarios!$G$29:$G$35,MATCH(MEDIAN($B51-Conversion!$B$15,2020,2050),Report_Scenarios!$A$29:$A$35,1))+(INDEX(Report_Scenarios!$G$29:$G$35,MIN(MATCH(MEDIAN($B51-Conversion!$B$15,2020,2050),Report_Scenarios!$A$29:$A$35,1)+1,7))-INDEX(Report_Scenarios!$G$29:$G$35,MATCH(MEDIAN($B51-Conversion!$B$15,2020,2050),Report_Scenarios!$A$29:$A$35,1)))*(MEDIAN($B51-Conversion!$B$15,2020,2050)-INDEX(Report_Scenarios!$A$29:$A$35,MATCH(MEDIAN($B51-Conversion!$B$15,2020,2050),Report_Scenarios!$A$29:$A$35,1)))/(INDEX(Report_Scenarios!$A$29:$A$35,MIN(MATCH(MEDIAN($B51-Conversion!$B$15,2020,2050),Report_Scenarios!$A$29:$A$35,1)+1,7))-INDEX(Report_Scenarios!$A$29:$A$35,MATCH(MEDIAN($B51-Conversion!$B$15,2020,2050),Report_Scenarios!$A$29:$A$35,1))))))</f>
        <v/>
      </c>
      <c r="K51" s="23">
        <f>SUM(E51:J51)</f>
        <v/>
      </c>
      <c r="L51" s="23">
        <f>IF(R51&lt;&gt;"",R51,IF($K51=0,0,E51/$K51))</f>
        <v/>
      </c>
      <c r="M51" s="23">
        <f>IF(S51&lt;&gt;"",S51,IF($K51=0,0,F51/$K51))</f>
        <v/>
      </c>
      <c r="N51" s="23">
        <f>IF(T51&lt;&gt;"",T51,IF($K51=0,0,G51/$K51))</f>
        <v/>
      </c>
      <c r="O51" s="23">
        <f>IF(U51&lt;&gt;"",U51,IF($K51=0,0,H51/$K51))</f>
        <v/>
      </c>
      <c r="P51" s="23">
        <f>IF(V51&lt;&gt;"",V51,IF($K51=0,0,I51/$K51))</f>
        <v/>
      </c>
      <c r="Q51" s="23">
        <f>IF(W51&lt;&gt;"",W51,IF($K51=0,0,J51/$K51))</f>
        <v/>
      </c>
      <c r="R51" s="24" t="n"/>
      <c r="S51" s="24" t="n"/>
      <c r="T51" s="24" t="n"/>
      <c r="U51" s="24" t="n"/>
      <c r="V51" s="24" t="n"/>
      <c r="W51" s="24" t="n"/>
    </row>
    <row r="52">
      <c r="A52" s="4" t="inlineStr">
        <is>
          <t>CD</t>
        </is>
      </c>
      <c r="B52" s="4" t="n">
        <v>2045</v>
      </c>
      <c r="C52" s="4" t="inlineStr">
        <is>
          <t>Share_Max</t>
        </is>
      </c>
      <c r="D52" s="4">
        <f>Conversion!$B$20</f>
        <v/>
      </c>
      <c r="E52" s="23">
        <f>IF($D52="Conservative",IF(INDEX(Report_Scenarios!$A$7:$A$13,MIN(MATCH(MEDIAN($B52-Conversion!$B$15,2020,2050),Report_Scenarios!$A$7:$A$13,1)+1,7))=INDEX(Report_Scenarios!$A$7:$A$13,MATCH(MEDIAN($B52-Conversion!$B$15,2020,2050),Report_Scenarios!$A$7:$A$13,1)),INDEX(Report_Scenarios!$B$7:$B$13,MATCH(MEDIAN($B52-Conversion!$B$15,2020,2050),Report_Scenarios!$A$7:$A$13,1)),INDEX(Report_Scenarios!$B$7:$B$13,MATCH(MEDIAN($B52-Conversion!$B$15,2020,2050),Report_Scenarios!$A$7:$A$13,1))+(INDEX(Report_Scenarios!$B$7:$B$13,MIN(MATCH(MEDIAN($B52-Conversion!$B$15,2020,2050),Report_Scenarios!$A$7:$A$13,1)+1,7))-INDEX(Report_Scenarios!$B$7:$B$13,MATCH(MEDIAN($B52-Conversion!$B$15,2020,2050),Report_Scenarios!$A$7:$A$13,1)))*(MEDIAN($B52-Conversion!$B$15,2020,2050)-INDEX(Report_Scenarios!$A$7:$A$13,MATCH(MEDIAN($B52-Conversion!$B$15,2020,2050),Report_Scenarios!$A$7:$A$13,1)))/(INDEX(Report_Scenarios!$A$7:$A$13,MIN(MATCH(MEDIAN($B52-Conversion!$B$15,2020,2050),Report_Scenarios!$A$7:$A$13,1)+1,7))-INDEX(Report_Scenarios!$A$7:$A$13,MATCH(MEDIAN($B52-Conversion!$B$15,2020,2050),Report_Scenarios!$A$7:$A$13,1)))),IF($D52="Central",IF(INDEX(Report_Scenarios!$A$18:$A$24,MIN(MATCH(MEDIAN($B52-Conversion!$B$15,2020,2050),Report_Scenarios!$A$18:$A$24,1)+1,7))=INDEX(Report_Scenarios!$A$18:$A$24,MATCH(MEDIAN($B52-Conversion!$B$15,2020,2050),Report_Scenarios!$A$18:$A$24,1)),INDEX(Report_Scenarios!$B$18:$B$24,MATCH(MEDIAN($B52-Conversion!$B$15,2020,2050),Report_Scenarios!$A$18:$A$24,1)),INDEX(Report_Scenarios!$B$18:$B$24,MATCH(MEDIAN($B52-Conversion!$B$15,2020,2050),Report_Scenarios!$A$18:$A$24,1))+(INDEX(Report_Scenarios!$B$18:$B$24,MIN(MATCH(MEDIAN($B52-Conversion!$B$15,2020,2050),Report_Scenarios!$A$18:$A$24,1)+1,7))-INDEX(Report_Scenarios!$B$18:$B$24,MATCH(MEDIAN($B52-Conversion!$B$15,2020,2050),Report_Scenarios!$A$18:$A$24,1)))*(MEDIAN($B52-Conversion!$B$15,2020,2050)-INDEX(Report_Scenarios!$A$18:$A$24,MATCH(MEDIAN($B52-Conversion!$B$15,2020,2050),Report_Scenarios!$A$18:$A$24,1)))/(INDEX(Report_Scenarios!$A$18:$A$24,MIN(MATCH(MEDIAN($B52-Conversion!$B$15,2020,2050),Report_Scenarios!$A$18:$A$24,1)+1,7))-INDEX(Report_Scenarios!$A$18:$A$24,MATCH(MEDIAN($B52-Conversion!$B$15,2020,2050),Report_Scenarios!$A$18:$A$24,1)))),IF(INDEX(Report_Scenarios!$A$29:$A$35,MIN(MATCH(MEDIAN($B52-Conversion!$B$15,2020,2050),Report_Scenarios!$A$29:$A$35,1)+1,7))=INDEX(Report_Scenarios!$A$29:$A$35,MATCH(MEDIAN($B52-Conversion!$B$15,2020,2050),Report_Scenarios!$A$29:$A$35,1)),INDEX(Report_Scenarios!$B$29:$B$35,MATCH(MEDIAN($B52-Conversion!$B$15,2020,2050),Report_Scenarios!$A$29:$A$35,1)),INDEX(Report_Scenarios!$B$29:$B$35,MATCH(MEDIAN($B52-Conversion!$B$15,2020,2050),Report_Scenarios!$A$29:$A$35,1))+(INDEX(Report_Scenarios!$B$29:$B$35,MIN(MATCH(MEDIAN($B52-Conversion!$B$15,2020,2050),Report_Scenarios!$A$29:$A$35,1)+1,7))-INDEX(Report_Scenarios!$B$29:$B$35,MATCH(MEDIAN($B52-Conversion!$B$15,2020,2050),Report_Scenarios!$A$29:$A$35,1)))*(MEDIAN($B52-Conversion!$B$15,2020,2050)-INDEX(Report_Scenarios!$A$29:$A$35,MATCH(MEDIAN($B52-Conversion!$B$15,2020,2050),Report_Scenarios!$A$29:$A$35,1)))/(INDEX(Report_Scenarios!$A$29:$A$35,MIN(MATCH(MEDIAN($B52-Conversion!$B$15,2020,2050),Report_Scenarios!$A$29:$A$35,1)+1,7))-INDEX(Report_Scenarios!$A$29:$A$35,MATCH(MEDIAN($B52-Conversion!$B$15,2020,2050),Report_Scenarios!$A$29:$A$35,1))))))</f>
        <v/>
      </c>
      <c r="F52" s="23">
        <f>IF($D52="Conservative",IF(INDEX(Report_Scenarios!$A$7:$A$13,MIN(MATCH(MEDIAN($B52-Conversion!$B$15,2020,2050),Report_Scenarios!$A$7:$A$13,1)+1,7))=INDEX(Report_Scenarios!$A$7:$A$13,MATCH(MEDIAN($B52-Conversion!$B$15,2020,2050),Report_Scenarios!$A$7:$A$13,1)),INDEX(Report_Scenarios!$C$7:$C$13,MATCH(MEDIAN($B52-Conversion!$B$15,2020,2050),Report_Scenarios!$A$7:$A$13,1)),INDEX(Report_Scenarios!$C$7:$C$13,MATCH(MEDIAN($B52-Conversion!$B$15,2020,2050),Report_Scenarios!$A$7:$A$13,1))+(INDEX(Report_Scenarios!$C$7:$C$13,MIN(MATCH(MEDIAN($B52-Conversion!$B$15,2020,2050),Report_Scenarios!$A$7:$A$13,1)+1,7))-INDEX(Report_Scenarios!$C$7:$C$13,MATCH(MEDIAN($B52-Conversion!$B$15,2020,2050),Report_Scenarios!$A$7:$A$13,1)))*(MEDIAN($B52-Conversion!$B$15,2020,2050)-INDEX(Report_Scenarios!$A$7:$A$13,MATCH(MEDIAN($B52-Conversion!$B$15,2020,2050),Report_Scenarios!$A$7:$A$13,1)))/(INDEX(Report_Scenarios!$A$7:$A$13,MIN(MATCH(MEDIAN($B52-Conversion!$B$15,2020,2050),Report_Scenarios!$A$7:$A$13,1)+1,7))-INDEX(Report_Scenarios!$A$7:$A$13,MATCH(MEDIAN($B52-Conversion!$B$15,2020,2050),Report_Scenarios!$A$7:$A$13,1)))),IF($D52="Central",IF(INDEX(Report_Scenarios!$A$18:$A$24,MIN(MATCH(MEDIAN($B52-Conversion!$B$15,2020,2050),Report_Scenarios!$A$18:$A$24,1)+1,7))=INDEX(Report_Scenarios!$A$18:$A$24,MATCH(MEDIAN($B52-Conversion!$B$15,2020,2050),Report_Scenarios!$A$18:$A$24,1)),INDEX(Report_Scenarios!$C$18:$C$24,MATCH(MEDIAN($B52-Conversion!$B$15,2020,2050),Report_Scenarios!$A$18:$A$24,1)),INDEX(Report_Scenarios!$C$18:$C$24,MATCH(MEDIAN($B52-Conversion!$B$15,2020,2050),Report_Scenarios!$A$18:$A$24,1))+(INDEX(Report_Scenarios!$C$18:$C$24,MIN(MATCH(MEDIAN($B52-Conversion!$B$15,2020,2050),Report_Scenarios!$A$18:$A$24,1)+1,7))-INDEX(Report_Scenarios!$C$18:$C$24,MATCH(MEDIAN($B52-Conversion!$B$15,2020,2050),Report_Scenarios!$A$18:$A$24,1)))*(MEDIAN($B52-Conversion!$B$15,2020,2050)-INDEX(Report_Scenarios!$A$18:$A$24,MATCH(MEDIAN($B52-Conversion!$B$15,2020,2050),Report_Scenarios!$A$18:$A$24,1)))/(INDEX(Report_Scenarios!$A$18:$A$24,MIN(MATCH(MEDIAN($B52-Conversion!$B$15,2020,2050),Report_Scenarios!$A$18:$A$24,1)+1,7))-INDEX(Report_Scenarios!$A$18:$A$24,MATCH(MEDIAN($B52-Conversion!$B$15,2020,2050),Report_Scenarios!$A$18:$A$24,1)))),IF(INDEX(Report_Scenarios!$A$29:$A$35,MIN(MATCH(MEDIAN($B52-Conversion!$B$15,2020,2050),Report_Scenarios!$A$29:$A$35,1)+1,7))=INDEX(Report_Scenarios!$A$29:$A$35,MATCH(MEDIAN($B52-Conversion!$B$15,2020,2050),Report_Scenarios!$A$29:$A$35,1)),INDEX(Report_Scenarios!$C$29:$C$35,MATCH(MEDIAN($B52-Conversion!$B$15,2020,2050),Report_Scenarios!$A$29:$A$35,1)),INDEX(Report_Scenarios!$C$29:$C$35,MATCH(MEDIAN($B52-Conversion!$B$15,2020,2050),Report_Scenarios!$A$29:$A$35,1))+(INDEX(Report_Scenarios!$C$29:$C$35,MIN(MATCH(MEDIAN($B52-Conversion!$B$15,2020,2050),Report_Scenarios!$A$29:$A$35,1)+1,7))-INDEX(Report_Scenarios!$C$29:$C$35,MATCH(MEDIAN($B52-Conversion!$B$15,2020,2050),Report_Scenarios!$A$29:$A$35,1)))*(MEDIAN($B52-Conversion!$B$15,2020,2050)-INDEX(Report_Scenarios!$A$29:$A$35,MATCH(MEDIAN($B52-Conversion!$B$15,2020,2050),Report_Scenarios!$A$29:$A$35,1)))/(INDEX(Report_Scenarios!$A$29:$A$35,MIN(MATCH(MEDIAN($B52-Conversion!$B$15,2020,2050),Report_Scenarios!$A$29:$A$35,1)+1,7))-INDEX(Report_Scenarios!$A$29:$A$35,MATCH(MEDIAN($B52-Conversion!$B$15,2020,2050),Report_Scenarios!$A$29:$A$35,1))))))</f>
        <v/>
      </c>
      <c r="G52" s="23">
        <f>IF($D52="Conservative",IF(INDEX(Report_Scenarios!$A$7:$A$13,MIN(MATCH(MEDIAN($B52-Conversion!$B$15,2020,2050),Report_Scenarios!$A$7:$A$13,1)+1,7))=INDEX(Report_Scenarios!$A$7:$A$13,MATCH(MEDIAN($B52-Conversion!$B$15,2020,2050),Report_Scenarios!$A$7:$A$13,1)),INDEX(Report_Scenarios!$D$7:$D$13,MATCH(MEDIAN($B52-Conversion!$B$15,2020,2050),Report_Scenarios!$A$7:$A$13,1)),INDEX(Report_Scenarios!$D$7:$D$13,MATCH(MEDIAN($B52-Conversion!$B$15,2020,2050),Report_Scenarios!$A$7:$A$13,1))+(INDEX(Report_Scenarios!$D$7:$D$13,MIN(MATCH(MEDIAN($B52-Conversion!$B$15,2020,2050),Report_Scenarios!$A$7:$A$13,1)+1,7))-INDEX(Report_Scenarios!$D$7:$D$13,MATCH(MEDIAN($B52-Conversion!$B$15,2020,2050),Report_Scenarios!$A$7:$A$13,1)))*(MEDIAN($B52-Conversion!$B$15,2020,2050)-INDEX(Report_Scenarios!$A$7:$A$13,MATCH(MEDIAN($B52-Conversion!$B$15,2020,2050),Report_Scenarios!$A$7:$A$13,1)))/(INDEX(Report_Scenarios!$A$7:$A$13,MIN(MATCH(MEDIAN($B52-Conversion!$B$15,2020,2050),Report_Scenarios!$A$7:$A$13,1)+1,7))-INDEX(Report_Scenarios!$A$7:$A$13,MATCH(MEDIAN($B52-Conversion!$B$15,2020,2050),Report_Scenarios!$A$7:$A$13,1)))),IF($D52="Central",IF(INDEX(Report_Scenarios!$A$18:$A$24,MIN(MATCH(MEDIAN($B52-Conversion!$B$15,2020,2050),Report_Scenarios!$A$18:$A$24,1)+1,7))=INDEX(Report_Scenarios!$A$18:$A$24,MATCH(MEDIAN($B52-Conversion!$B$15,2020,2050),Report_Scenarios!$A$18:$A$24,1)),INDEX(Report_Scenarios!$D$18:$D$24,MATCH(MEDIAN($B52-Conversion!$B$15,2020,2050),Report_Scenarios!$A$18:$A$24,1)),INDEX(Report_Scenarios!$D$18:$D$24,MATCH(MEDIAN($B52-Conversion!$B$15,2020,2050),Report_Scenarios!$A$18:$A$24,1))+(INDEX(Report_Scenarios!$D$18:$D$24,MIN(MATCH(MEDIAN($B52-Conversion!$B$15,2020,2050),Report_Scenarios!$A$18:$A$24,1)+1,7))-INDEX(Report_Scenarios!$D$18:$D$24,MATCH(MEDIAN($B52-Conversion!$B$15,2020,2050),Report_Scenarios!$A$18:$A$24,1)))*(MEDIAN($B52-Conversion!$B$15,2020,2050)-INDEX(Report_Scenarios!$A$18:$A$24,MATCH(MEDIAN($B52-Conversion!$B$15,2020,2050),Report_Scenarios!$A$18:$A$24,1)))/(INDEX(Report_Scenarios!$A$18:$A$24,MIN(MATCH(MEDIAN($B52-Conversion!$B$15,2020,2050),Report_Scenarios!$A$18:$A$24,1)+1,7))-INDEX(Report_Scenarios!$A$18:$A$24,MATCH(MEDIAN($B52-Conversion!$B$15,2020,2050),Report_Scenarios!$A$18:$A$24,1)))),IF(INDEX(Report_Scenarios!$A$29:$A$35,MIN(MATCH(MEDIAN($B52-Conversion!$B$15,2020,2050),Report_Scenarios!$A$29:$A$35,1)+1,7))=INDEX(Report_Scenarios!$A$29:$A$35,MATCH(MEDIAN($B52-Conversion!$B$15,2020,2050),Report_Scenarios!$A$29:$A$35,1)),INDEX(Report_Scenarios!$D$29:$D$35,MATCH(MEDIAN($B52-Conversion!$B$15,2020,2050),Report_Scenarios!$A$29:$A$35,1)),INDEX(Report_Scenarios!$D$29:$D$35,MATCH(MEDIAN($B52-Conversion!$B$15,2020,2050),Report_Scenarios!$A$29:$A$35,1))+(INDEX(Report_Scenarios!$D$29:$D$35,MIN(MATCH(MEDIAN($B52-Conversion!$B$15,2020,2050),Report_Scenarios!$A$29:$A$35,1)+1,7))-INDEX(Report_Scenarios!$D$29:$D$35,MATCH(MEDIAN($B52-Conversion!$B$15,2020,2050),Report_Scenarios!$A$29:$A$35,1)))*(MEDIAN($B52-Conversion!$B$15,2020,2050)-INDEX(Report_Scenarios!$A$29:$A$35,MATCH(MEDIAN($B52-Conversion!$B$15,2020,2050),Report_Scenarios!$A$29:$A$35,1)))/(INDEX(Report_Scenarios!$A$29:$A$35,MIN(MATCH(MEDIAN($B52-Conversion!$B$15,2020,2050),Report_Scenarios!$A$29:$A$35,1)+1,7))-INDEX(Report_Scenarios!$A$29:$A$35,MATCH(MEDIAN($B52-Conversion!$B$15,2020,2050),Report_Scenarios!$A$29:$A$35,1))))))</f>
        <v/>
      </c>
      <c r="H52" s="23">
        <f>IF($D52="Conservative",IF(INDEX(Report_Scenarios!$A$7:$A$13,MIN(MATCH(MEDIAN($B52-Conversion!$B$15,2020,2050),Report_Scenarios!$A$7:$A$13,1)+1,7))=INDEX(Report_Scenarios!$A$7:$A$13,MATCH(MEDIAN($B52-Conversion!$B$15,2020,2050),Report_Scenarios!$A$7:$A$13,1)),INDEX(Report_Scenarios!$E$7:$E$13,MATCH(MEDIAN($B52-Conversion!$B$15,2020,2050),Report_Scenarios!$A$7:$A$13,1)),INDEX(Report_Scenarios!$E$7:$E$13,MATCH(MEDIAN($B52-Conversion!$B$15,2020,2050),Report_Scenarios!$A$7:$A$13,1))+(INDEX(Report_Scenarios!$E$7:$E$13,MIN(MATCH(MEDIAN($B52-Conversion!$B$15,2020,2050),Report_Scenarios!$A$7:$A$13,1)+1,7))-INDEX(Report_Scenarios!$E$7:$E$13,MATCH(MEDIAN($B52-Conversion!$B$15,2020,2050),Report_Scenarios!$A$7:$A$13,1)))*(MEDIAN($B52-Conversion!$B$15,2020,2050)-INDEX(Report_Scenarios!$A$7:$A$13,MATCH(MEDIAN($B52-Conversion!$B$15,2020,2050),Report_Scenarios!$A$7:$A$13,1)))/(INDEX(Report_Scenarios!$A$7:$A$13,MIN(MATCH(MEDIAN($B52-Conversion!$B$15,2020,2050),Report_Scenarios!$A$7:$A$13,1)+1,7))-INDEX(Report_Scenarios!$A$7:$A$13,MATCH(MEDIAN($B52-Conversion!$B$15,2020,2050),Report_Scenarios!$A$7:$A$13,1)))),IF($D52="Central",IF(INDEX(Report_Scenarios!$A$18:$A$24,MIN(MATCH(MEDIAN($B52-Conversion!$B$15,2020,2050),Report_Scenarios!$A$18:$A$24,1)+1,7))=INDEX(Report_Scenarios!$A$18:$A$24,MATCH(MEDIAN($B52-Conversion!$B$15,2020,2050),Report_Scenarios!$A$18:$A$24,1)),INDEX(Report_Scenarios!$E$18:$E$24,MATCH(MEDIAN($B52-Conversion!$B$15,2020,2050),Report_Scenarios!$A$18:$A$24,1)),INDEX(Report_Scenarios!$E$18:$E$24,MATCH(MEDIAN($B52-Conversion!$B$15,2020,2050),Report_Scenarios!$A$18:$A$24,1))+(INDEX(Report_Scenarios!$E$18:$E$24,MIN(MATCH(MEDIAN($B52-Conversion!$B$15,2020,2050),Report_Scenarios!$A$18:$A$24,1)+1,7))-INDEX(Report_Scenarios!$E$18:$E$24,MATCH(MEDIAN($B52-Conversion!$B$15,2020,2050),Report_Scenarios!$A$18:$A$24,1)))*(MEDIAN($B52-Conversion!$B$15,2020,2050)-INDEX(Report_Scenarios!$A$18:$A$24,MATCH(MEDIAN($B52-Conversion!$B$15,2020,2050),Report_Scenarios!$A$18:$A$24,1)))/(INDEX(Report_Scenarios!$A$18:$A$24,MIN(MATCH(MEDIAN($B52-Conversion!$B$15,2020,2050),Report_Scenarios!$A$18:$A$24,1)+1,7))-INDEX(Report_Scenarios!$A$18:$A$24,MATCH(MEDIAN($B52-Conversion!$B$15,2020,2050),Report_Scenarios!$A$18:$A$24,1)))),IF(INDEX(Report_Scenarios!$A$29:$A$35,MIN(MATCH(MEDIAN($B52-Conversion!$B$15,2020,2050),Report_Scenarios!$A$29:$A$35,1)+1,7))=INDEX(Report_Scenarios!$A$29:$A$35,MATCH(MEDIAN($B52-Conversion!$B$15,2020,2050),Report_Scenarios!$A$29:$A$35,1)),INDEX(Report_Scenarios!$E$29:$E$35,MATCH(MEDIAN($B52-Conversion!$B$15,2020,2050),Report_Scenarios!$A$29:$A$35,1)),INDEX(Report_Scenarios!$E$29:$E$35,MATCH(MEDIAN($B52-Conversion!$B$15,2020,2050),Report_Scenarios!$A$29:$A$35,1))+(INDEX(Report_Scenarios!$E$29:$E$35,MIN(MATCH(MEDIAN($B52-Conversion!$B$15,2020,2050),Report_Scenarios!$A$29:$A$35,1)+1,7))-INDEX(Report_Scenarios!$E$29:$E$35,MATCH(MEDIAN($B52-Conversion!$B$15,2020,2050),Report_Scenarios!$A$29:$A$35,1)))*(MEDIAN($B52-Conversion!$B$15,2020,2050)-INDEX(Report_Scenarios!$A$29:$A$35,MATCH(MEDIAN($B52-Conversion!$B$15,2020,2050),Report_Scenarios!$A$29:$A$35,1)))/(INDEX(Report_Scenarios!$A$29:$A$35,MIN(MATCH(MEDIAN($B52-Conversion!$B$15,2020,2050),Report_Scenarios!$A$29:$A$35,1)+1,7))-INDEX(Report_Scenarios!$A$29:$A$35,MATCH(MEDIAN($B52-Conversion!$B$15,2020,2050),Report_Scenarios!$A$29:$A$35,1))))))</f>
        <v/>
      </c>
      <c r="I52" s="23">
        <f>IF($D52="Conservative",IF(INDEX(Report_Scenarios!$A$7:$A$13,MIN(MATCH(MEDIAN($B52-Conversion!$B$15,2020,2050),Report_Scenarios!$A$7:$A$13,1)+1,7))=INDEX(Report_Scenarios!$A$7:$A$13,MATCH(MEDIAN($B52-Conversion!$B$15,2020,2050),Report_Scenarios!$A$7:$A$13,1)),INDEX(Report_Scenarios!$F$7:$F$13,MATCH(MEDIAN($B52-Conversion!$B$15,2020,2050),Report_Scenarios!$A$7:$A$13,1)),INDEX(Report_Scenarios!$F$7:$F$13,MATCH(MEDIAN($B52-Conversion!$B$15,2020,2050),Report_Scenarios!$A$7:$A$13,1))+(INDEX(Report_Scenarios!$F$7:$F$13,MIN(MATCH(MEDIAN($B52-Conversion!$B$15,2020,2050),Report_Scenarios!$A$7:$A$13,1)+1,7))-INDEX(Report_Scenarios!$F$7:$F$13,MATCH(MEDIAN($B52-Conversion!$B$15,2020,2050),Report_Scenarios!$A$7:$A$13,1)))*(MEDIAN($B52-Conversion!$B$15,2020,2050)-INDEX(Report_Scenarios!$A$7:$A$13,MATCH(MEDIAN($B52-Conversion!$B$15,2020,2050),Report_Scenarios!$A$7:$A$13,1)))/(INDEX(Report_Scenarios!$A$7:$A$13,MIN(MATCH(MEDIAN($B52-Conversion!$B$15,2020,2050),Report_Scenarios!$A$7:$A$13,1)+1,7))-INDEX(Report_Scenarios!$A$7:$A$13,MATCH(MEDIAN($B52-Conversion!$B$15,2020,2050),Report_Scenarios!$A$7:$A$13,1)))),IF($D52="Central",IF(INDEX(Report_Scenarios!$A$18:$A$24,MIN(MATCH(MEDIAN($B52-Conversion!$B$15,2020,2050),Report_Scenarios!$A$18:$A$24,1)+1,7))=INDEX(Report_Scenarios!$A$18:$A$24,MATCH(MEDIAN($B52-Conversion!$B$15,2020,2050),Report_Scenarios!$A$18:$A$24,1)),INDEX(Report_Scenarios!$F$18:$F$24,MATCH(MEDIAN($B52-Conversion!$B$15,2020,2050),Report_Scenarios!$A$18:$A$24,1)),INDEX(Report_Scenarios!$F$18:$F$24,MATCH(MEDIAN($B52-Conversion!$B$15,2020,2050),Report_Scenarios!$A$18:$A$24,1))+(INDEX(Report_Scenarios!$F$18:$F$24,MIN(MATCH(MEDIAN($B52-Conversion!$B$15,2020,2050),Report_Scenarios!$A$18:$A$24,1)+1,7))-INDEX(Report_Scenarios!$F$18:$F$24,MATCH(MEDIAN($B52-Conversion!$B$15,2020,2050),Report_Scenarios!$A$18:$A$24,1)))*(MEDIAN($B52-Conversion!$B$15,2020,2050)-INDEX(Report_Scenarios!$A$18:$A$24,MATCH(MEDIAN($B52-Conversion!$B$15,2020,2050),Report_Scenarios!$A$18:$A$24,1)))/(INDEX(Report_Scenarios!$A$18:$A$24,MIN(MATCH(MEDIAN($B52-Conversion!$B$15,2020,2050),Report_Scenarios!$A$18:$A$24,1)+1,7))-INDEX(Report_Scenarios!$A$18:$A$24,MATCH(MEDIAN($B52-Conversion!$B$15,2020,2050),Report_Scenarios!$A$18:$A$24,1)))),IF(INDEX(Report_Scenarios!$A$29:$A$35,MIN(MATCH(MEDIAN($B52-Conversion!$B$15,2020,2050),Report_Scenarios!$A$29:$A$35,1)+1,7))=INDEX(Report_Scenarios!$A$29:$A$35,MATCH(MEDIAN($B52-Conversion!$B$15,2020,2050),Report_Scenarios!$A$29:$A$35,1)),INDEX(Report_Scenarios!$F$29:$F$35,MATCH(MEDIAN($B52-Conversion!$B$15,2020,2050),Report_Scenarios!$A$29:$A$35,1)),INDEX(Report_Scenarios!$F$29:$F$35,MATCH(MEDIAN($B52-Conversion!$B$15,2020,2050),Report_Scenarios!$A$29:$A$35,1))+(INDEX(Report_Scenarios!$F$29:$F$35,MIN(MATCH(MEDIAN($B52-Conversion!$B$15,2020,2050),Report_Scenarios!$A$29:$A$35,1)+1,7))-INDEX(Report_Scenarios!$F$29:$F$35,MATCH(MEDIAN($B52-Conversion!$B$15,2020,2050),Report_Scenarios!$A$29:$A$35,1)))*(MEDIAN($B52-Conversion!$B$15,2020,2050)-INDEX(Report_Scenarios!$A$29:$A$35,MATCH(MEDIAN($B52-Conversion!$B$15,2020,2050),Report_Scenarios!$A$29:$A$35,1)))/(INDEX(Report_Scenarios!$A$29:$A$35,MIN(MATCH(MEDIAN($B52-Conversion!$B$15,2020,2050),Report_Scenarios!$A$29:$A$35,1)+1,7))-INDEX(Report_Scenarios!$A$29:$A$35,MATCH(MEDIAN($B52-Conversion!$B$15,2020,2050),Report_Scenarios!$A$29:$A$35,1))))))</f>
        <v/>
      </c>
      <c r="J52" s="23">
        <f>IF($D52="Conservative",IF(INDEX(Report_Scenarios!$A$7:$A$13,MIN(MATCH(MEDIAN($B52-Conversion!$B$15,2020,2050),Report_Scenarios!$A$7:$A$13,1)+1,7))=INDEX(Report_Scenarios!$A$7:$A$13,MATCH(MEDIAN($B52-Conversion!$B$15,2020,2050),Report_Scenarios!$A$7:$A$13,1)),INDEX(Report_Scenarios!$G$7:$G$13,MATCH(MEDIAN($B52-Conversion!$B$15,2020,2050),Report_Scenarios!$A$7:$A$13,1)),INDEX(Report_Scenarios!$G$7:$G$13,MATCH(MEDIAN($B52-Conversion!$B$15,2020,2050),Report_Scenarios!$A$7:$A$13,1))+(INDEX(Report_Scenarios!$G$7:$G$13,MIN(MATCH(MEDIAN($B52-Conversion!$B$15,2020,2050),Report_Scenarios!$A$7:$A$13,1)+1,7))-INDEX(Report_Scenarios!$G$7:$G$13,MATCH(MEDIAN($B52-Conversion!$B$15,2020,2050),Report_Scenarios!$A$7:$A$13,1)))*(MEDIAN($B52-Conversion!$B$15,2020,2050)-INDEX(Report_Scenarios!$A$7:$A$13,MATCH(MEDIAN($B52-Conversion!$B$15,2020,2050),Report_Scenarios!$A$7:$A$13,1)))/(INDEX(Report_Scenarios!$A$7:$A$13,MIN(MATCH(MEDIAN($B52-Conversion!$B$15,2020,2050),Report_Scenarios!$A$7:$A$13,1)+1,7))-INDEX(Report_Scenarios!$A$7:$A$13,MATCH(MEDIAN($B52-Conversion!$B$15,2020,2050),Report_Scenarios!$A$7:$A$13,1)))),IF($D52="Central",IF(INDEX(Report_Scenarios!$A$18:$A$24,MIN(MATCH(MEDIAN($B52-Conversion!$B$15,2020,2050),Report_Scenarios!$A$18:$A$24,1)+1,7))=INDEX(Report_Scenarios!$A$18:$A$24,MATCH(MEDIAN($B52-Conversion!$B$15,2020,2050),Report_Scenarios!$A$18:$A$24,1)),INDEX(Report_Scenarios!$G$18:$G$24,MATCH(MEDIAN($B52-Conversion!$B$15,2020,2050),Report_Scenarios!$A$18:$A$24,1)),INDEX(Report_Scenarios!$G$18:$G$24,MATCH(MEDIAN($B52-Conversion!$B$15,2020,2050),Report_Scenarios!$A$18:$A$24,1))+(INDEX(Report_Scenarios!$G$18:$G$24,MIN(MATCH(MEDIAN($B52-Conversion!$B$15,2020,2050),Report_Scenarios!$A$18:$A$24,1)+1,7))-INDEX(Report_Scenarios!$G$18:$G$24,MATCH(MEDIAN($B52-Conversion!$B$15,2020,2050),Report_Scenarios!$A$18:$A$24,1)))*(MEDIAN($B52-Conversion!$B$15,2020,2050)-INDEX(Report_Scenarios!$A$18:$A$24,MATCH(MEDIAN($B52-Conversion!$B$15,2020,2050),Report_Scenarios!$A$18:$A$24,1)))/(INDEX(Report_Scenarios!$A$18:$A$24,MIN(MATCH(MEDIAN($B52-Conversion!$B$15,2020,2050),Report_Scenarios!$A$18:$A$24,1)+1,7))-INDEX(Report_Scenarios!$A$18:$A$24,MATCH(MEDIAN($B52-Conversion!$B$15,2020,2050),Report_Scenarios!$A$18:$A$24,1)))),IF(INDEX(Report_Scenarios!$A$29:$A$35,MIN(MATCH(MEDIAN($B52-Conversion!$B$15,2020,2050),Report_Scenarios!$A$29:$A$35,1)+1,7))=INDEX(Report_Scenarios!$A$29:$A$35,MATCH(MEDIAN($B52-Conversion!$B$15,2020,2050),Report_Scenarios!$A$29:$A$35,1)),INDEX(Report_Scenarios!$G$29:$G$35,MATCH(MEDIAN($B52-Conversion!$B$15,2020,2050),Report_Scenarios!$A$29:$A$35,1)),INDEX(Report_Scenarios!$G$29:$G$35,MATCH(MEDIAN($B52-Conversion!$B$15,2020,2050),Report_Scenarios!$A$29:$A$35,1))+(INDEX(Report_Scenarios!$G$29:$G$35,MIN(MATCH(MEDIAN($B52-Conversion!$B$15,2020,2050),Report_Scenarios!$A$29:$A$35,1)+1,7))-INDEX(Report_Scenarios!$G$29:$G$35,MATCH(MEDIAN($B52-Conversion!$B$15,2020,2050),Report_Scenarios!$A$29:$A$35,1)))*(MEDIAN($B52-Conversion!$B$15,2020,2050)-INDEX(Report_Scenarios!$A$29:$A$35,MATCH(MEDIAN($B52-Conversion!$B$15,2020,2050),Report_Scenarios!$A$29:$A$35,1)))/(INDEX(Report_Scenarios!$A$29:$A$35,MIN(MATCH(MEDIAN($B52-Conversion!$B$15,2020,2050),Report_Scenarios!$A$29:$A$35,1)+1,7))-INDEX(Report_Scenarios!$A$29:$A$35,MATCH(MEDIAN($B52-Conversion!$B$15,2020,2050),Report_Scenarios!$A$29:$A$35,1))))))</f>
        <v/>
      </c>
      <c r="K52" s="23">
        <f>SUM(E52:J52)</f>
        <v/>
      </c>
      <c r="L52" s="23">
        <f>IF(R52&lt;&gt;"",R52,IF($K52=0,0,E52/$K52))</f>
        <v/>
      </c>
      <c r="M52" s="23">
        <f>IF(S52&lt;&gt;"",S52,IF($K52=0,0,F52/$K52))</f>
        <v/>
      </c>
      <c r="N52" s="23">
        <f>IF(T52&lt;&gt;"",T52,IF($K52=0,0,G52/$K52))</f>
        <v/>
      </c>
      <c r="O52" s="23">
        <f>IF(U52&lt;&gt;"",U52,IF($K52=0,0,H52/$K52))</f>
        <v/>
      </c>
      <c r="P52" s="23">
        <f>IF(V52&lt;&gt;"",V52,IF($K52=0,0,I52/$K52))</f>
        <v/>
      </c>
      <c r="Q52" s="23">
        <f>IF(W52&lt;&gt;"",W52,IF($K52=0,0,J52/$K52))</f>
        <v/>
      </c>
      <c r="R52" s="24" t="n"/>
      <c r="S52" s="24" t="n"/>
      <c r="T52" s="24" t="n"/>
      <c r="U52" s="24" t="n"/>
      <c r="V52" s="24" t="n"/>
      <c r="W52" s="24" t="n"/>
    </row>
    <row r="53">
      <c r="A53" s="4" t="inlineStr">
        <is>
          <t>CD</t>
        </is>
      </c>
      <c r="B53" s="4" t="n">
        <v>2050</v>
      </c>
      <c r="C53" s="4" t="inlineStr">
        <is>
          <t>Share_Min</t>
        </is>
      </c>
      <c r="D53" s="4">
        <f>Conversion!$B$18</f>
        <v/>
      </c>
      <c r="E53" s="23">
        <f>IF($D53="Conservative",IF(INDEX(Report_Scenarios!$A$7:$A$13,MIN(MATCH(MEDIAN($B53-Conversion!$B$15,2020,2050),Report_Scenarios!$A$7:$A$13,1)+1,7))=INDEX(Report_Scenarios!$A$7:$A$13,MATCH(MEDIAN($B53-Conversion!$B$15,2020,2050),Report_Scenarios!$A$7:$A$13,1)),INDEX(Report_Scenarios!$B$7:$B$13,MATCH(MEDIAN($B53-Conversion!$B$15,2020,2050),Report_Scenarios!$A$7:$A$13,1)),INDEX(Report_Scenarios!$B$7:$B$13,MATCH(MEDIAN($B53-Conversion!$B$15,2020,2050),Report_Scenarios!$A$7:$A$13,1))+(INDEX(Report_Scenarios!$B$7:$B$13,MIN(MATCH(MEDIAN($B53-Conversion!$B$15,2020,2050),Report_Scenarios!$A$7:$A$13,1)+1,7))-INDEX(Report_Scenarios!$B$7:$B$13,MATCH(MEDIAN($B53-Conversion!$B$15,2020,2050),Report_Scenarios!$A$7:$A$13,1)))*(MEDIAN($B53-Conversion!$B$15,2020,2050)-INDEX(Report_Scenarios!$A$7:$A$13,MATCH(MEDIAN($B53-Conversion!$B$15,2020,2050),Report_Scenarios!$A$7:$A$13,1)))/(INDEX(Report_Scenarios!$A$7:$A$13,MIN(MATCH(MEDIAN($B53-Conversion!$B$15,2020,2050),Report_Scenarios!$A$7:$A$13,1)+1,7))-INDEX(Report_Scenarios!$A$7:$A$13,MATCH(MEDIAN($B53-Conversion!$B$15,2020,2050),Report_Scenarios!$A$7:$A$13,1)))),IF($D53="Central",IF(INDEX(Report_Scenarios!$A$18:$A$24,MIN(MATCH(MEDIAN($B53-Conversion!$B$15,2020,2050),Report_Scenarios!$A$18:$A$24,1)+1,7))=INDEX(Report_Scenarios!$A$18:$A$24,MATCH(MEDIAN($B53-Conversion!$B$15,2020,2050),Report_Scenarios!$A$18:$A$24,1)),INDEX(Report_Scenarios!$B$18:$B$24,MATCH(MEDIAN($B53-Conversion!$B$15,2020,2050),Report_Scenarios!$A$18:$A$24,1)),INDEX(Report_Scenarios!$B$18:$B$24,MATCH(MEDIAN($B53-Conversion!$B$15,2020,2050),Report_Scenarios!$A$18:$A$24,1))+(INDEX(Report_Scenarios!$B$18:$B$24,MIN(MATCH(MEDIAN($B53-Conversion!$B$15,2020,2050),Report_Scenarios!$A$18:$A$24,1)+1,7))-INDEX(Report_Scenarios!$B$18:$B$24,MATCH(MEDIAN($B53-Conversion!$B$15,2020,2050),Report_Scenarios!$A$18:$A$24,1)))*(MEDIAN($B53-Conversion!$B$15,2020,2050)-INDEX(Report_Scenarios!$A$18:$A$24,MATCH(MEDIAN($B53-Conversion!$B$15,2020,2050),Report_Scenarios!$A$18:$A$24,1)))/(INDEX(Report_Scenarios!$A$18:$A$24,MIN(MATCH(MEDIAN($B53-Conversion!$B$15,2020,2050),Report_Scenarios!$A$18:$A$24,1)+1,7))-INDEX(Report_Scenarios!$A$18:$A$24,MATCH(MEDIAN($B53-Conversion!$B$15,2020,2050),Report_Scenarios!$A$18:$A$24,1)))),IF(INDEX(Report_Scenarios!$A$29:$A$35,MIN(MATCH(MEDIAN($B53-Conversion!$B$15,2020,2050),Report_Scenarios!$A$29:$A$35,1)+1,7))=INDEX(Report_Scenarios!$A$29:$A$35,MATCH(MEDIAN($B53-Conversion!$B$15,2020,2050),Report_Scenarios!$A$29:$A$35,1)),INDEX(Report_Scenarios!$B$29:$B$35,MATCH(MEDIAN($B53-Conversion!$B$15,2020,2050),Report_Scenarios!$A$29:$A$35,1)),INDEX(Report_Scenarios!$B$29:$B$35,MATCH(MEDIAN($B53-Conversion!$B$15,2020,2050),Report_Scenarios!$A$29:$A$35,1))+(INDEX(Report_Scenarios!$B$29:$B$35,MIN(MATCH(MEDIAN($B53-Conversion!$B$15,2020,2050),Report_Scenarios!$A$29:$A$35,1)+1,7))-INDEX(Report_Scenarios!$B$29:$B$35,MATCH(MEDIAN($B53-Conversion!$B$15,2020,2050),Report_Scenarios!$A$29:$A$35,1)))*(MEDIAN($B53-Conversion!$B$15,2020,2050)-INDEX(Report_Scenarios!$A$29:$A$35,MATCH(MEDIAN($B53-Conversion!$B$15,2020,2050),Report_Scenarios!$A$29:$A$35,1)))/(INDEX(Report_Scenarios!$A$29:$A$35,MIN(MATCH(MEDIAN($B53-Conversion!$B$15,2020,2050),Report_Scenarios!$A$29:$A$35,1)+1,7))-INDEX(Report_Scenarios!$A$29:$A$35,MATCH(MEDIAN($B53-Conversion!$B$15,2020,2050),Report_Scenarios!$A$29:$A$35,1))))))</f>
        <v/>
      </c>
      <c r="F53" s="23">
        <f>IF($D53="Conservative",IF(INDEX(Report_Scenarios!$A$7:$A$13,MIN(MATCH(MEDIAN($B53-Conversion!$B$15,2020,2050),Report_Scenarios!$A$7:$A$13,1)+1,7))=INDEX(Report_Scenarios!$A$7:$A$13,MATCH(MEDIAN($B53-Conversion!$B$15,2020,2050),Report_Scenarios!$A$7:$A$13,1)),INDEX(Report_Scenarios!$C$7:$C$13,MATCH(MEDIAN($B53-Conversion!$B$15,2020,2050),Report_Scenarios!$A$7:$A$13,1)),INDEX(Report_Scenarios!$C$7:$C$13,MATCH(MEDIAN($B53-Conversion!$B$15,2020,2050),Report_Scenarios!$A$7:$A$13,1))+(INDEX(Report_Scenarios!$C$7:$C$13,MIN(MATCH(MEDIAN($B53-Conversion!$B$15,2020,2050),Report_Scenarios!$A$7:$A$13,1)+1,7))-INDEX(Report_Scenarios!$C$7:$C$13,MATCH(MEDIAN($B53-Conversion!$B$15,2020,2050),Report_Scenarios!$A$7:$A$13,1)))*(MEDIAN($B53-Conversion!$B$15,2020,2050)-INDEX(Report_Scenarios!$A$7:$A$13,MATCH(MEDIAN($B53-Conversion!$B$15,2020,2050),Report_Scenarios!$A$7:$A$13,1)))/(INDEX(Report_Scenarios!$A$7:$A$13,MIN(MATCH(MEDIAN($B53-Conversion!$B$15,2020,2050),Report_Scenarios!$A$7:$A$13,1)+1,7))-INDEX(Report_Scenarios!$A$7:$A$13,MATCH(MEDIAN($B53-Conversion!$B$15,2020,2050),Report_Scenarios!$A$7:$A$13,1)))),IF($D53="Central",IF(INDEX(Report_Scenarios!$A$18:$A$24,MIN(MATCH(MEDIAN($B53-Conversion!$B$15,2020,2050),Report_Scenarios!$A$18:$A$24,1)+1,7))=INDEX(Report_Scenarios!$A$18:$A$24,MATCH(MEDIAN($B53-Conversion!$B$15,2020,2050),Report_Scenarios!$A$18:$A$24,1)),INDEX(Report_Scenarios!$C$18:$C$24,MATCH(MEDIAN($B53-Conversion!$B$15,2020,2050),Report_Scenarios!$A$18:$A$24,1)),INDEX(Report_Scenarios!$C$18:$C$24,MATCH(MEDIAN($B53-Conversion!$B$15,2020,2050),Report_Scenarios!$A$18:$A$24,1))+(INDEX(Report_Scenarios!$C$18:$C$24,MIN(MATCH(MEDIAN($B53-Conversion!$B$15,2020,2050),Report_Scenarios!$A$18:$A$24,1)+1,7))-INDEX(Report_Scenarios!$C$18:$C$24,MATCH(MEDIAN($B53-Conversion!$B$15,2020,2050),Report_Scenarios!$A$18:$A$24,1)))*(MEDIAN($B53-Conversion!$B$15,2020,2050)-INDEX(Report_Scenarios!$A$18:$A$24,MATCH(MEDIAN($B53-Conversion!$B$15,2020,2050),Report_Scenarios!$A$18:$A$24,1)))/(INDEX(Report_Scenarios!$A$18:$A$24,MIN(MATCH(MEDIAN($B53-Conversion!$B$15,2020,2050),Report_Scenarios!$A$18:$A$24,1)+1,7))-INDEX(Report_Scenarios!$A$18:$A$24,MATCH(MEDIAN($B53-Conversion!$B$15,2020,2050),Report_Scenarios!$A$18:$A$24,1)))),IF(INDEX(Report_Scenarios!$A$29:$A$35,MIN(MATCH(MEDIAN($B53-Conversion!$B$15,2020,2050),Report_Scenarios!$A$29:$A$35,1)+1,7))=INDEX(Report_Scenarios!$A$29:$A$35,MATCH(MEDIAN($B53-Conversion!$B$15,2020,2050),Report_Scenarios!$A$29:$A$35,1)),INDEX(Report_Scenarios!$C$29:$C$35,MATCH(MEDIAN($B53-Conversion!$B$15,2020,2050),Report_Scenarios!$A$29:$A$35,1)),INDEX(Report_Scenarios!$C$29:$C$35,MATCH(MEDIAN($B53-Conversion!$B$15,2020,2050),Report_Scenarios!$A$29:$A$35,1))+(INDEX(Report_Scenarios!$C$29:$C$35,MIN(MATCH(MEDIAN($B53-Conversion!$B$15,2020,2050),Report_Scenarios!$A$29:$A$35,1)+1,7))-INDEX(Report_Scenarios!$C$29:$C$35,MATCH(MEDIAN($B53-Conversion!$B$15,2020,2050),Report_Scenarios!$A$29:$A$35,1)))*(MEDIAN($B53-Conversion!$B$15,2020,2050)-INDEX(Report_Scenarios!$A$29:$A$35,MATCH(MEDIAN($B53-Conversion!$B$15,2020,2050),Report_Scenarios!$A$29:$A$35,1)))/(INDEX(Report_Scenarios!$A$29:$A$35,MIN(MATCH(MEDIAN($B53-Conversion!$B$15,2020,2050),Report_Scenarios!$A$29:$A$35,1)+1,7))-INDEX(Report_Scenarios!$A$29:$A$35,MATCH(MEDIAN($B53-Conversion!$B$15,2020,2050),Report_Scenarios!$A$29:$A$35,1))))))</f>
        <v/>
      </c>
      <c r="G53" s="23">
        <f>IF($D53="Conservative",IF(INDEX(Report_Scenarios!$A$7:$A$13,MIN(MATCH(MEDIAN($B53-Conversion!$B$15,2020,2050),Report_Scenarios!$A$7:$A$13,1)+1,7))=INDEX(Report_Scenarios!$A$7:$A$13,MATCH(MEDIAN($B53-Conversion!$B$15,2020,2050),Report_Scenarios!$A$7:$A$13,1)),INDEX(Report_Scenarios!$D$7:$D$13,MATCH(MEDIAN($B53-Conversion!$B$15,2020,2050),Report_Scenarios!$A$7:$A$13,1)),INDEX(Report_Scenarios!$D$7:$D$13,MATCH(MEDIAN($B53-Conversion!$B$15,2020,2050),Report_Scenarios!$A$7:$A$13,1))+(INDEX(Report_Scenarios!$D$7:$D$13,MIN(MATCH(MEDIAN($B53-Conversion!$B$15,2020,2050),Report_Scenarios!$A$7:$A$13,1)+1,7))-INDEX(Report_Scenarios!$D$7:$D$13,MATCH(MEDIAN($B53-Conversion!$B$15,2020,2050),Report_Scenarios!$A$7:$A$13,1)))*(MEDIAN($B53-Conversion!$B$15,2020,2050)-INDEX(Report_Scenarios!$A$7:$A$13,MATCH(MEDIAN($B53-Conversion!$B$15,2020,2050),Report_Scenarios!$A$7:$A$13,1)))/(INDEX(Report_Scenarios!$A$7:$A$13,MIN(MATCH(MEDIAN($B53-Conversion!$B$15,2020,2050),Report_Scenarios!$A$7:$A$13,1)+1,7))-INDEX(Report_Scenarios!$A$7:$A$13,MATCH(MEDIAN($B53-Conversion!$B$15,2020,2050),Report_Scenarios!$A$7:$A$13,1)))),IF($D53="Central",IF(INDEX(Report_Scenarios!$A$18:$A$24,MIN(MATCH(MEDIAN($B53-Conversion!$B$15,2020,2050),Report_Scenarios!$A$18:$A$24,1)+1,7))=INDEX(Report_Scenarios!$A$18:$A$24,MATCH(MEDIAN($B53-Conversion!$B$15,2020,2050),Report_Scenarios!$A$18:$A$24,1)),INDEX(Report_Scenarios!$D$18:$D$24,MATCH(MEDIAN($B53-Conversion!$B$15,2020,2050),Report_Scenarios!$A$18:$A$24,1)),INDEX(Report_Scenarios!$D$18:$D$24,MATCH(MEDIAN($B53-Conversion!$B$15,2020,2050),Report_Scenarios!$A$18:$A$24,1))+(INDEX(Report_Scenarios!$D$18:$D$24,MIN(MATCH(MEDIAN($B53-Conversion!$B$15,2020,2050),Report_Scenarios!$A$18:$A$24,1)+1,7))-INDEX(Report_Scenarios!$D$18:$D$24,MATCH(MEDIAN($B53-Conversion!$B$15,2020,2050),Report_Scenarios!$A$18:$A$24,1)))*(MEDIAN($B53-Conversion!$B$15,2020,2050)-INDEX(Report_Scenarios!$A$18:$A$24,MATCH(MEDIAN($B53-Conversion!$B$15,2020,2050),Report_Scenarios!$A$18:$A$24,1)))/(INDEX(Report_Scenarios!$A$18:$A$24,MIN(MATCH(MEDIAN($B53-Conversion!$B$15,2020,2050),Report_Scenarios!$A$18:$A$24,1)+1,7))-INDEX(Report_Scenarios!$A$18:$A$24,MATCH(MEDIAN($B53-Conversion!$B$15,2020,2050),Report_Scenarios!$A$18:$A$24,1)))),IF(INDEX(Report_Scenarios!$A$29:$A$35,MIN(MATCH(MEDIAN($B53-Conversion!$B$15,2020,2050),Report_Scenarios!$A$29:$A$35,1)+1,7))=INDEX(Report_Scenarios!$A$29:$A$35,MATCH(MEDIAN($B53-Conversion!$B$15,2020,2050),Report_Scenarios!$A$29:$A$35,1)),INDEX(Report_Scenarios!$D$29:$D$35,MATCH(MEDIAN($B53-Conversion!$B$15,2020,2050),Report_Scenarios!$A$29:$A$35,1)),INDEX(Report_Scenarios!$D$29:$D$35,MATCH(MEDIAN($B53-Conversion!$B$15,2020,2050),Report_Scenarios!$A$29:$A$35,1))+(INDEX(Report_Scenarios!$D$29:$D$35,MIN(MATCH(MEDIAN($B53-Conversion!$B$15,2020,2050),Report_Scenarios!$A$29:$A$35,1)+1,7))-INDEX(Report_Scenarios!$D$29:$D$35,MATCH(MEDIAN($B53-Conversion!$B$15,2020,2050),Report_Scenarios!$A$29:$A$35,1)))*(MEDIAN($B53-Conversion!$B$15,2020,2050)-INDEX(Report_Scenarios!$A$29:$A$35,MATCH(MEDIAN($B53-Conversion!$B$15,2020,2050),Report_Scenarios!$A$29:$A$35,1)))/(INDEX(Report_Scenarios!$A$29:$A$35,MIN(MATCH(MEDIAN($B53-Conversion!$B$15,2020,2050),Report_Scenarios!$A$29:$A$35,1)+1,7))-INDEX(Report_Scenarios!$A$29:$A$35,MATCH(MEDIAN($B53-Conversion!$B$15,2020,2050),Report_Scenarios!$A$29:$A$35,1))))))</f>
        <v/>
      </c>
      <c r="H53" s="23">
        <f>IF($D53="Conservative",IF(INDEX(Report_Scenarios!$A$7:$A$13,MIN(MATCH(MEDIAN($B53-Conversion!$B$15,2020,2050),Report_Scenarios!$A$7:$A$13,1)+1,7))=INDEX(Report_Scenarios!$A$7:$A$13,MATCH(MEDIAN($B53-Conversion!$B$15,2020,2050),Report_Scenarios!$A$7:$A$13,1)),INDEX(Report_Scenarios!$E$7:$E$13,MATCH(MEDIAN($B53-Conversion!$B$15,2020,2050),Report_Scenarios!$A$7:$A$13,1)),INDEX(Report_Scenarios!$E$7:$E$13,MATCH(MEDIAN($B53-Conversion!$B$15,2020,2050),Report_Scenarios!$A$7:$A$13,1))+(INDEX(Report_Scenarios!$E$7:$E$13,MIN(MATCH(MEDIAN($B53-Conversion!$B$15,2020,2050),Report_Scenarios!$A$7:$A$13,1)+1,7))-INDEX(Report_Scenarios!$E$7:$E$13,MATCH(MEDIAN($B53-Conversion!$B$15,2020,2050),Report_Scenarios!$A$7:$A$13,1)))*(MEDIAN($B53-Conversion!$B$15,2020,2050)-INDEX(Report_Scenarios!$A$7:$A$13,MATCH(MEDIAN($B53-Conversion!$B$15,2020,2050),Report_Scenarios!$A$7:$A$13,1)))/(INDEX(Report_Scenarios!$A$7:$A$13,MIN(MATCH(MEDIAN($B53-Conversion!$B$15,2020,2050),Report_Scenarios!$A$7:$A$13,1)+1,7))-INDEX(Report_Scenarios!$A$7:$A$13,MATCH(MEDIAN($B53-Conversion!$B$15,2020,2050),Report_Scenarios!$A$7:$A$13,1)))),IF($D53="Central",IF(INDEX(Report_Scenarios!$A$18:$A$24,MIN(MATCH(MEDIAN($B53-Conversion!$B$15,2020,2050),Report_Scenarios!$A$18:$A$24,1)+1,7))=INDEX(Report_Scenarios!$A$18:$A$24,MATCH(MEDIAN($B53-Conversion!$B$15,2020,2050),Report_Scenarios!$A$18:$A$24,1)),INDEX(Report_Scenarios!$E$18:$E$24,MATCH(MEDIAN($B53-Conversion!$B$15,2020,2050),Report_Scenarios!$A$18:$A$24,1)),INDEX(Report_Scenarios!$E$18:$E$24,MATCH(MEDIAN($B53-Conversion!$B$15,2020,2050),Report_Scenarios!$A$18:$A$24,1))+(INDEX(Report_Scenarios!$E$18:$E$24,MIN(MATCH(MEDIAN($B53-Conversion!$B$15,2020,2050),Report_Scenarios!$A$18:$A$24,1)+1,7))-INDEX(Report_Scenarios!$E$18:$E$24,MATCH(MEDIAN($B53-Conversion!$B$15,2020,2050),Report_Scenarios!$A$18:$A$24,1)))*(MEDIAN($B53-Conversion!$B$15,2020,2050)-INDEX(Report_Scenarios!$A$18:$A$24,MATCH(MEDIAN($B53-Conversion!$B$15,2020,2050),Report_Scenarios!$A$18:$A$24,1)))/(INDEX(Report_Scenarios!$A$18:$A$24,MIN(MATCH(MEDIAN($B53-Conversion!$B$15,2020,2050),Report_Scenarios!$A$18:$A$24,1)+1,7))-INDEX(Report_Scenarios!$A$18:$A$24,MATCH(MEDIAN($B53-Conversion!$B$15,2020,2050),Report_Scenarios!$A$18:$A$24,1)))),IF(INDEX(Report_Scenarios!$A$29:$A$35,MIN(MATCH(MEDIAN($B53-Conversion!$B$15,2020,2050),Report_Scenarios!$A$29:$A$35,1)+1,7))=INDEX(Report_Scenarios!$A$29:$A$35,MATCH(MEDIAN($B53-Conversion!$B$15,2020,2050),Report_Scenarios!$A$29:$A$35,1)),INDEX(Report_Scenarios!$E$29:$E$35,MATCH(MEDIAN($B53-Conversion!$B$15,2020,2050),Report_Scenarios!$A$29:$A$35,1)),INDEX(Report_Scenarios!$E$29:$E$35,MATCH(MEDIAN($B53-Conversion!$B$15,2020,2050),Report_Scenarios!$A$29:$A$35,1))+(INDEX(Report_Scenarios!$E$29:$E$35,MIN(MATCH(MEDIAN($B53-Conversion!$B$15,2020,2050),Report_Scenarios!$A$29:$A$35,1)+1,7))-INDEX(Report_Scenarios!$E$29:$E$35,MATCH(MEDIAN($B53-Conversion!$B$15,2020,2050),Report_Scenarios!$A$29:$A$35,1)))*(MEDIAN($B53-Conversion!$B$15,2020,2050)-INDEX(Report_Scenarios!$A$29:$A$35,MATCH(MEDIAN($B53-Conversion!$B$15,2020,2050),Report_Scenarios!$A$29:$A$35,1)))/(INDEX(Report_Scenarios!$A$29:$A$35,MIN(MATCH(MEDIAN($B53-Conversion!$B$15,2020,2050),Report_Scenarios!$A$29:$A$35,1)+1,7))-INDEX(Report_Scenarios!$A$29:$A$35,MATCH(MEDIAN($B53-Conversion!$B$15,2020,2050),Report_Scenarios!$A$29:$A$35,1))))))</f>
        <v/>
      </c>
      <c r="I53" s="23">
        <f>IF($D53="Conservative",IF(INDEX(Report_Scenarios!$A$7:$A$13,MIN(MATCH(MEDIAN($B53-Conversion!$B$15,2020,2050),Report_Scenarios!$A$7:$A$13,1)+1,7))=INDEX(Report_Scenarios!$A$7:$A$13,MATCH(MEDIAN($B53-Conversion!$B$15,2020,2050),Report_Scenarios!$A$7:$A$13,1)),INDEX(Report_Scenarios!$F$7:$F$13,MATCH(MEDIAN($B53-Conversion!$B$15,2020,2050),Report_Scenarios!$A$7:$A$13,1)),INDEX(Report_Scenarios!$F$7:$F$13,MATCH(MEDIAN($B53-Conversion!$B$15,2020,2050),Report_Scenarios!$A$7:$A$13,1))+(INDEX(Report_Scenarios!$F$7:$F$13,MIN(MATCH(MEDIAN($B53-Conversion!$B$15,2020,2050),Report_Scenarios!$A$7:$A$13,1)+1,7))-INDEX(Report_Scenarios!$F$7:$F$13,MATCH(MEDIAN($B53-Conversion!$B$15,2020,2050),Report_Scenarios!$A$7:$A$13,1)))*(MEDIAN($B53-Conversion!$B$15,2020,2050)-INDEX(Report_Scenarios!$A$7:$A$13,MATCH(MEDIAN($B53-Conversion!$B$15,2020,2050),Report_Scenarios!$A$7:$A$13,1)))/(INDEX(Report_Scenarios!$A$7:$A$13,MIN(MATCH(MEDIAN($B53-Conversion!$B$15,2020,2050),Report_Scenarios!$A$7:$A$13,1)+1,7))-INDEX(Report_Scenarios!$A$7:$A$13,MATCH(MEDIAN($B53-Conversion!$B$15,2020,2050),Report_Scenarios!$A$7:$A$13,1)))),IF($D53="Central",IF(INDEX(Report_Scenarios!$A$18:$A$24,MIN(MATCH(MEDIAN($B53-Conversion!$B$15,2020,2050),Report_Scenarios!$A$18:$A$24,1)+1,7))=INDEX(Report_Scenarios!$A$18:$A$24,MATCH(MEDIAN($B53-Conversion!$B$15,2020,2050),Report_Scenarios!$A$18:$A$24,1)),INDEX(Report_Scenarios!$F$18:$F$24,MATCH(MEDIAN($B53-Conversion!$B$15,2020,2050),Report_Scenarios!$A$18:$A$24,1)),INDEX(Report_Scenarios!$F$18:$F$24,MATCH(MEDIAN($B53-Conversion!$B$15,2020,2050),Report_Scenarios!$A$18:$A$24,1))+(INDEX(Report_Scenarios!$F$18:$F$24,MIN(MATCH(MEDIAN($B53-Conversion!$B$15,2020,2050),Report_Scenarios!$A$18:$A$24,1)+1,7))-INDEX(Report_Scenarios!$F$18:$F$24,MATCH(MEDIAN($B53-Conversion!$B$15,2020,2050),Report_Scenarios!$A$18:$A$24,1)))*(MEDIAN($B53-Conversion!$B$15,2020,2050)-INDEX(Report_Scenarios!$A$18:$A$24,MATCH(MEDIAN($B53-Conversion!$B$15,2020,2050),Report_Scenarios!$A$18:$A$24,1)))/(INDEX(Report_Scenarios!$A$18:$A$24,MIN(MATCH(MEDIAN($B53-Conversion!$B$15,2020,2050),Report_Scenarios!$A$18:$A$24,1)+1,7))-INDEX(Report_Scenarios!$A$18:$A$24,MATCH(MEDIAN($B53-Conversion!$B$15,2020,2050),Report_Scenarios!$A$18:$A$24,1)))),IF(INDEX(Report_Scenarios!$A$29:$A$35,MIN(MATCH(MEDIAN($B53-Conversion!$B$15,2020,2050),Report_Scenarios!$A$29:$A$35,1)+1,7))=INDEX(Report_Scenarios!$A$29:$A$35,MATCH(MEDIAN($B53-Conversion!$B$15,2020,2050),Report_Scenarios!$A$29:$A$35,1)),INDEX(Report_Scenarios!$F$29:$F$35,MATCH(MEDIAN($B53-Conversion!$B$15,2020,2050),Report_Scenarios!$A$29:$A$35,1)),INDEX(Report_Scenarios!$F$29:$F$35,MATCH(MEDIAN($B53-Conversion!$B$15,2020,2050),Report_Scenarios!$A$29:$A$35,1))+(INDEX(Report_Scenarios!$F$29:$F$35,MIN(MATCH(MEDIAN($B53-Conversion!$B$15,2020,2050),Report_Scenarios!$A$29:$A$35,1)+1,7))-INDEX(Report_Scenarios!$F$29:$F$35,MATCH(MEDIAN($B53-Conversion!$B$15,2020,2050),Report_Scenarios!$A$29:$A$35,1)))*(MEDIAN($B53-Conversion!$B$15,2020,2050)-INDEX(Report_Scenarios!$A$29:$A$35,MATCH(MEDIAN($B53-Conversion!$B$15,2020,2050),Report_Scenarios!$A$29:$A$35,1)))/(INDEX(Report_Scenarios!$A$29:$A$35,MIN(MATCH(MEDIAN($B53-Conversion!$B$15,2020,2050),Report_Scenarios!$A$29:$A$35,1)+1,7))-INDEX(Report_Scenarios!$A$29:$A$35,MATCH(MEDIAN($B53-Conversion!$B$15,2020,2050),Report_Scenarios!$A$29:$A$35,1))))))</f>
        <v/>
      </c>
      <c r="J53" s="23">
        <f>IF($D53="Conservative",IF(INDEX(Report_Scenarios!$A$7:$A$13,MIN(MATCH(MEDIAN($B53-Conversion!$B$15,2020,2050),Report_Scenarios!$A$7:$A$13,1)+1,7))=INDEX(Report_Scenarios!$A$7:$A$13,MATCH(MEDIAN($B53-Conversion!$B$15,2020,2050),Report_Scenarios!$A$7:$A$13,1)),INDEX(Report_Scenarios!$G$7:$G$13,MATCH(MEDIAN($B53-Conversion!$B$15,2020,2050),Report_Scenarios!$A$7:$A$13,1)),INDEX(Report_Scenarios!$G$7:$G$13,MATCH(MEDIAN($B53-Conversion!$B$15,2020,2050),Report_Scenarios!$A$7:$A$13,1))+(INDEX(Report_Scenarios!$G$7:$G$13,MIN(MATCH(MEDIAN($B53-Conversion!$B$15,2020,2050),Report_Scenarios!$A$7:$A$13,1)+1,7))-INDEX(Report_Scenarios!$G$7:$G$13,MATCH(MEDIAN($B53-Conversion!$B$15,2020,2050),Report_Scenarios!$A$7:$A$13,1)))*(MEDIAN($B53-Conversion!$B$15,2020,2050)-INDEX(Report_Scenarios!$A$7:$A$13,MATCH(MEDIAN($B53-Conversion!$B$15,2020,2050),Report_Scenarios!$A$7:$A$13,1)))/(INDEX(Report_Scenarios!$A$7:$A$13,MIN(MATCH(MEDIAN($B53-Conversion!$B$15,2020,2050),Report_Scenarios!$A$7:$A$13,1)+1,7))-INDEX(Report_Scenarios!$A$7:$A$13,MATCH(MEDIAN($B53-Conversion!$B$15,2020,2050),Report_Scenarios!$A$7:$A$13,1)))),IF($D53="Central",IF(INDEX(Report_Scenarios!$A$18:$A$24,MIN(MATCH(MEDIAN($B53-Conversion!$B$15,2020,2050),Report_Scenarios!$A$18:$A$24,1)+1,7))=INDEX(Report_Scenarios!$A$18:$A$24,MATCH(MEDIAN($B53-Conversion!$B$15,2020,2050),Report_Scenarios!$A$18:$A$24,1)),INDEX(Report_Scenarios!$G$18:$G$24,MATCH(MEDIAN($B53-Conversion!$B$15,2020,2050),Report_Scenarios!$A$18:$A$24,1)),INDEX(Report_Scenarios!$G$18:$G$24,MATCH(MEDIAN($B53-Conversion!$B$15,2020,2050),Report_Scenarios!$A$18:$A$24,1))+(INDEX(Report_Scenarios!$G$18:$G$24,MIN(MATCH(MEDIAN($B53-Conversion!$B$15,2020,2050),Report_Scenarios!$A$18:$A$24,1)+1,7))-INDEX(Report_Scenarios!$G$18:$G$24,MATCH(MEDIAN($B53-Conversion!$B$15,2020,2050),Report_Scenarios!$A$18:$A$24,1)))*(MEDIAN($B53-Conversion!$B$15,2020,2050)-INDEX(Report_Scenarios!$A$18:$A$24,MATCH(MEDIAN($B53-Conversion!$B$15,2020,2050),Report_Scenarios!$A$18:$A$24,1)))/(INDEX(Report_Scenarios!$A$18:$A$24,MIN(MATCH(MEDIAN($B53-Conversion!$B$15,2020,2050),Report_Scenarios!$A$18:$A$24,1)+1,7))-INDEX(Report_Scenarios!$A$18:$A$24,MATCH(MEDIAN($B53-Conversion!$B$15,2020,2050),Report_Scenarios!$A$18:$A$24,1)))),IF(INDEX(Report_Scenarios!$A$29:$A$35,MIN(MATCH(MEDIAN($B53-Conversion!$B$15,2020,2050),Report_Scenarios!$A$29:$A$35,1)+1,7))=INDEX(Report_Scenarios!$A$29:$A$35,MATCH(MEDIAN($B53-Conversion!$B$15,2020,2050),Report_Scenarios!$A$29:$A$35,1)),INDEX(Report_Scenarios!$G$29:$G$35,MATCH(MEDIAN($B53-Conversion!$B$15,2020,2050),Report_Scenarios!$A$29:$A$35,1)),INDEX(Report_Scenarios!$G$29:$G$35,MATCH(MEDIAN($B53-Conversion!$B$15,2020,2050),Report_Scenarios!$A$29:$A$35,1))+(INDEX(Report_Scenarios!$G$29:$G$35,MIN(MATCH(MEDIAN($B53-Conversion!$B$15,2020,2050),Report_Scenarios!$A$29:$A$35,1)+1,7))-INDEX(Report_Scenarios!$G$29:$G$35,MATCH(MEDIAN($B53-Conversion!$B$15,2020,2050),Report_Scenarios!$A$29:$A$35,1)))*(MEDIAN($B53-Conversion!$B$15,2020,2050)-INDEX(Report_Scenarios!$A$29:$A$35,MATCH(MEDIAN($B53-Conversion!$B$15,2020,2050),Report_Scenarios!$A$29:$A$35,1)))/(INDEX(Report_Scenarios!$A$29:$A$35,MIN(MATCH(MEDIAN($B53-Conversion!$B$15,2020,2050),Report_Scenarios!$A$29:$A$35,1)+1,7))-INDEX(Report_Scenarios!$A$29:$A$35,MATCH(MEDIAN($B53-Conversion!$B$15,2020,2050),Report_Scenarios!$A$29:$A$35,1))))))</f>
        <v/>
      </c>
      <c r="K53" s="23">
        <f>SUM(E53:J53)</f>
        <v/>
      </c>
      <c r="L53" s="23">
        <f>IF(R53&lt;&gt;"",R53,IF($K53=0,0,E53/$K53))</f>
        <v/>
      </c>
      <c r="M53" s="23">
        <f>IF(S53&lt;&gt;"",S53,IF($K53=0,0,F53/$K53))</f>
        <v/>
      </c>
      <c r="N53" s="23">
        <f>IF(T53&lt;&gt;"",T53,IF($K53=0,0,G53/$K53))</f>
        <v/>
      </c>
      <c r="O53" s="23">
        <f>IF(U53&lt;&gt;"",U53,IF($K53=0,0,H53/$K53))</f>
        <v/>
      </c>
      <c r="P53" s="23">
        <f>IF(V53&lt;&gt;"",V53,IF($K53=0,0,I53/$K53))</f>
        <v/>
      </c>
      <c r="Q53" s="23">
        <f>IF(W53&lt;&gt;"",W53,IF($K53=0,0,J53/$K53))</f>
        <v/>
      </c>
      <c r="R53" s="24" t="n"/>
      <c r="S53" s="24" t="n"/>
      <c r="T53" s="24" t="n"/>
      <c r="U53" s="24" t="n"/>
      <c r="V53" s="24" t="n"/>
      <c r="W53" s="24" t="n"/>
    </row>
    <row r="54">
      <c r="A54" s="4" t="inlineStr">
        <is>
          <t>CD</t>
        </is>
      </c>
      <c r="B54" s="4" t="n">
        <v>2050</v>
      </c>
      <c r="C54" s="4" t="inlineStr">
        <is>
          <t>Share_Mode</t>
        </is>
      </c>
      <c r="D54" s="4">
        <f>Conversion!$B$19</f>
        <v/>
      </c>
      <c r="E54" s="23">
        <f>IF($D54="Conservative",IF(INDEX(Report_Scenarios!$A$7:$A$13,MIN(MATCH(MEDIAN($B54-Conversion!$B$15,2020,2050),Report_Scenarios!$A$7:$A$13,1)+1,7))=INDEX(Report_Scenarios!$A$7:$A$13,MATCH(MEDIAN($B54-Conversion!$B$15,2020,2050),Report_Scenarios!$A$7:$A$13,1)),INDEX(Report_Scenarios!$B$7:$B$13,MATCH(MEDIAN($B54-Conversion!$B$15,2020,2050),Report_Scenarios!$A$7:$A$13,1)),INDEX(Report_Scenarios!$B$7:$B$13,MATCH(MEDIAN($B54-Conversion!$B$15,2020,2050),Report_Scenarios!$A$7:$A$13,1))+(INDEX(Report_Scenarios!$B$7:$B$13,MIN(MATCH(MEDIAN($B54-Conversion!$B$15,2020,2050),Report_Scenarios!$A$7:$A$13,1)+1,7))-INDEX(Report_Scenarios!$B$7:$B$13,MATCH(MEDIAN($B54-Conversion!$B$15,2020,2050),Report_Scenarios!$A$7:$A$13,1)))*(MEDIAN($B54-Conversion!$B$15,2020,2050)-INDEX(Report_Scenarios!$A$7:$A$13,MATCH(MEDIAN($B54-Conversion!$B$15,2020,2050),Report_Scenarios!$A$7:$A$13,1)))/(INDEX(Report_Scenarios!$A$7:$A$13,MIN(MATCH(MEDIAN($B54-Conversion!$B$15,2020,2050),Report_Scenarios!$A$7:$A$13,1)+1,7))-INDEX(Report_Scenarios!$A$7:$A$13,MATCH(MEDIAN($B54-Conversion!$B$15,2020,2050),Report_Scenarios!$A$7:$A$13,1)))),IF($D54="Central",IF(INDEX(Report_Scenarios!$A$18:$A$24,MIN(MATCH(MEDIAN($B54-Conversion!$B$15,2020,2050),Report_Scenarios!$A$18:$A$24,1)+1,7))=INDEX(Report_Scenarios!$A$18:$A$24,MATCH(MEDIAN($B54-Conversion!$B$15,2020,2050),Report_Scenarios!$A$18:$A$24,1)),INDEX(Report_Scenarios!$B$18:$B$24,MATCH(MEDIAN($B54-Conversion!$B$15,2020,2050),Report_Scenarios!$A$18:$A$24,1)),INDEX(Report_Scenarios!$B$18:$B$24,MATCH(MEDIAN($B54-Conversion!$B$15,2020,2050),Report_Scenarios!$A$18:$A$24,1))+(INDEX(Report_Scenarios!$B$18:$B$24,MIN(MATCH(MEDIAN($B54-Conversion!$B$15,2020,2050),Report_Scenarios!$A$18:$A$24,1)+1,7))-INDEX(Report_Scenarios!$B$18:$B$24,MATCH(MEDIAN($B54-Conversion!$B$15,2020,2050),Report_Scenarios!$A$18:$A$24,1)))*(MEDIAN($B54-Conversion!$B$15,2020,2050)-INDEX(Report_Scenarios!$A$18:$A$24,MATCH(MEDIAN($B54-Conversion!$B$15,2020,2050),Report_Scenarios!$A$18:$A$24,1)))/(INDEX(Report_Scenarios!$A$18:$A$24,MIN(MATCH(MEDIAN($B54-Conversion!$B$15,2020,2050),Report_Scenarios!$A$18:$A$24,1)+1,7))-INDEX(Report_Scenarios!$A$18:$A$24,MATCH(MEDIAN($B54-Conversion!$B$15,2020,2050),Report_Scenarios!$A$18:$A$24,1)))),IF(INDEX(Report_Scenarios!$A$29:$A$35,MIN(MATCH(MEDIAN($B54-Conversion!$B$15,2020,2050),Report_Scenarios!$A$29:$A$35,1)+1,7))=INDEX(Report_Scenarios!$A$29:$A$35,MATCH(MEDIAN($B54-Conversion!$B$15,2020,2050),Report_Scenarios!$A$29:$A$35,1)),INDEX(Report_Scenarios!$B$29:$B$35,MATCH(MEDIAN($B54-Conversion!$B$15,2020,2050),Report_Scenarios!$A$29:$A$35,1)),INDEX(Report_Scenarios!$B$29:$B$35,MATCH(MEDIAN($B54-Conversion!$B$15,2020,2050),Report_Scenarios!$A$29:$A$35,1))+(INDEX(Report_Scenarios!$B$29:$B$35,MIN(MATCH(MEDIAN($B54-Conversion!$B$15,2020,2050),Report_Scenarios!$A$29:$A$35,1)+1,7))-INDEX(Report_Scenarios!$B$29:$B$35,MATCH(MEDIAN($B54-Conversion!$B$15,2020,2050),Report_Scenarios!$A$29:$A$35,1)))*(MEDIAN($B54-Conversion!$B$15,2020,2050)-INDEX(Report_Scenarios!$A$29:$A$35,MATCH(MEDIAN($B54-Conversion!$B$15,2020,2050),Report_Scenarios!$A$29:$A$35,1)))/(INDEX(Report_Scenarios!$A$29:$A$35,MIN(MATCH(MEDIAN($B54-Conversion!$B$15,2020,2050),Report_Scenarios!$A$29:$A$35,1)+1,7))-INDEX(Report_Scenarios!$A$29:$A$35,MATCH(MEDIAN($B54-Conversion!$B$15,2020,2050),Report_Scenarios!$A$29:$A$35,1))))))</f>
        <v/>
      </c>
      <c r="F54" s="23">
        <f>IF($D54="Conservative",IF(INDEX(Report_Scenarios!$A$7:$A$13,MIN(MATCH(MEDIAN($B54-Conversion!$B$15,2020,2050),Report_Scenarios!$A$7:$A$13,1)+1,7))=INDEX(Report_Scenarios!$A$7:$A$13,MATCH(MEDIAN($B54-Conversion!$B$15,2020,2050),Report_Scenarios!$A$7:$A$13,1)),INDEX(Report_Scenarios!$C$7:$C$13,MATCH(MEDIAN($B54-Conversion!$B$15,2020,2050),Report_Scenarios!$A$7:$A$13,1)),INDEX(Report_Scenarios!$C$7:$C$13,MATCH(MEDIAN($B54-Conversion!$B$15,2020,2050),Report_Scenarios!$A$7:$A$13,1))+(INDEX(Report_Scenarios!$C$7:$C$13,MIN(MATCH(MEDIAN($B54-Conversion!$B$15,2020,2050),Report_Scenarios!$A$7:$A$13,1)+1,7))-INDEX(Report_Scenarios!$C$7:$C$13,MATCH(MEDIAN($B54-Conversion!$B$15,2020,2050),Report_Scenarios!$A$7:$A$13,1)))*(MEDIAN($B54-Conversion!$B$15,2020,2050)-INDEX(Report_Scenarios!$A$7:$A$13,MATCH(MEDIAN($B54-Conversion!$B$15,2020,2050),Report_Scenarios!$A$7:$A$13,1)))/(INDEX(Report_Scenarios!$A$7:$A$13,MIN(MATCH(MEDIAN($B54-Conversion!$B$15,2020,2050),Report_Scenarios!$A$7:$A$13,1)+1,7))-INDEX(Report_Scenarios!$A$7:$A$13,MATCH(MEDIAN($B54-Conversion!$B$15,2020,2050),Report_Scenarios!$A$7:$A$13,1)))),IF($D54="Central",IF(INDEX(Report_Scenarios!$A$18:$A$24,MIN(MATCH(MEDIAN($B54-Conversion!$B$15,2020,2050),Report_Scenarios!$A$18:$A$24,1)+1,7))=INDEX(Report_Scenarios!$A$18:$A$24,MATCH(MEDIAN($B54-Conversion!$B$15,2020,2050),Report_Scenarios!$A$18:$A$24,1)),INDEX(Report_Scenarios!$C$18:$C$24,MATCH(MEDIAN($B54-Conversion!$B$15,2020,2050),Report_Scenarios!$A$18:$A$24,1)),INDEX(Report_Scenarios!$C$18:$C$24,MATCH(MEDIAN($B54-Conversion!$B$15,2020,2050),Report_Scenarios!$A$18:$A$24,1))+(INDEX(Report_Scenarios!$C$18:$C$24,MIN(MATCH(MEDIAN($B54-Conversion!$B$15,2020,2050),Report_Scenarios!$A$18:$A$24,1)+1,7))-INDEX(Report_Scenarios!$C$18:$C$24,MATCH(MEDIAN($B54-Conversion!$B$15,2020,2050),Report_Scenarios!$A$18:$A$24,1)))*(MEDIAN($B54-Conversion!$B$15,2020,2050)-INDEX(Report_Scenarios!$A$18:$A$24,MATCH(MEDIAN($B54-Conversion!$B$15,2020,2050),Report_Scenarios!$A$18:$A$24,1)))/(INDEX(Report_Scenarios!$A$18:$A$24,MIN(MATCH(MEDIAN($B54-Conversion!$B$15,2020,2050),Report_Scenarios!$A$18:$A$24,1)+1,7))-INDEX(Report_Scenarios!$A$18:$A$24,MATCH(MEDIAN($B54-Conversion!$B$15,2020,2050),Report_Scenarios!$A$18:$A$24,1)))),IF(INDEX(Report_Scenarios!$A$29:$A$35,MIN(MATCH(MEDIAN($B54-Conversion!$B$15,2020,2050),Report_Scenarios!$A$29:$A$35,1)+1,7))=INDEX(Report_Scenarios!$A$29:$A$35,MATCH(MEDIAN($B54-Conversion!$B$15,2020,2050),Report_Scenarios!$A$29:$A$35,1)),INDEX(Report_Scenarios!$C$29:$C$35,MATCH(MEDIAN($B54-Conversion!$B$15,2020,2050),Report_Scenarios!$A$29:$A$35,1)),INDEX(Report_Scenarios!$C$29:$C$35,MATCH(MEDIAN($B54-Conversion!$B$15,2020,2050),Report_Scenarios!$A$29:$A$35,1))+(INDEX(Report_Scenarios!$C$29:$C$35,MIN(MATCH(MEDIAN($B54-Conversion!$B$15,2020,2050),Report_Scenarios!$A$29:$A$35,1)+1,7))-INDEX(Report_Scenarios!$C$29:$C$35,MATCH(MEDIAN($B54-Conversion!$B$15,2020,2050),Report_Scenarios!$A$29:$A$35,1)))*(MEDIAN($B54-Conversion!$B$15,2020,2050)-INDEX(Report_Scenarios!$A$29:$A$35,MATCH(MEDIAN($B54-Conversion!$B$15,2020,2050),Report_Scenarios!$A$29:$A$35,1)))/(INDEX(Report_Scenarios!$A$29:$A$35,MIN(MATCH(MEDIAN($B54-Conversion!$B$15,2020,2050),Report_Scenarios!$A$29:$A$35,1)+1,7))-INDEX(Report_Scenarios!$A$29:$A$35,MATCH(MEDIAN($B54-Conversion!$B$15,2020,2050),Report_Scenarios!$A$29:$A$35,1))))))</f>
        <v/>
      </c>
      <c r="G54" s="23">
        <f>IF($D54="Conservative",IF(INDEX(Report_Scenarios!$A$7:$A$13,MIN(MATCH(MEDIAN($B54-Conversion!$B$15,2020,2050),Report_Scenarios!$A$7:$A$13,1)+1,7))=INDEX(Report_Scenarios!$A$7:$A$13,MATCH(MEDIAN($B54-Conversion!$B$15,2020,2050),Report_Scenarios!$A$7:$A$13,1)),INDEX(Report_Scenarios!$D$7:$D$13,MATCH(MEDIAN($B54-Conversion!$B$15,2020,2050),Report_Scenarios!$A$7:$A$13,1)),INDEX(Report_Scenarios!$D$7:$D$13,MATCH(MEDIAN($B54-Conversion!$B$15,2020,2050),Report_Scenarios!$A$7:$A$13,1))+(INDEX(Report_Scenarios!$D$7:$D$13,MIN(MATCH(MEDIAN($B54-Conversion!$B$15,2020,2050),Report_Scenarios!$A$7:$A$13,1)+1,7))-INDEX(Report_Scenarios!$D$7:$D$13,MATCH(MEDIAN($B54-Conversion!$B$15,2020,2050),Report_Scenarios!$A$7:$A$13,1)))*(MEDIAN($B54-Conversion!$B$15,2020,2050)-INDEX(Report_Scenarios!$A$7:$A$13,MATCH(MEDIAN($B54-Conversion!$B$15,2020,2050),Report_Scenarios!$A$7:$A$13,1)))/(INDEX(Report_Scenarios!$A$7:$A$13,MIN(MATCH(MEDIAN($B54-Conversion!$B$15,2020,2050),Report_Scenarios!$A$7:$A$13,1)+1,7))-INDEX(Report_Scenarios!$A$7:$A$13,MATCH(MEDIAN($B54-Conversion!$B$15,2020,2050),Report_Scenarios!$A$7:$A$13,1)))),IF($D54="Central",IF(INDEX(Report_Scenarios!$A$18:$A$24,MIN(MATCH(MEDIAN($B54-Conversion!$B$15,2020,2050),Report_Scenarios!$A$18:$A$24,1)+1,7))=INDEX(Report_Scenarios!$A$18:$A$24,MATCH(MEDIAN($B54-Conversion!$B$15,2020,2050),Report_Scenarios!$A$18:$A$24,1)),INDEX(Report_Scenarios!$D$18:$D$24,MATCH(MEDIAN($B54-Conversion!$B$15,2020,2050),Report_Scenarios!$A$18:$A$24,1)),INDEX(Report_Scenarios!$D$18:$D$24,MATCH(MEDIAN($B54-Conversion!$B$15,2020,2050),Report_Scenarios!$A$18:$A$24,1))+(INDEX(Report_Scenarios!$D$18:$D$24,MIN(MATCH(MEDIAN($B54-Conversion!$B$15,2020,2050),Report_Scenarios!$A$18:$A$24,1)+1,7))-INDEX(Report_Scenarios!$D$18:$D$24,MATCH(MEDIAN($B54-Conversion!$B$15,2020,2050),Report_Scenarios!$A$18:$A$24,1)))*(MEDIAN($B54-Conversion!$B$15,2020,2050)-INDEX(Report_Scenarios!$A$18:$A$24,MATCH(MEDIAN($B54-Conversion!$B$15,2020,2050),Report_Scenarios!$A$18:$A$24,1)))/(INDEX(Report_Scenarios!$A$18:$A$24,MIN(MATCH(MEDIAN($B54-Conversion!$B$15,2020,2050),Report_Scenarios!$A$18:$A$24,1)+1,7))-INDEX(Report_Scenarios!$A$18:$A$24,MATCH(MEDIAN($B54-Conversion!$B$15,2020,2050),Report_Scenarios!$A$18:$A$24,1)))),IF(INDEX(Report_Scenarios!$A$29:$A$35,MIN(MATCH(MEDIAN($B54-Conversion!$B$15,2020,2050),Report_Scenarios!$A$29:$A$35,1)+1,7))=INDEX(Report_Scenarios!$A$29:$A$35,MATCH(MEDIAN($B54-Conversion!$B$15,2020,2050),Report_Scenarios!$A$29:$A$35,1)),INDEX(Report_Scenarios!$D$29:$D$35,MATCH(MEDIAN($B54-Conversion!$B$15,2020,2050),Report_Scenarios!$A$29:$A$35,1)),INDEX(Report_Scenarios!$D$29:$D$35,MATCH(MEDIAN($B54-Conversion!$B$15,2020,2050),Report_Scenarios!$A$29:$A$35,1))+(INDEX(Report_Scenarios!$D$29:$D$35,MIN(MATCH(MEDIAN($B54-Conversion!$B$15,2020,2050),Report_Scenarios!$A$29:$A$35,1)+1,7))-INDEX(Report_Scenarios!$D$29:$D$35,MATCH(MEDIAN($B54-Conversion!$B$15,2020,2050),Report_Scenarios!$A$29:$A$35,1)))*(MEDIAN($B54-Conversion!$B$15,2020,2050)-INDEX(Report_Scenarios!$A$29:$A$35,MATCH(MEDIAN($B54-Conversion!$B$15,2020,2050),Report_Scenarios!$A$29:$A$35,1)))/(INDEX(Report_Scenarios!$A$29:$A$35,MIN(MATCH(MEDIAN($B54-Conversion!$B$15,2020,2050),Report_Scenarios!$A$29:$A$35,1)+1,7))-INDEX(Report_Scenarios!$A$29:$A$35,MATCH(MEDIAN($B54-Conversion!$B$15,2020,2050),Report_Scenarios!$A$29:$A$35,1))))))</f>
        <v/>
      </c>
      <c r="H54" s="23">
        <f>IF($D54="Conservative",IF(INDEX(Report_Scenarios!$A$7:$A$13,MIN(MATCH(MEDIAN($B54-Conversion!$B$15,2020,2050),Report_Scenarios!$A$7:$A$13,1)+1,7))=INDEX(Report_Scenarios!$A$7:$A$13,MATCH(MEDIAN($B54-Conversion!$B$15,2020,2050),Report_Scenarios!$A$7:$A$13,1)),INDEX(Report_Scenarios!$E$7:$E$13,MATCH(MEDIAN($B54-Conversion!$B$15,2020,2050),Report_Scenarios!$A$7:$A$13,1)),INDEX(Report_Scenarios!$E$7:$E$13,MATCH(MEDIAN($B54-Conversion!$B$15,2020,2050),Report_Scenarios!$A$7:$A$13,1))+(INDEX(Report_Scenarios!$E$7:$E$13,MIN(MATCH(MEDIAN($B54-Conversion!$B$15,2020,2050),Report_Scenarios!$A$7:$A$13,1)+1,7))-INDEX(Report_Scenarios!$E$7:$E$13,MATCH(MEDIAN($B54-Conversion!$B$15,2020,2050),Report_Scenarios!$A$7:$A$13,1)))*(MEDIAN($B54-Conversion!$B$15,2020,2050)-INDEX(Report_Scenarios!$A$7:$A$13,MATCH(MEDIAN($B54-Conversion!$B$15,2020,2050),Report_Scenarios!$A$7:$A$13,1)))/(INDEX(Report_Scenarios!$A$7:$A$13,MIN(MATCH(MEDIAN($B54-Conversion!$B$15,2020,2050),Report_Scenarios!$A$7:$A$13,1)+1,7))-INDEX(Report_Scenarios!$A$7:$A$13,MATCH(MEDIAN($B54-Conversion!$B$15,2020,2050),Report_Scenarios!$A$7:$A$13,1)))),IF($D54="Central",IF(INDEX(Report_Scenarios!$A$18:$A$24,MIN(MATCH(MEDIAN($B54-Conversion!$B$15,2020,2050),Report_Scenarios!$A$18:$A$24,1)+1,7))=INDEX(Report_Scenarios!$A$18:$A$24,MATCH(MEDIAN($B54-Conversion!$B$15,2020,2050),Report_Scenarios!$A$18:$A$24,1)),INDEX(Report_Scenarios!$E$18:$E$24,MATCH(MEDIAN($B54-Conversion!$B$15,2020,2050),Report_Scenarios!$A$18:$A$24,1)),INDEX(Report_Scenarios!$E$18:$E$24,MATCH(MEDIAN($B54-Conversion!$B$15,2020,2050),Report_Scenarios!$A$18:$A$24,1))+(INDEX(Report_Scenarios!$E$18:$E$24,MIN(MATCH(MEDIAN($B54-Conversion!$B$15,2020,2050),Report_Scenarios!$A$18:$A$24,1)+1,7))-INDEX(Report_Scenarios!$E$18:$E$24,MATCH(MEDIAN($B54-Conversion!$B$15,2020,2050),Report_Scenarios!$A$18:$A$24,1)))*(MEDIAN($B54-Conversion!$B$15,2020,2050)-INDEX(Report_Scenarios!$A$18:$A$24,MATCH(MEDIAN($B54-Conversion!$B$15,2020,2050),Report_Scenarios!$A$18:$A$24,1)))/(INDEX(Report_Scenarios!$A$18:$A$24,MIN(MATCH(MEDIAN($B54-Conversion!$B$15,2020,2050),Report_Scenarios!$A$18:$A$24,1)+1,7))-INDEX(Report_Scenarios!$A$18:$A$24,MATCH(MEDIAN($B54-Conversion!$B$15,2020,2050),Report_Scenarios!$A$18:$A$24,1)))),IF(INDEX(Report_Scenarios!$A$29:$A$35,MIN(MATCH(MEDIAN($B54-Conversion!$B$15,2020,2050),Report_Scenarios!$A$29:$A$35,1)+1,7))=INDEX(Report_Scenarios!$A$29:$A$35,MATCH(MEDIAN($B54-Conversion!$B$15,2020,2050),Report_Scenarios!$A$29:$A$35,1)),INDEX(Report_Scenarios!$E$29:$E$35,MATCH(MEDIAN($B54-Conversion!$B$15,2020,2050),Report_Scenarios!$A$29:$A$35,1)),INDEX(Report_Scenarios!$E$29:$E$35,MATCH(MEDIAN($B54-Conversion!$B$15,2020,2050),Report_Scenarios!$A$29:$A$35,1))+(INDEX(Report_Scenarios!$E$29:$E$35,MIN(MATCH(MEDIAN($B54-Conversion!$B$15,2020,2050),Report_Scenarios!$A$29:$A$35,1)+1,7))-INDEX(Report_Scenarios!$E$29:$E$35,MATCH(MEDIAN($B54-Conversion!$B$15,2020,2050),Report_Scenarios!$A$29:$A$35,1)))*(MEDIAN($B54-Conversion!$B$15,2020,2050)-INDEX(Report_Scenarios!$A$29:$A$35,MATCH(MEDIAN($B54-Conversion!$B$15,2020,2050),Report_Scenarios!$A$29:$A$35,1)))/(INDEX(Report_Scenarios!$A$29:$A$35,MIN(MATCH(MEDIAN($B54-Conversion!$B$15,2020,2050),Report_Scenarios!$A$29:$A$35,1)+1,7))-INDEX(Report_Scenarios!$A$29:$A$35,MATCH(MEDIAN($B54-Conversion!$B$15,2020,2050),Report_Scenarios!$A$29:$A$35,1))))))</f>
        <v/>
      </c>
      <c r="I54" s="23">
        <f>IF($D54="Conservative",IF(INDEX(Report_Scenarios!$A$7:$A$13,MIN(MATCH(MEDIAN($B54-Conversion!$B$15,2020,2050),Report_Scenarios!$A$7:$A$13,1)+1,7))=INDEX(Report_Scenarios!$A$7:$A$13,MATCH(MEDIAN($B54-Conversion!$B$15,2020,2050),Report_Scenarios!$A$7:$A$13,1)),INDEX(Report_Scenarios!$F$7:$F$13,MATCH(MEDIAN($B54-Conversion!$B$15,2020,2050),Report_Scenarios!$A$7:$A$13,1)),INDEX(Report_Scenarios!$F$7:$F$13,MATCH(MEDIAN($B54-Conversion!$B$15,2020,2050),Report_Scenarios!$A$7:$A$13,1))+(INDEX(Report_Scenarios!$F$7:$F$13,MIN(MATCH(MEDIAN($B54-Conversion!$B$15,2020,2050),Report_Scenarios!$A$7:$A$13,1)+1,7))-INDEX(Report_Scenarios!$F$7:$F$13,MATCH(MEDIAN($B54-Conversion!$B$15,2020,2050),Report_Scenarios!$A$7:$A$13,1)))*(MEDIAN($B54-Conversion!$B$15,2020,2050)-INDEX(Report_Scenarios!$A$7:$A$13,MATCH(MEDIAN($B54-Conversion!$B$15,2020,2050),Report_Scenarios!$A$7:$A$13,1)))/(INDEX(Report_Scenarios!$A$7:$A$13,MIN(MATCH(MEDIAN($B54-Conversion!$B$15,2020,2050),Report_Scenarios!$A$7:$A$13,1)+1,7))-INDEX(Report_Scenarios!$A$7:$A$13,MATCH(MEDIAN($B54-Conversion!$B$15,2020,2050),Report_Scenarios!$A$7:$A$13,1)))),IF($D54="Central",IF(INDEX(Report_Scenarios!$A$18:$A$24,MIN(MATCH(MEDIAN($B54-Conversion!$B$15,2020,2050),Report_Scenarios!$A$18:$A$24,1)+1,7))=INDEX(Report_Scenarios!$A$18:$A$24,MATCH(MEDIAN($B54-Conversion!$B$15,2020,2050),Report_Scenarios!$A$18:$A$24,1)),INDEX(Report_Scenarios!$F$18:$F$24,MATCH(MEDIAN($B54-Conversion!$B$15,2020,2050),Report_Scenarios!$A$18:$A$24,1)),INDEX(Report_Scenarios!$F$18:$F$24,MATCH(MEDIAN($B54-Conversion!$B$15,2020,2050),Report_Scenarios!$A$18:$A$24,1))+(INDEX(Report_Scenarios!$F$18:$F$24,MIN(MATCH(MEDIAN($B54-Conversion!$B$15,2020,2050),Report_Scenarios!$A$18:$A$24,1)+1,7))-INDEX(Report_Scenarios!$F$18:$F$24,MATCH(MEDIAN($B54-Conversion!$B$15,2020,2050),Report_Scenarios!$A$18:$A$24,1)))*(MEDIAN($B54-Conversion!$B$15,2020,2050)-INDEX(Report_Scenarios!$A$18:$A$24,MATCH(MEDIAN($B54-Conversion!$B$15,2020,2050),Report_Scenarios!$A$18:$A$24,1)))/(INDEX(Report_Scenarios!$A$18:$A$24,MIN(MATCH(MEDIAN($B54-Conversion!$B$15,2020,2050),Report_Scenarios!$A$18:$A$24,1)+1,7))-INDEX(Report_Scenarios!$A$18:$A$24,MATCH(MEDIAN($B54-Conversion!$B$15,2020,2050),Report_Scenarios!$A$18:$A$24,1)))),IF(INDEX(Report_Scenarios!$A$29:$A$35,MIN(MATCH(MEDIAN($B54-Conversion!$B$15,2020,2050),Report_Scenarios!$A$29:$A$35,1)+1,7))=INDEX(Report_Scenarios!$A$29:$A$35,MATCH(MEDIAN($B54-Conversion!$B$15,2020,2050),Report_Scenarios!$A$29:$A$35,1)),INDEX(Report_Scenarios!$F$29:$F$35,MATCH(MEDIAN($B54-Conversion!$B$15,2020,2050),Report_Scenarios!$A$29:$A$35,1)),INDEX(Report_Scenarios!$F$29:$F$35,MATCH(MEDIAN($B54-Conversion!$B$15,2020,2050),Report_Scenarios!$A$29:$A$35,1))+(INDEX(Report_Scenarios!$F$29:$F$35,MIN(MATCH(MEDIAN($B54-Conversion!$B$15,2020,2050),Report_Scenarios!$A$29:$A$35,1)+1,7))-INDEX(Report_Scenarios!$F$29:$F$35,MATCH(MEDIAN($B54-Conversion!$B$15,2020,2050),Report_Scenarios!$A$29:$A$35,1)))*(MEDIAN($B54-Conversion!$B$15,2020,2050)-INDEX(Report_Scenarios!$A$29:$A$35,MATCH(MEDIAN($B54-Conversion!$B$15,2020,2050),Report_Scenarios!$A$29:$A$35,1)))/(INDEX(Report_Scenarios!$A$29:$A$35,MIN(MATCH(MEDIAN($B54-Conversion!$B$15,2020,2050),Report_Scenarios!$A$29:$A$35,1)+1,7))-INDEX(Report_Scenarios!$A$29:$A$35,MATCH(MEDIAN($B54-Conversion!$B$15,2020,2050),Report_Scenarios!$A$29:$A$35,1))))))</f>
        <v/>
      </c>
      <c r="J54" s="23">
        <f>IF($D54="Conservative",IF(INDEX(Report_Scenarios!$A$7:$A$13,MIN(MATCH(MEDIAN($B54-Conversion!$B$15,2020,2050),Report_Scenarios!$A$7:$A$13,1)+1,7))=INDEX(Report_Scenarios!$A$7:$A$13,MATCH(MEDIAN($B54-Conversion!$B$15,2020,2050),Report_Scenarios!$A$7:$A$13,1)),INDEX(Report_Scenarios!$G$7:$G$13,MATCH(MEDIAN($B54-Conversion!$B$15,2020,2050),Report_Scenarios!$A$7:$A$13,1)),INDEX(Report_Scenarios!$G$7:$G$13,MATCH(MEDIAN($B54-Conversion!$B$15,2020,2050),Report_Scenarios!$A$7:$A$13,1))+(INDEX(Report_Scenarios!$G$7:$G$13,MIN(MATCH(MEDIAN($B54-Conversion!$B$15,2020,2050),Report_Scenarios!$A$7:$A$13,1)+1,7))-INDEX(Report_Scenarios!$G$7:$G$13,MATCH(MEDIAN($B54-Conversion!$B$15,2020,2050),Report_Scenarios!$A$7:$A$13,1)))*(MEDIAN($B54-Conversion!$B$15,2020,2050)-INDEX(Report_Scenarios!$A$7:$A$13,MATCH(MEDIAN($B54-Conversion!$B$15,2020,2050),Report_Scenarios!$A$7:$A$13,1)))/(INDEX(Report_Scenarios!$A$7:$A$13,MIN(MATCH(MEDIAN($B54-Conversion!$B$15,2020,2050),Report_Scenarios!$A$7:$A$13,1)+1,7))-INDEX(Report_Scenarios!$A$7:$A$13,MATCH(MEDIAN($B54-Conversion!$B$15,2020,2050),Report_Scenarios!$A$7:$A$13,1)))),IF($D54="Central",IF(INDEX(Report_Scenarios!$A$18:$A$24,MIN(MATCH(MEDIAN($B54-Conversion!$B$15,2020,2050),Report_Scenarios!$A$18:$A$24,1)+1,7))=INDEX(Report_Scenarios!$A$18:$A$24,MATCH(MEDIAN($B54-Conversion!$B$15,2020,2050),Report_Scenarios!$A$18:$A$24,1)),INDEX(Report_Scenarios!$G$18:$G$24,MATCH(MEDIAN($B54-Conversion!$B$15,2020,2050),Report_Scenarios!$A$18:$A$24,1)),INDEX(Report_Scenarios!$G$18:$G$24,MATCH(MEDIAN($B54-Conversion!$B$15,2020,2050),Report_Scenarios!$A$18:$A$24,1))+(INDEX(Report_Scenarios!$G$18:$G$24,MIN(MATCH(MEDIAN($B54-Conversion!$B$15,2020,2050),Report_Scenarios!$A$18:$A$24,1)+1,7))-INDEX(Report_Scenarios!$G$18:$G$24,MATCH(MEDIAN($B54-Conversion!$B$15,2020,2050),Report_Scenarios!$A$18:$A$24,1)))*(MEDIAN($B54-Conversion!$B$15,2020,2050)-INDEX(Report_Scenarios!$A$18:$A$24,MATCH(MEDIAN($B54-Conversion!$B$15,2020,2050),Report_Scenarios!$A$18:$A$24,1)))/(INDEX(Report_Scenarios!$A$18:$A$24,MIN(MATCH(MEDIAN($B54-Conversion!$B$15,2020,2050),Report_Scenarios!$A$18:$A$24,1)+1,7))-INDEX(Report_Scenarios!$A$18:$A$24,MATCH(MEDIAN($B54-Conversion!$B$15,2020,2050),Report_Scenarios!$A$18:$A$24,1)))),IF(INDEX(Report_Scenarios!$A$29:$A$35,MIN(MATCH(MEDIAN($B54-Conversion!$B$15,2020,2050),Report_Scenarios!$A$29:$A$35,1)+1,7))=INDEX(Report_Scenarios!$A$29:$A$35,MATCH(MEDIAN($B54-Conversion!$B$15,2020,2050),Report_Scenarios!$A$29:$A$35,1)),INDEX(Report_Scenarios!$G$29:$G$35,MATCH(MEDIAN($B54-Conversion!$B$15,2020,2050),Report_Scenarios!$A$29:$A$35,1)),INDEX(Report_Scenarios!$G$29:$G$35,MATCH(MEDIAN($B54-Conversion!$B$15,2020,2050),Report_Scenarios!$A$29:$A$35,1))+(INDEX(Report_Scenarios!$G$29:$G$35,MIN(MATCH(MEDIAN($B54-Conversion!$B$15,2020,2050),Report_Scenarios!$A$29:$A$35,1)+1,7))-INDEX(Report_Scenarios!$G$29:$G$35,MATCH(MEDIAN($B54-Conversion!$B$15,2020,2050),Report_Scenarios!$A$29:$A$35,1)))*(MEDIAN($B54-Conversion!$B$15,2020,2050)-INDEX(Report_Scenarios!$A$29:$A$35,MATCH(MEDIAN($B54-Conversion!$B$15,2020,2050),Report_Scenarios!$A$29:$A$35,1)))/(INDEX(Report_Scenarios!$A$29:$A$35,MIN(MATCH(MEDIAN($B54-Conversion!$B$15,2020,2050),Report_Scenarios!$A$29:$A$35,1)+1,7))-INDEX(Report_Scenarios!$A$29:$A$35,MATCH(MEDIAN($B54-Conversion!$B$15,2020,2050),Report_Scenarios!$A$29:$A$35,1))))))</f>
        <v/>
      </c>
      <c r="K54" s="23">
        <f>SUM(E54:J54)</f>
        <v/>
      </c>
      <c r="L54" s="23">
        <f>IF(R54&lt;&gt;"",R54,IF($K54=0,0,E54/$K54))</f>
        <v/>
      </c>
      <c r="M54" s="23">
        <f>IF(S54&lt;&gt;"",S54,IF($K54=0,0,F54/$K54))</f>
        <v/>
      </c>
      <c r="N54" s="23">
        <f>IF(T54&lt;&gt;"",T54,IF($K54=0,0,G54/$K54))</f>
        <v/>
      </c>
      <c r="O54" s="23">
        <f>IF(U54&lt;&gt;"",U54,IF($K54=0,0,H54/$K54))</f>
        <v/>
      </c>
      <c r="P54" s="23">
        <f>IF(V54&lt;&gt;"",V54,IF($K54=0,0,I54/$K54))</f>
        <v/>
      </c>
      <c r="Q54" s="23">
        <f>IF(W54&lt;&gt;"",W54,IF($K54=0,0,J54/$K54))</f>
        <v/>
      </c>
      <c r="R54" s="24" t="n"/>
      <c r="S54" s="24" t="n"/>
      <c r="T54" s="24" t="n"/>
      <c r="U54" s="24" t="n"/>
      <c r="V54" s="24" t="n"/>
      <c r="W54" s="24" t="n"/>
    </row>
    <row r="55">
      <c r="A55" s="4" t="inlineStr">
        <is>
          <t>CD</t>
        </is>
      </c>
      <c r="B55" s="4" t="n">
        <v>2050</v>
      </c>
      <c r="C55" s="4" t="inlineStr">
        <is>
          <t>Share_Max</t>
        </is>
      </c>
      <c r="D55" s="4">
        <f>Conversion!$B$20</f>
        <v/>
      </c>
      <c r="E55" s="23">
        <f>IF($D55="Conservative",IF(INDEX(Report_Scenarios!$A$7:$A$13,MIN(MATCH(MEDIAN($B55-Conversion!$B$15,2020,2050),Report_Scenarios!$A$7:$A$13,1)+1,7))=INDEX(Report_Scenarios!$A$7:$A$13,MATCH(MEDIAN($B55-Conversion!$B$15,2020,2050),Report_Scenarios!$A$7:$A$13,1)),INDEX(Report_Scenarios!$B$7:$B$13,MATCH(MEDIAN($B55-Conversion!$B$15,2020,2050),Report_Scenarios!$A$7:$A$13,1)),INDEX(Report_Scenarios!$B$7:$B$13,MATCH(MEDIAN($B55-Conversion!$B$15,2020,2050),Report_Scenarios!$A$7:$A$13,1))+(INDEX(Report_Scenarios!$B$7:$B$13,MIN(MATCH(MEDIAN($B55-Conversion!$B$15,2020,2050),Report_Scenarios!$A$7:$A$13,1)+1,7))-INDEX(Report_Scenarios!$B$7:$B$13,MATCH(MEDIAN($B55-Conversion!$B$15,2020,2050),Report_Scenarios!$A$7:$A$13,1)))*(MEDIAN($B55-Conversion!$B$15,2020,2050)-INDEX(Report_Scenarios!$A$7:$A$13,MATCH(MEDIAN($B55-Conversion!$B$15,2020,2050),Report_Scenarios!$A$7:$A$13,1)))/(INDEX(Report_Scenarios!$A$7:$A$13,MIN(MATCH(MEDIAN($B55-Conversion!$B$15,2020,2050),Report_Scenarios!$A$7:$A$13,1)+1,7))-INDEX(Report_Scenarios!$A$7:$A$13,MATCH(MEDIAN($B55-Conversion!$B$15,2020,2050),Report_Scenarios!$A$7:$A$13,1)))),IF($D55="Central",IF(INDEX(Report_Scenarios!$A$18:$A$24,MIN(MATCH(MEDIAN($B55-Conversion!$B$15,2020,2050),Report_Scenarios!$A$18:$A$24,1)+1,7))=INDEX(Report_Scenarios!$A$18:$A$24,MATCH(MEDIAN($B55-Conversion!$B$15,2020,2050),Report_Scenarios!$A$18:$A$24,1)),INDEX(Report_Scenarios!$B$18:$B$24,MATCH(MEDIAN($B55-Conversion!$B$15,2020,2050),Report_Scenarios!$A$18:$A$24,1)),INDEX(Report_Scenarios!$B$18:$B$24,MATCH(MEDIAN($B55-Conversion!$B$15,2020,2050),Report_Scenarios!$A$18:$A$24,1))+(INDEX(Report_Scenarios!$B$18:$B$24,MIN(MATCH(MEDIAN($B55-Conversion!$B$15,2020,2050),Report_Scenarios!$A$18:$A$24,1)+1,7))-INDEX(Report_Scenarios!$B$18:$B$24,MATCH(MEDIAN($B55-Conversion!$B$15,2020,2050),Report_Scenarios!$A$18:$A$24,1)))*(MEDIAN($B55-Conversion!$B$15,2020,2050)-INDEX(Report_Scenarios!$A$18:$A$24,MATCH(MEDIAN($B55-Conversion!$B$15,2020,2050),Report_Scenarios!$A$18:$A$24,1)))/(INDEX(Report_Scenarios!$A$18:$A$24,MIN(MATCH(MEDIAN($B55-Conversion!$B$15,2020,2050),Report_Scenarios!$A$18:$A$24,1)+1,7))-INDEX(Report_Scenarios!$A$18:$A$24,MATCH(MEDIAN($B55-Conversion!$B$15,2020,2050),Report_Scenarios!$A$18:$A$24,1)))),IF(INDEX(Report_Scenarios!$A$29:$A$35,MIN(MATCH(MEDIAN($B55-Conversion!$B$15,2020,2050),Report_Scenarios!$A$29:$A$35,1)+1,7))=INDEX(Report_Scenarios!$A$29:$A$35,MATCH(MEDIAN($B55-Conversion!$B$15,2020,2050),Report_Scenarios!$A$29:$A$35,1)),INDEX(Report_Scenarios!$B$29:$B$35,MATCH(MEDIAN($B55-Conversion!$B$15,2020,2050),Report_Scenarios!$A$29:$A$35,1)),INDEX(Report_Scenarios!$B$29:$B$35,MATCH(MEDIAN($B55-Conversion!$B$15,2020,2050),Report_Scenarios!$A$29:$A$35,1))+(INDEX(Report_Scenarios!$B$29:$B$35,MIN(MATCH(MEDIAN($B55-Conversion!$B$15,2020,2050),Report_Scenarios!$A$29:$A$35,1)+1,7))-INDEX(Report_Scenarios!$B$29:$B$35,MATCH(MEDIAN($B55-Conversion!$B$15,2020,2050),Report_Scenarios!$A$29:$A$35,1)))*(MEDIAN($B55-Conversion!$B$15,2020,2050)-INDEX(Report_Scenarios!$A$29:$A$35,MATCH(MEDIAN($B55-Conversion!$B$15,2020,2050),Report_Scenarios!$A$29:$A$35,1)))/(INDEX(Report_Scenarios!$A$29:$A$35,MIN(MATCH(MEDIAN($B55-Conversion!$B$15,2020,2050),Report_Scenarios!$A$29:$A$35,1)+1,7))-INDEX(Report_Scenarios!$A$29:$A$35,MATCH(MEDIAN($B55-Conversion!$B$15,2020,2050),Report_Scenarios!$A$29:$A$35,1))))))</f>
        <v/>
      </c>
      <c r="F55" s="23">
        <f>IF($D55="Conservative",IF(INDEX(Report_Scenarios!$A$7:$A$13,MIN(MATCH(MEDIAN($B55-Conversion!$B$15,2020,2050),Report_Scenarios!$A$7:$A$13,1)+1,7))=INDEX(Report_Scenarios!$A$7:$A$13,MATCH(MEDIAN($B55-Conversion!$B$15,2020,2050),Report_Scenarios!$A$7:$A$13,1)),INDEX(Report_Scenarios!$C$7:$C$13,MATCH(MEDIAN($B55-Conversion!$B$15,2020,2050),Report_Scenarios!$A$7:$A$13,1)),INDEX(Report_Scenarios!$C$7:$C$13,MATCH(MEDIAN($B55-Conversion!$B$15,2020,2050),Report_Scenarios!$A$7:$A$13,1))+(INDEX(Report_Scenarios!$C$7:$C$13,MIN(MATCH(MEDIAN($B55-Conversion!$B$15,2020,2050),Report_Scenarios!$A$7:$A$13,1)+1,7))-INDEX(Report_Scenarios!$C$7:$C$13,MATCH(MEDIAN($B55-Conversion!$B$15,2020,2050),Report_Scenarios!$A$7:$A$13,1)))*(MEDIAN($B55-Conversion!$B$15,2020,2050)-INDEX(Report_Scenarios!$A$7:$A$13,MATCH(MEDIAN($B55-Conversion!$B$15,2020,2050),Report_Scenarios!$A$7:$A$13,1)))/(INDEX(Report_Scenarios!$A$7:$A$13,MIN(MATCH(MEDIAN($B55-Conversion!$B$15,2020,2050),Report_Scenarios!$A$7:$A$13,1)+1,7))-INDEX(Report_Scenarios!$A$7:$A$13,MATCH(MEDIAN($B55-Conversion!$B$15,2020,2050),Report_Scenarios!$A$7:$A$13,1)))),IF($D55="Central",IF(INDEX(Report_Scenarios!$A$18:$A$24,MIN(MATCH(MEDIAN($B55-Conversion!$B$15,2020,2050),Report_Scenarios!$A$18:$A$24,1)+1,7))=INDEX(Report_Scenarios!$A$18:$A$24,MATCH(MEDIAN($B55-Conversion!$B$15,2020,2050),Report_Scenarios!$A$18:$A$24,1)),INDEX(Report_Scenarios!$C$18:$C$24,MATCH(MEDIAN($B55-Conversion!$B$15,2020,2050),Report_Scenarios!$A$18:$A$24,1)),INDEX(Report_Scenarios!$C$18:$C$24,MATCH(MEDIAN($B55-Conversion!$B$15,2020,2050),Report_Scenarios!$A$18:$A$24,1))+(INDEX(Report_Scenarios!$C$18:$C$24,MIN(MATCH(MEDIAN($B55-Conversion!$B$15,2020,2050),Report_Scenarios!$A$18:$A$24,1)+1,7))-INDEX(Report_Scenarios!$C$18:$C$24,MATCH(MEDIAN($B55-Conversion!$B$15,2020,2050),Report_Scenarios!$A$18:$A$24,1)))*(MEDIAN($B55-Conversion!$B$15,2020,2050)-INDEX(Report_Scenarios!$A$18:$A$24,MATCH(MEDIAN($B55-Conversion!$B$15,2020,2050),Report_Scenarios!$A$18:$A$24,1)))/(INDEX(Report_Scenarios!$A$18:$A$24,MIN(MATCH(MEDIAN($B55-Conversion!$B$15,2020,2050),Report_Scenarios!$A$18:$A$24,1)+1,7))-INDEX(Report_Scenarios!$A$18:$A$24,MATCH(MEDIAN($B55-Conversion!$B$15,2020,2050),Report_Scenarios!$A$18:$A$24,1)))),IF(INDEX(Report_Scenarios!$A$29:$A$35,MIN(MATCH(MEDIAN($B55-Conversion!$B$15,2020,2050),Report_Scenarios!$A$29:$A$35,1)+1,7))=INDEX(Report_Scenarios!$A$29:$A$35,MATCH(MEDIAN($B55-Conversion!$B$15,2020,2050),Report_Scenarios!$A$29:$A$35,1)),INDEX(Report_Scenarios!$C$29:$C$35,MATCH(MEDIAN($B55-Conversion!$B$15,2020,2050),Report_Scenarios!$A$29:$A$35,1)),INDEX(Report_Scenarios!$C$29:$C$35,MATCH(MEDIAN($B55-Conversion!$B$15,2020,2050),Report_Scenarios!$A$29:$A$35,1))+(INDEX(Report_Scenarios!$C$29:$C$35,MIN(MATCH(MEDIAN($B55-Conversion!$B$15,2020,2050),Report_Scenarios!$A$29:$A$35,1)+1,7))-INDEX(Report_Scenarios!$C$29:$C$35,MATCH(MEDIAN($B55-Conversion!$B$15,2020,2050),Report_Scenarios!$A$29:$A$35,1)))*(MEDIAN($B55-Conversion!$B$15,2020,2050)-INDEX(Report_Scenarios!$A$29:$A$35,MATCH(MEDIAN($B55-Conversion!$B$15,2020,2050),Report_Scenarios!$A$29:$A$35,1)))/(INDEX(Report_Scenarios!$A$29:$A$35,MIN(MATCH(MEDIAN($B55-Conversion!$B$15,2020,2050),Report_Scenarios!$A$29:$A$35,1)+1,7))-INDEX(Report_Scenarios!$A$29:$A$35,MATCH(MEDIAN($B55-Conversion!$B$15,2020,2050),Report_Scenarios!$A$29:$A$35,1))))))</f>
        <v/>
      </c>
      <c r="G55" s="23">
        <f>IF($D55="Conservative",IF(INDEX(Report_Scenarios!$A$7:$A$13,MIN(MATCH(MEDIAN($B55-Conversion!$B$15,2020,2050),Report_Scenarios!$A$7:$A$13,1)+1,7))=INDEX(Report_Scenarios!$A$7:$A$13,MATCH(MEDIAN($B55-Conversion!$B$15,2020,2050),Report_Scenarios!$A$7:$A$13,1)),INDEX(Report_Scenarios!$D$7:$D$13,MATCH(MEDIAN($B55-Conversion!$B$15,2020,2050),Report_Scenarios!$A$7:$A$13,1)),INDEX(Report_Scenarios!$D$7:$D$13,MATCH(MEDIAN($B55-Conversion!$B$15,2020,2050),Report_Scenarios!$A$7:$A$13,1))+(INDEX(Report_Scenarios!$D$7:$D$13,MIN(MATCH(MEDIAN($B55-Conversion!$B$15,2020,2050),Report_Scenarios!$A$7:$A$13,1)+1,7))-INDEX(Report_Scenarios!$D$7:$D$13,MATCH(MEDIAN($B55-Conversion!$B$15,2020,2050),Report_Scenarios!$A$7:$A$13,1)))*(MEDIAN($B55-Conversion!$B$15,2020,2050)-INDEX(Report_Scenarios!$A$7:$A$13,MATCH(MEDIAN($B55-Conversion!$B$15,2020,2050),Report_Scenarios!$A$7:$A$13,1)))/(INDEX(Report_Scenarios!$A$7:$A$13,MIN(MATCH(MEDIAN($B55-Conversion!$B$15,2020,2050),Report_Scenarios!$A$7:$A$13,1)+1,7))-INDEX(Report_Scenarios!$A$7:$A$13,MATCH(MEDIAN($B55-Conversion!$B$15,2020,2050),Report_Scenarios!$A$7:$A$13,1)))),IF($D55="Central",IF(INDEX(Report_Scenarios!$A$18:$A$24,MIN(MATCH(MEDIAN($B55-Conversion!$B$15,2020,2050),Report_Scenarios!$A$18:$A$24,1)+1,7))=INDEX(Report_Scenarios!$A$18:$A$24,MATCH(MEDIAN($B55-Conversion!$B$15,2020,2050),Report_Scenarios!$A$18:$A$24,1)),INDEX(Report_Scenarios!$D$18:$D$24,MATCH(MEDIAN($B55-Conversion!$B$15,2020,2050),Report_Scenarios!$A$18:$A$24,1)),INDEX(Report_Scenarios!$D$18:$D$24,MATCH(MEDIAN($B55-Conversion!$B$15,2020,2050),Report_Scenarios!$A$18:$A$24,1))+(INDEX(Report_Scenarios!$D$18:$D$24,MIN(MATCH(MEDIAN($B55-Conversion!$B$15,2020,2050),Report_Scenarios!$A$18:$A$24,1)+1,7))-INDEX(Report_Scenarios!$D$18:$D$24,MATCH(MEDIAN($B55-Conversion!$B$15,2020,2050),Report_Scenarios!$A$18:$A$24,1)))*(MEDIAN($B55-Conversion!$B$15,2020,2050)-INDEX(Report_Scenarios!$A$18:$A$24,MATCH(MEDIAN($B55-Conversion!$B$15,2020,2050),Report_Scenarios!$A$18:$A$24,1)))/(INDEX(Report_Scenarios!$A$18:$A$24,MIN(MATCH(MEDIAN($B55-Conversion!$B$15,2020,2050),Report_Scenarios!$A$18:$A$24,1)+1,7))-INDEX(Report_Scenarios!$A$18:$A$24,MATCH(MEDIAN($B55-Conversion!$B$15,2020,2050),Report_Scenarios!$A$18:$A$24,1)))),IF(INDEX(Report_Scenarios!$A$29:$A$35,MIN(MATCH(MEDIAN($B55-Conversion!$B$15,2020,2050),Report_Scenarios!$A$29:$A$35,1)+1,7))=INDEX(Report_Scenarios!$A$29:$A$35,MATCH(MEDIAN($B55-Conversion!$B$15,2020,2050),Report_Scenarios!$A$29:$A$35,1)),INDEX(Report_Scenarios!$D$29:$D$35,MATCH(MEDIAN($B55-Conversion!$B$15,2020,2050),Report_Scenarios!$A$29:$A$35,1)),INDEX(Report_Scenarios!$D$29:$D$35,MATCH(MEDIAN($B55-Conversion!$B$15,2020,2050),Report_Scenarios!$A$29:$A$35,1))+(INDEX(Report_Scenarios!$D$29:$D$35,MIN(MATCH(MEDIAN($B55-Conversion!$B$15,2020,2050),Report_Scenarios!$A$29:$A$35,1)+1,7))-INDEX(Report_Scenarios!$D$29:$D$35,MATCH(MEDIAN($B55-Conversion!$B$15,2020,2050),Report_Scenarios!$A$29:$A$35,1)))*(MEDIAN($B55-Conversion!$B$15,2020,2050)-INDEX(Report_Scenarios!$A$29:$A$35,MATCH(MEDIAN($B55-Conversion!$B$15,2020,2050),Report_Scenarios!$A$29:$A$35,1)))/(INDEX(Report_Scenarios!$A$29:$A$35,MIN(MATCH(MEDIAN($B55-Conversion!$B$15,2020,2050),Report_Scenarios!$A$29:$A$35,1)+1,7))-INDEX(Report_Scenarios!$A$29:$A$35,MATCH(MEDIAN($B55-Conversion!$B$15,2020,2050),Report_Scenarios!$A$29:$A$35,1))))))</f>
        <v/>
      </c>
      <c r="H55" s="23">
        <f>IF($D55="Conservative",IF(INDEX(Report_Scenarios!$A$7:$A$13,MIN(MATCH(MEDIAN($B55-Conversion!$B$15,2020,2050),Report_Scenarios!$A$7:$A$13,1)+1,7))=INDEX(Report_Scenarios!$A$7:$A$13,MATCH(MEDIAN($B55-Conversion!$B$15,2020,2050),Report_Scenarios!$A$7:$A$13,1)),INDEX(Report_Scenarios!$E$7:$E$13,MATCH(MEDIAN($B55-Conversion!$B$15,2020,2050),Report_Scenarios!$A$7:$A$13,1)),INDEX(Report_Scenarios!$E$7:$E$13,MATCH(MEDIAN($B55-Conversion!$B$15,2020,2050),Report_Scenarios!$A$7:$A$13,1))+(INDEX(Report_Scenarios!$E$7:$E$13,MIN(MATCH(MEDIAN($B55-Conversion!$B$15,2020,2050),Report_Scenarios!$A$7:$A$13,1)+1,7))-INDEX(Report_Scenarios!$E$7:$E$13,MATCH(MEDIAN($B55-Conversion!$B$15,2020,2050),Report_Scenarios!$A$7:$A$13,1)))*(MEDIAN($B55-Conversion!$B$15,2020,2050)-INDEX(Report_Scenarios!$A$7:$A$13,MATCH(MEDIAN($B55-Conversion!$B$15,2020,2050),Report_Scenarios!$A$7:$A$13,1)))/(INDEX(Report_Scenarios!$A$7:$A$13,MIN(MATCH(MEDIAN($B55-Conversion!$B$15,2020,2050),Report_Scenarios!$A$7:$A$13,1)+1,7))-INDEX(Report_Scenarios!$A$7:$A$13,MATCH(MEDIAN($B55-Conversion!$B$15,2020,2050),Report_Scenarios!$A$7:$A$13,1)))),IF($D55="Central",IF(INDEX(Report_Scenarios!$A$18:$A$24,MIN(MATCH(MEDIAN($B55-Conversion!$B$15,2020,2050),Report_Scenarios!$A$18:$A$24,1)+1,7))=INDEX(Report_Scenarios!$A$18:$A$24,MATCH(MEDIAN($B55-Conversion!$B$15,2020,2050),Report_Scenarios!$A$18:$A$24,1)),INDEX(Report_Scenarios!$E$18:$E$24,MATCH(MEDIAN($B55-Conversion!$B$15,2020,2050),Report_Scenarios!$A$18:$A$24,1)),INDEX(Report_Scenarios!$E$18:$E$24,MATCH(MEDIAN($B55-Conversion!$B$15,2020,2050),Report_Scenarios!$A$18:$A$24,1))+(INDEX(Report_Scenarios!$E$18:$E$24,MIN(MATCH(MEDIAN($B55-Conversion!$B$15,2020,2050),Report_Scenarios!$A$18:$A$24,1)+1,7))-INDEX(Report_Scenarios!$E$18:$E$24,MATCH(MEDIAN($B55-Conversion!$B$15,2020,2050),Report_Scenarios!$A$18:$A$24,1)))*(MEDIAN($B55-Conversion!$B$15,2020,2050)-INDEX(Report_Scenarios!$A$18:$A$24,MATCH(MEDIAN($B55-Conversion!$B$15,2020,2050),Report_Scenarios!$A$18:$A$24,1)))/(INDEX(Report_Scenarios!$A$18:$A$24,MIN(MATCH(MEDIAN($B55-Conversion!$B$15,2020,2050),Report_Scenarios!$A$18:$A$24,1)+1,7))-INDEX(Report_Scenarios!$A$18:$A$24,MATCH(MEDIAN($B55-Conversion!$B$15,2020,2050),Report_Scenarios!$A$18:$A$24,1)))),IF(INDEX(Report_Scenarios!$A$29:$A$35,MIN(MATCH(MEDIAN($B55-Conversion!$B$15,2020,2050),Report_Scenarios!$A$29:$A$35,1)+1,7))=INDEX(Report_Scenarios!$A$29:$A$35,MATCH(MEDIAN($B55-Conversion!$B$15,2020,2050),Report_Scenarios!$A$29:$A$35,1)),INDEX(Report_Scenarios!$E$29:$E$35,MATCH(MEDIAN($B55-Conversion!$B$15,2020,2050),Report_Scenarios!$A$29:$A$35,1)),INDEX(Report_Scenarios!$E$29:$E$35,MATCH(MEDIAN($B55-Conversion!$B$15,2020,2050),Report_Scenarios!$A$29:$A$35,1))+(INDEX(Report_Scenarios!$E$29:$E$35,MIN(MATCH(MEDIAN($B55-Conversion!$B$15,2020,2050),Report_Scenarios!$A$29:$A$35,1)+1,7))-INDEX(Report_Scenarios!$E$29:$E$35,MATCH(MEDIAN($B55-Conversion!$B$15,2020,2050),Report_Scenarios!$A$29:$A$35,1)))*(MEDIAN($B55-Conversion!$B$15,2020,2050)-INDEX(Report_Scenarios!$A$29:$A$35,MATCH(MEDIAN($B55-Conversion!$B$15,2020,2050),Report_Scenarios!$A$29:$A$35,1)))/(INDEX(Report_Scenarios!$A$29:$A$35,MIN(MATCH(MEDIAN($B55-Conversion!$B$15,2020,2050),Report_Scenarios!$A$29:$A$35,1)+1,7))-INDEX(Report_Scenarios!$A$29:$A$35,MATCH(MEDIAN($B55-Conversion!$B$15,2020,2050),Report_Scenarios!$A$29:$A$35,1))))))</f>
        <v/>
      </c>
      <c r="I55" s="23">
        <f>IF($D55="Conservative",IF(INDEX(Report_Scenarios!$A$7:$A$13,MIN(MATCH(MEDIAN($B55-Conversion!$B$15,2020,2050),Report_Scenarios!$A$7:$A$13,1)+1,7))=INDEX(Report_Scenarios!$A$7:$A$13,MATCH(MEDIAN($B55-Conversion!$B$15,2020,2050),Report_Scenarios!$A$7:$A$13,1)),INDEX(Report_Scenarios!$F$7:$F$13,MATCH(MEDIAN($B55-Conversion!$B$15,2020,2050),Report_Scenarios!$A$7:$A$13,1)),INDEX(Report_Scenarios!$F$7:$F$13,MATCH(MEDIAN($B55-Conversion!$B$15,2020,2050),Report_Scenarios!$A$7:$A$13,1))+(INDEX(Report_Scenarios!$F$7:$F$13,MIN(MATCH(MEDIAN($B55-Conversion!$B$15,2020,2050),Report_Scenarios!$A$7:$A$13,1)+1,7))-INDEX(Report_Scenarios!$F$7:$F$13,MATCH(MEDIAN($B55-Conversion!$B$15,2020,2050),Report_Scenarios!$A$7:$A$13,1)))*(MEDIAN($B55-Conversion!$B$15,2020,2050)-INDEX(Report_Scenarios!$A$7:$A$13,MATCH(MEDIAN($B55-Conversion!$B$15,2020,2050),Report_Scenarios!$A$7:$A$13,1)))/(INDEX(Report_Scenarios!$A$7:$A$13,MIN(MATCH(MEDIAN($B55-Conversion!$B$15,2020,2050),Report_Scenarios!$A$7:$A$13,1)+1,7))-INDEX(Report_Scenarios!$A$7:$A$13,MATCH(MEDIAN($B55-Conversion!$B$15,2020,2050),Report_Scenarios!$A$7:$A$13,1)))),IF($D55="Central",IF(INDEX(Report_Scenarios!$A$18:$A$24,MIN(MATCH(MEDIAN($B55-Conversion!$B$15,2020,2050),Report_Scenarios!$A$18:$A$24,1)+1,7))=INDEX(Report_Scenarios!$A$18:$A$24,MATCH(MEDIAN($B55-Conversion!$B$15,2020,2050),Report_Scenarios!$A$18:$A$24,1)),INDEX(Report_Scenarios!$F$18:$F$24,MATCH(MEDIAN($B55-Conversion!$B$15,2020,2050),Report_Scenarios!$A$18:$A$24,1)),INDEX(Report_Scenarios!$F$18:$F$24,MATCH(MEDIAN($B55-Conversion!$B$15,2020,2050),Report_Scenarios!$A$18:$A$24,1))+(INDEX(Report_Scenarios!$F$18:$F$24,MIN(MATCH(MEDIAN($B55-Conversion!$B$15,2020,2050),Report_Scenarios!$A$18:$A$24,1)+1,7))-INDEX(Report_Scenarios!$F$18:$F$24,MATCH(MEDIAN($B55-Conversion!$B$15,2020,2050),Report_Scenarios!$A$18:$A$24,1)))*(MEDIAN($B55-Conversion!$B$15,2020,2050)-INDEX(Report_Scenarios!$A$18:$A$24,MATCH(MEDIAN($B55-Conversion!$B$15,2020,2050),Report_Scenarios!$A$18:$A$24,1)))/(INDEX(Report_Scenarios!$A$18:$A$24,MIN(MATCH(MEDIAN($B55-Conversion!$B$15,2020,2050),Report_Scenarios!$A$18:$A$24,1)+1,7))-INDEX(Report_Scenarios!$A$18:$A$24,MATCH(MEDIAN($B55-Conversion!$B$15,2020,2050),Report_Scenarios!$A$18:$A$24,1)))),IF(INDEX(Report_Scenarios!$A$29:$A$35,MIN(MATCH(MEDIAN($B55-Conversion!$B$15,2020,2050),Report_Scenarios!$A$29:$A$35,1)+1,7))=INDEX(Report_Scenarios!$A$29:$A$35,MATCH(MEDIAN($B55-Conversion!$B$15,2020,2050),Report_Scenarios!$A$29:$A$35,1)),INDEX(Report_Scenarios!$F$29:$F$35,MATCH(MEDIAN($B55-Conversion!$B$15,2020,2050),Report_Scenarios!$A$29:$A$35,1)),INDEX(Report_Scenarios!$F$29:$F$35,MATCH(MEDIAN($B55-Conversion!$B$15,2020,2050),Report_Scenarios!$A$29:$A$35,1))+(INDEX(Report_Scenarios!$F$29:$F$35,MIN(MATCH(MEDIAN($B55-Conversion!$B$15,2020,2050),Report_Scenarios!$A$29:$A$35,1)+1,7))-INDEX(Report_Scenarios!$F$29:$F$35,MATCH(MEDIAN($B55-Conversion!$B$15,2020,2050),Report_Scenarios!$A$29:$A$35,1)))*(MEDIAN($B55-Conversion!$B$15,2020,2050)-INDEX(Report_Scenarios!$A$29:$A$35,MATCH(MEDIAN($B55-Conversion!$B$15,2020,2050),Report_Scenarios!$A$29:$A$35,1)))/(INDEX(Report_Scenarios!$A$29:$A$35,MIN(MATCH(MEDIAN($B55-Conversion!$B$15,2020,2050),Report_Scenarios!$A$29:$A$35,1)+1,7))-INDEX(Report_Scenarios!$A$29:$A$35,MATCH(MEDIAN($B55-Conversion!$B$15,2020,2050),Report_Scenarios!$A$29:$A$35,1))))))</f>
        <v/>
      </c>
      <c r="J55" s="23">
        <f>IF($D55="Conservative",IF(INDEX(Report_Scenarios!$A$7:$A$13,MIN(MATCH(MEDIAN($B55-Conversion!$B$15,2020,2050),Report_Scenarios!$A$7:$A$13,1)+1,7))=INDEX(Report_Scenarios!$A$7:$A$13,MATCH(MEDIAN($B55-Conversion!$B$15,2020,2050),Report_Scenarios!$A$7:$A$13,1)),INDEX(Report_Scenarios!$G$7:$G$13,MATCH(MEDIAN($B55-Conversion!$B$15,2020,2050),Report_Scenarios!$A$7:$A$13,1)),INDEX(Report_Scenarios!$G$7:$G$13,MATCH(MEDIAN($B55-Conversion!$B$15,2020,2050),Report_Scenarios!$A$7:$A$13,1))+(INDEX(Report_Scenarios!$G$7:$G$13,MIN(MATCH(MEDIAN($B55-Conversion!$B$15,2020,2050),Report_Scenarios!$A$7:$A$13,1)+1,7))-INDEX(Report_Scenarios!$G$7:$G$13,MATCH(MEDIAN($B55-Conversion!$B$15,2020,2050),Report_Scenarios!$A$7:$A$13,1)))*(MEDIAN($B55-Conversion!$B$15,2020,2050)-INDEX(Report_Scenarios!$A$7:$A$13,MATCH(MEDIAN($B55-Conversion!$B$15,2020,2050),Report_Scenarios!$A$7:$A$13,1)))/(INDEX(Report_Scenarios!$A$7:$A$13,MIN(MATCH(MEDIAN($B55-Conversion!$B$15,2020,2050),Report_Scenarios!$A$7:$A$13,1)+1,7))-INDEX(Report_Scenarios!$A$7:$A$13,MATCH(MEDIAN($B55-Conversion!$B$15,2020,2050),Report_Scenarios!$A$7:$A$13,1)))),IF($D55="Central",IF(INDEX(Report_Scenarios!$A$18:$A$24,MIN(MATCH(MEDIAN($B55-Conversion!$B$15,2020,2050),Report_Scenarios!$A$18:$A$24,1)+1,7))=INDEX(Report_Scenarios!$A$18:$A$24,MATCH(MEDIAN($B55-Conversion!$B$15,2020,2050),Report_Scenarios!$A$18:$A$24,1)),INDEX(Report_Scenarios!$G$18:$G$24,MATCH(MEDIAN($B55-Conversion!$B$15,2020,2050),Report_Scenarios!$A$18:$A$24,1)),INDEX(Report_Scenarios!$G$18:$G$24,MATCH(MEDIAN($B55-Conversion!$B$15,2020,2050),Report_Scenarios!$A$18:$A$24,1))+(INDEX(Report_Scenarios!$G$18:$G$24,MIN(MATCH(MEDIAN($B55-Conversion!$B$15,2020,2050),Report_Scenarios!$A$18:$A$24,1)+1,7))-INDEX(Report_Scenarios!$G$18:$G$24,MATCH(MEDIAN($B55-Conversion!$B$15,2020,2050),Report_Scenarios!$A$18:$A$24,1)))*(MEDIAN($B55-Conversion!$B$15,2020,2050)-INDEX(Report_Scenarios!$A$18:$A$24,MATCH(MEDIAN($B55-Conversion!$B$15,2020,2050),Report_Scenarios!$A$18:$A$24,1)))/(INDEX(Report_Scenarios!$A$18:$A$24,MIN(MATCH(MEDIAN($B55-Conversion!$B$15,2020,2050),Report_Scenarios!$A$18:$A$24,1)+1,7))-INDEX(Report_Scenarios!$A$18:$A$24,MATCH(MEDIAN($B55-Conversion!$B$15,2020,2050),Report_Scenarios!$A$18:$A$24,1)))),IF(INDEX(Report_Scenarios!$A$29:$A$35,MIN(MATCH(MEDIAN($B55-Conversion!$B$15,2020,2050),Report_Scenarios!$A$29:$A$35,1)+1,7))=INDEX(Report_Scenarios!$A$29:$A$35,MATCH(MEDIAN($B55-Conversion!$B$15,2020,2050),Report_Scenarios!$A$29:$A$35,1)),INDEX(Report_Scenarios!$G$29:$G$35,MATCH(MEDIAN($B55-Conversion!$B$15,2020,2050),Report_Scenarios!$A$29:$A$35,1)),INDEX(Report_Scenarios!$G$29:$G$35,MATCH(MEDIAN($B55-Conversion!$B$15,2020,2050),Report_Scenarios!$A$29:$A$35,1))+(INDEX(Report_Scenarios!$G$29:$G$35,MIN(MATCH(MEDIAN($B55-Conversion!$B$15,2020,2050),Report_Scenarios!$A$29:$A$35,1)+1,7))-INDEX(Report_Scenarios!$G$29:$G$35,MATCH(MEDIAN($B55-Conversion!$B$15,2020,2050),Report_Scenarios!$A$29:$A$35,1)))*(MEDIAN($B55-Conversion!$B$15,2020,2050)-INDEX(Report_Scenarios!$A$29:$A$35,MATCH(MEDIAN($B55-Conversion!$B$15,2020,2050),Report_Scenarios!$A$29:$A$35,1)))/(INDEX(Report_Scenarios!$A$29:$A$35,MIN(MATCH(MEDIAN($B55-Conversion!$B$15,2020,2050),Report_Scenarios!$A$29:$A$35,1)+1,7))-INDEX(Report_Scenarios!$A$29:$A$35,MATCH(MEDIAN($B55-Conversion!$B$15,2020,2050),Report_Scenarios!$A$29:$A$35,1))))))</f>
        <v/>
      </c>
      <c r="K55" s="23">
        <f>SUM(E55:J55)</f>
        <v/>
      </c>
      <c r="L55" s="23">
        <f>IF(R55&lt;&gt;"",R55,IF($K55=0,0,E55/$K55))</f>
        <v/>
      </c>
      <c r="M55" s="23">
        <f>IF(S55&lt;&gt;"",S55,IF($K55=0,0,F55/$K55))</f>
        <v/>
      </c>
      <c r="N55" s="23">
        <f>IF(T55&lt;&gt;"",T55,IF($K55=0,0,G55/$K55))</f>
        <v/>
      </c>
      <c r="O55" s="23">
        <f>IF(U55&lt;&gt;"",U55,IF($K55=0,0,H55/$K55))</f>
        <v/>
      </c>
      <c r="P55" s="23">
        <f>IF(V55&lt;&gt;"",V55,IF($K55=0,0,I55/$K55))</f>
        <v/>
      </c>
      <c r="Q55" s="23">
        <f>IF(W55&lt;&gt;"",W55,IF($K55=0,0,J55/$K55))</f>
        <v/>
      </c>
      <c r="R55" s="24" t="n"/>
      <c r="S55" s="24" t="n"/>
      <c r="T55" s="24" t="n"/>
      <c r="U55" s="24" t="n"/>
      <c r="V55" s="24" t="n"/>
      <c r="W55" s="24" t="n"/>
    </row>
    <row r="56">
      <c r="A56" s="4" t="inlineStr">
        <is>
          <t>CD</t>
        </is>
      </c>
      <c r="B56" s="4" t="n">
        <v>2055</v>
      </c>
      <c r="C56" s="4" t="inlineStr">
        <is>
          <t>Share_Min</t>
        </is>
      </c>
      <c r="D56" s="4">
        <f>Conversion!$B$18</f>
        <v/>
      </c>
      <c r="E56" s="23">
        <f>IF($D56="Conservative",IF(INDEX(Report_Scenarios!$A$7:$A$13,MIN(MATCH(MEDIAN($B56-Conversion!$B$15,2020,2050),Report_Scenarios!$A$7:$A$13,1)+1,7))=INDEX(Report_Scenarios!$A$7:$A$13,MATCH(MEDIAN($B56-Conversion!$B$15,2020,2050),Report_Scenarios!$A$7:$A$13,1)),INDEX(Report_Scenarios!$B$7:$B$13,MATCH(MEDIAN($B56-Conversion!$B$15,2020,2050),Report_Scenarios!$A$7:$A$13,1)),INDEX(Report_Scenarios!$B$7:$B$13,MATCH(MEDIAN($B56-Conversion!$B$15,2020,2050),Report_Scenarios!$A$7:$A$13,1))+(INDEX(Report_Scenarios!$B$7:$B$13,MIN(MATCH(MEDIAN($B56-Conversion!$B$15,2020,2050),Report_Scenarios!$A$7:$A$13,1)+1,7))-INDEX(Report_Scenarios!$B$7:$B$13,MATCH(MEDIAN($B56-Conversion!$B$15,2020,2050),Report_Scenarios!$A$7:$A$13,1)))*(MEDIAN($B56-Conversion!$B$15,2020,2050)-INDEX(Report_Scenarios!$A$7:$A$13,MATCH(MEDIAN($B56-Conversion!$B$15,2020,2050),Report_Scenarios!$A$7:$A$13,1)))/(INDEX(Report_Scenarios!$A$7:$A$13,MIN(MATCH(MEDIAN($B56-Conversion!$B$15,2020,2050),Report_Scenarios!$A$7:$A$13,1)+1,7))-INDEX(Report_Scenarios!$A$7:$A$13,MATCH(MEDIAN($B56-Conversion!$B$15,2020,2050),Report_Scenarios!$A$7:$A$13,1)))),IF($D56="Central",IF(INDEX(Report_Scenarios!$A$18:$A$24,MIN(MATCH(MEDIAN($B56-Conversion!$B$15,2020,2050),Report_Scenarios!$A$18:$A$24,1)+1,7))=INDEX(Report_Scenarios!$A$18:$A$24,MATCH(MEDIAN($B56-Conversion!$B$15,2020,2050),Report_Scenarios!$A$18:$A$24,1)),INDEX(Report_Scenarios!$B$18:$B$24,MATCH(MEDIAN($B56-Conversion!$B$15,2020,2050),Report_Scenarios!$A$18:$A$24,1)),INDEX(Report_Scenarios!$B$18:$B$24,MATCH(MEDIAN($B56-Conversion!$B$15,2020,2050),Report_Scenarios!$A$18:$A$24,1))+(INDEX(Report_Scenarios!$B$18:$B$24,MIN(MATCH(MEDIAN($B56-Conversion!$B$15,2020,2050),Report_Scenarios!$A$18:$A$24,1)+1,7))-INDEX(Report_Scenarios!$B$18:$B$24,MATCH(MEDIAN($B56-Conversion!$B$15,2020,2050),Report_Scenarios!$A$18:$A$24,1)))*(MEDIAN($B56-Conversion!$B$15,2020,2050)-INDEX(Report_Scenarios!$A$18:$A$24,MATCH(MEDIAN($B56-Conversion!$B$15,2020,2050),Report_Scenarios!$A$18:$A$24,1)))/(INDEX(Report_Scenarios!$A$18:$A$24,MIN(MATCH(MEDIAN($B56-Conversion!$B$15,2020,2050),Report_Scenarios!$A$18:$A$24,1)+1,7))-INDEX(Report_Scenarios!$A$18:$A$24,MATCH(MEDIAN($B56-Conversion!$B$15,2020,2050),Report_Scenarios!$A$18:$A$24,1)))),IF(INDEX(Report_Scenarios!$A$29:$A$35,MIN(MATCH(MEDIAN($B56-Conversion!$B$15,2020,2050),Report_Scenarios!$A$29:$A$35,1)+1,7))=INDEX(Report_Scenarios!$A$29:$A$35,MATCH(MEDIAN($B56-Conversion!$B$15,2020,2050),Report_Scenarios!$A$29:$A$35,1)),INDEX(Report_Scenarios!$B$29:$B$35,MATCH(MEDIAN($B56-Conversion!$B$15,2020,2050),Report_Scenarios!$A$29:$A$35,1)),INDEX(Report_Scenarios!$B$29:$B$35,MATCH(MEDIAN($B56-Conversion!$B$15,2020,2050),Report_Scenarios!$A$29:$A$35,1))+(INDEX(Report_Scenarios!$B$29:$B$35,MIN(MATCH(MEDIAN($B56-Conversion!$B$15,2020,2050),Report_Scenarios!$A$29:$A$35,1)+1,7))-INDEX(Report_Scenarios!$B$29:$B$35,MATCH(MEDIAN($B56-Conversion!$B$15,2020,2050),Report_Scenarios!$A$29:$A$35,1)))*(MEDIAN($B56-Conversion!$B$15,2020,2050)-INDEX(Report_Scenarios!$A$29:$A$35,MATCH(MEDIAN($B56-Conversion!$B$15,2020,2050),Report_Scenarios!$A$29:$A$35,1)))/(INDEX(Report_Scenarios!$A$29:$A$35,MIN(MATCH(MEDIAN($B56-Conversion!$B$15,2020,2050),Report_Scenarios!$A$29:$A$35,1)+1,7))-INDEX(Report_Scenarios!$A$29:$A$35,MATCH(MEDIAN($B56-Conversion!$B$15,2020,2050),Report_Scenarios!$A$29:$A$35,1))))))</f>
        <v/>
      </c>
      <c r="F56" s="23">
        <f>IF($D56="Conservative",IF(INDEX(Report_Scenarios!$A$7:$A$13,MIN(MATCH(MEDIAN($B56-Conversion!$B$15,2020,2050),Report_Scenarios!$A$7:$A$13,1)+1,7))=INDEX(Report_Scenarios!$A$7:$A$13,MATCH(MEDIAN($B56-Conversion!$B$15,2020,2050),Report_Scenarios!$A$7:$A$13,1)),INDEX(Report_Scenarios!$C$7:$C$13,MATCH(MEDIAN($B56-Conversion!$B$15,2020,2050),Report_Scenarios!$A$7:$A$13,1)),INDEX(Report_Scenarios!$C$7:$C$13,MATCH(MEDIAN($B56-Conversion!$B$15,2020,2050),Report_Scenarios!$A$7:$A$13,1))+(INDEX(Report_Scenarios!$C$7:$C$13,MIN(MATCH(MEDIAN($B56-Conversion!$B$15,2020,2050),Report_Scenarios!$A$7:$A$13,1)+1,7))-INDEX(Report_Scenarios!$C$7:$C$13,MATCH(MEDIAN($B56-Conversion!$B$15,2020,2050),Report_Scenarios!$A$7:$A$13,1)))*(MEDIAN($B56-Conversion!$B$15,2020,2050)-INDEX(Report_Scenarios!$A$7:$A$13,MATCH(MEDIAN($B56-Conversion!$B$15,2020,2050),Report_Scenarios!$A$7:$A$13,1)))/(INDEX(Report_Scenarios!$A$7:$A$13,MIN(MATCH(MEDIAN($B56-Conversion!$B$15,2020,2050),Report_Scenarios!$A$7:$A$13,1)+1,7))-INDEX(Report_Scenarios!$A$7:$A$13,MATCH(MEDIAN($B56-Conversion!$B$15,2020,2050),Report_Scenarios!$A$7:$A$13,1)))),IF($D56="Central",IF(INDEX(Report_Scenarios!$A$18:$A$24,MIN(MATCH(MEDIAN($B56-Conversion!$B$15,2020,2050),Report_Scenarios!$A$18:$A$24,1)+1,7))=INDEX(Report_Scenarios!$A$18:$A$24,MATCH(MEDIAN($B56-Conversion!$B$15,2020,2050),Report_Scenarios!$A$18:$A$24,1)),INDEX(Report_Scenarios!$C$18:$C$24,MATCH(MEDIAN($B56-Conversion!$B$15,2020,2050),Report_Scenarios!$A$18:$A$24,1)),INDEX(Report_Scenarios!$C$18:$C$24,MATCH(MEDIAN($B56-Conversion!$B$15,2020,2050),Report_Scenarios!$A$18:$A$24,1))+(INDEX(Report_Scenarios!$C$18:$C$24,MIN(MATCH(MEDIAN($B56-Conversion!$B$15,2020,2050),Report_Scenarios!$A$18:$A$24,1)+1,7))-INDEX(Report_Scenarios!$C$18:$C$24,MATCH(MEDIAN($B56-Conversion!$B$15,2020,2050),Report_Scenarios!$A$18:$A$24,1)))*(MEDIAN($B56-Conversion!$B$15,2020,2050)-INDEX(Report_Scenarios!$A$18:$A$24,MATCH(MEDIAN($B56-Conversion!$B$15,2020,2050),Report_Scenarios!$A$18:$A$24,1)))/(INDEX(Report_Scenarios!$A$18:$A$24,MIN(MATCH(MEDIAN($B56-Conversion!$B$15,2020,2050),Report_Scenarios!$A$18:$A$24,1)+1,7))-INDEX(Report_Scenarios!$A$18:$A$24,MATCH(MEDIAN($B56-Conversion!$B$15,2020,2050),Report_Scenarios!$A$18:$A$24,1)))),IF(INDEX(Report_Scenarios!$A$29:$A$35,MIN(MATCH(MEDIAN($B56-Conversion!$B$15,2020,2050),Report_Scenarios!$A$29:$A$35,1)+1,7))=INDEX(Report_Scenarios!$A$29:$A$35,MATCH(MEDIAN($B56-Conversion!$B$15,2020,2050),Report_Scenarios!$A$29:$A$35,1)),INDEX(Report_Scenarios!$C$29:$C$35,MATCH(MEDIAN($B56-Conversion!$B$15,2020,2050),Report_Scenarios!$A$29:$A$35,1)),INDEX(Report_Scenarios!$C$29:$C$35,MATCH(MEDIAN($B56-Conversion!$B$15,2020,2050),Report_Scenarios!$A$29:$A$35,1))+(INDEX(Report_Scenarios!$C$29:$C$35,MIN(MATCH(MEDIAN($B56-Conversion!$B$15,2020,2050),Report_Scenarios!$A$29:$A$35,1)+1,7))-INDEX(Report_Scenarios!$C$29:$C$35,MATCH(MEDIAN($B56-Conversion!$B$15,2020,2050),Report_Scenarios!$A$29:$A$35,1)))*(MEDIAN($B56-Conversion!$B$15,2020,2050)-INDEX(Report_Scenarios!$A$29:$A$35,MATCH(MEDIAN($B56-Conversion!$B$15,2020,2050),Report_Scenarios!$A$29:$A$35,1)))/(INDEX(Report_Scenarios!$A$29:$A$35,MIN(MATCH(MEDIAN($B56-Conversion!$B$15,2020,2050),Report_Scenarios!$A$29:$A$35,1)+1,7))-INDEX(Report_Scenarios!$A$29:$A$35,MATCH(MEDIAN($B56-Conversion!$B$15,2020,2050),Report_Scenarios!$A$29:$A$35,1))))))</f>
        <v/>
      </c>
      <c r="G56" s="23">
        <f>IF($D56="Conservative",IF(INDEX(Report_Scenarios!$A$7:$A$13,MIN(MATCH(MEDIAN($B56-Conversion!$B$15,2020,2050),Report_Scenarios!$A$7:$A$13,1)+1,7))=INDEX(Report_Scenarios!$A$7:$A$13,MATCH(MEDIAN($B56-Conversion!$B$15,2020,2050),Report_Scenarios!$A$7:$A$13,1)),INDEX(Report_Scenarios!$D$7:$D$13,MATCH(MEDIAN($B56-Conversion!$B$15,2020,2050),Report_Scenarios!$A$7:$A$13,1)),INDEX(Report_Scenarios!$D$7:$D$13,MATCH(MEDIAN($B56-Conversion!$B$15,2020,2050),Report_Scenarios!$A$7:$A$13,1))+(INDEX(Report_Scenarios!$D$7:$D$13,MIN(MATCH(MEDIAN($B56-Conversion!$B$15,2020,2050),Report_Scenarios!$A$7:$A$13,1)+1,7))-INDEX(Report_Scenarios!$D$7:$D$13,MATCH(MEDIAN($B56-Conversion!$B$15,2020,2050),Report_Scenarios!$A$7:$A$13,1)))*(MEDIAN($B56-Conversion!$B$15,2020,2050)-INDEX(Report_Scenarios!$A$7:$A$13,MATCH(MEDIAN($B56-Conversion!$B$15,2020,2050),Report_Scenarios!$A$7:$A$13,1)))/(INDEX(Report_Scenarios!$A$7:$A$13,MIN(MATCH(MEDIAN($B56-Conversion!$B$15,2020,2050),Report_Scenarios!$A$7:$A$13,1)+1,7))-INDEX(Report_Scenarios!$A$7:$A$13,MATCH(MEDIAN($B56-Conversion!$B$15,2020,2050),Report_Scenarios!$A$7:$A$13,1)))),IF($D56="Central",IF(INDEX(Report_Scenarios!$A$18:$A$24,MIN(MATCH(MEDIAN($B56-Conversion!$B$15,2020,2050),Report_Scenarios!$A$18:$A$24,1)+1,7))=INDEX(Report_Scenarios!$A$18:$A$24,MATCH(MEDIAN($B56-Conversion!$B$15,2020,2050),Report_Scenarios!$A$18:$A$24,1)),INDEX(Report_Scenarios!$D$18:$D$24,MATCH(MEDIAN($B56-Conversion!$B$15,2020,2050),Report_Scenarios!$A$18:$A$24,1)),INDEX(Report_Scenarios!$D$18:$D$24,MATCH(MEDIAN($B56-Conversion!$B$15,2020,2050),Report_Scenarios!$A$18:$A$24,1))+(INDEX(Report_Scenarios!$D$18:$D$24,MIN(MATCH(MEDIAN($B56-Conversion!$B$15,2020,2050),Report_Scenarios!$A$18:$A$24,1)+1,7))-INDEX(Report_Scenarios!$D$18:$D$24,MATCH(MEDIAN($B56-Conversion!$B$15,2020,2050),Report_Scenarios!$A$18:$A$24,1)))*(MEDIAN($B56-Conversion!$B$15,2020,2050)-INDEX(Report_Scenarios!$A$18:$A$24,MATCH(MEDIAN($B56-Conversion!$B$15,2020,2050),Report_Scenarios!$A$18:$A$24,1)))/(INDEX(Report_Scenarios!$A$18:$A$24,MIN(MATCH(MEDIAN($B56-Conversion!$B$15,2020,2050),Report_Scenarios!$A$18:$A$24,1)+1,7))-INDEX(Report_Scenarios!$A$18:$A$24,MATCH(MEDIAN($B56-Conversion!$B$15,2020,2050),Report_Scenarios!$A$18:$A$24,1)))),IF(INDEX(Report_Scenarios!$A$29:$A$35,MIN(MATCH(MEDIAN($B56-Conversion!$B$15,2020,2050),Report_Scenarios!$A$29:$A$35,1)+1,7))=INDEX(Report_Scenarios!$A$29:$A$35,MATCH(MEDIAN($B56-Conversion!$B$15,2020,2050),Report_Scenarios!$A$29:$A$35,1)),INDEX(Report_Scenarios!$D$29:$D$35,MATCH(MEDIAN($B56-Conversion!$B$15,2020,2050),Report_Scenarios!$A$29:$A$35,1)),INDEX(Report_Scenarios!$D$29:$D$35,MATCH(MEDIAN($B56-Conversion!$B$15,2020,2050),Report_Scenarios!$A$29:$A$35,1))+(INDEX(Report_Scenarios!$D$29:$D$35,MIN(MATCH(MEDIAN($B56-Conversion!$B$15,2020,2050),Report_Scenarios!$A$29:$A$35,1)+1,7))-INDEX(Report_Scenarios!$D$29:$D$35,MATCH(MEDIAN($B56-Conversion!$B$15,2020,2050),Report_Scenarios!$A$29:$A$35,1)))*(MEDIAN($B56-Conversion!$B$15,2020,2050)-INDEX(Report_Scenarios!$A$29:$A$35,MATCH(MEDIAN($B56-Conversion!$B$15,2020,2050),Report_Scenarios!$A$29:$A$35,1)))/(INDEX(Report_Scenarios!$A$29:$A$35,MIN(MATCH(MEDIAN($B56-Conversion!$B$15,2020,2050),Report_Scenarios!$A$29:$A$35,1)+1,7))-INDEX(Report_Scenarios!$A$29:$A$35,MATCH(MEDIAN($B56-Conversion!$B$15,2020,2050),Report_Scenarios!$A$29:$A$35,1))))))</f>
        <v/>
      </c>
      <c r="H56" s="23">
        <f>IF($D56="Conservative",IF(INDEX(Report_Scenarios!$A$7:$A$13,MIN(MATCH(MEDIAN($B56-Conversion!$B$15,2020,2050),Report_Scenarios!$A$7:$A$13,1)+1,7))=INDEX(Report_Scenarios!$A$7:$A$13,MATCH(MEDIAN($B56-Conversion!$B$15,2020,2050),Report_Scenarios!$A$7:$A$13,1)),INDEX(Report_Scenarios!$E$7:$E$13,MATCH(MEDIAN($B56-Conversion!$B$15,2020,2050),Report_Scenarios!$A$7:$A$13,1)),INDEX(Report_Scenarios!$E$7:$E$13,MATCH(MEDIAN($B56-Conversion!$B$15,2020,2050),Report_Scenarios!$A$7:$A$13,1))+(INDEX(Report_Scenarios!$E$7:$E$13,MIN(MATCH(MEDIAN($B56-Conversion!$B$15,2020,2050),Report_Scenarios!$A$7:$A$13,1)+1,7))-INDEX(Report_Scenarios!$E$7:$E$13,MATCH(MEDIAN($B56-Conversion!$B$15,2020,2050),Report_Scenarios!$A$7:$A$13,1)))*(MEDIAN($B56-Conversion!$B$15,2020,2050)-INDEX(Report_Scenarios!$A$7:$A$13,MATCH(MEDIAN($B56-Conversion!$B$15,2020,2050),Report_Scenarios!$A$7:$A$13,1)))/(INDEX(Report_Scenarios!$A$7:$A$13,MIN(MATCH(MEDIAN($B56-Conversion!$B$15,2020,2050),Report_Scenarios!$A$7:$A$13,1)+1,7))-INDEX(Report_Scenarios!$A$7:$A$13,MATCH(MEDIAN($B56-Conversion!$B$15,2020,2050),Report_Scenarios!$A$7:$A$13,1)))),IF($D56="Central",IF(INDEX(Report_Scenarios!$A$18:$A$24,MIN(MATCH(MEDIAN($B56-Conversion!$B$15,2020,2050),Report_Scenarios!$A$18:$A$24,1)+1,7))=INDEX(Report_Scenarios!$A$18:$A$24,MATCH(MEDIAN($B56-Conversion!$B$15,2020,2050),Report_Scenarios!$A$18:$A$24,1)),INDEX(Report_Scenarios!$E$18:$E$24,MATCH(MEDIAN($B56-Conversion!$B$15,2020,2050),Report_Scenarios!$A$18:$A$24,1)),INDEX(Report_Scenarios!$E$18:$E$24,MATCH(MEDIAN($B56-Conversion!$B$15,2020,2050),Report_Scenarios!$A$18:$A$24,1))+(INDEX(Report_Scenarios!$E$18:$E$24,MIN(MATCH(MEDIAN($B56-Conversion!$B$15,2020,2050),Report_Scenarios!$A$18:$A$24,1)+1,7))-INDEX(Report_Scenarios!$E$18:$E$24,MATCH(MEDIAN($B56-Conversion!$B$15,2020,2050),Report_Scenarios!$A$18:$A$24,1)))*(MEDIAN($B56-Conversion!$B$15,2020,2050)-INDEX(Report_Scenarios!$A$18:$A$24,MATCH(MEDIAN($B56-Conversion!$B$15,2020,2050),Report_Scenarios!$A$18:$A$24,1)))/(INDEX(Report_Scenarios!$A$18:$A$24,MIN(MATCH(MEDIAN($B56-Conversion!$B$15,2020,2050),Report_Scenarios!$A$18:$A$24,1)+1,7))-INDEX(Report_Scenarios!$A$18:$A$24,MATCH(MEDIAN($B56-Conversion!$B$15,2020,2050),Report_Scenarios!$A$18:$A$24,1)))),IF(INDEX(Report_Scenarios!$A$29:$A$35,MIN(MATCH(MEDIAN($B56-Conversion!$B$15,2020,2050),Report_Scenarios!$A$29:$A$35,1)+1,7))=INDEX(Report_Scenarios!$A$29:$A$35,MATCH(MEDIAN($B56-Conversion!$B$15,2020,2050),Report_Scenarios!$A$29:$A$35,1)),INDEX(Report_Scenarios!$E$29:$E$35,MATCH(MEDIAN($B56-Conversion!$B$15,2020,2050),Report_Scenarios!$A$29:$A$35,1)),INDEX(Report_Scenarios!$E$29:$E$35,MATCH(MEDIAN($B56-Conversion!$B$15,2020,2050),Report_Scenarios!$A$29:$A$35,1))+(INDEX(Report_Scenarios!$E$29:$E$35,MIN(MATCH(MEDIAN($B56-Conversion!$B$15,2020,2050),Report_Scenarios!$A$29:$A$35,1)+1,7))-INDEX(Report_Scenarios!$E$29:$E$35,MATCH(MEDIAN($B56-Conversion!$B$15,2020,2050),Report_Scenarios!$A$29:$A$35,1)))*(MEDIAN($B56-Conversion!$B$15,2020,2050)-INDEX(Report_Scenarios!$A$29:$A$35,MATCH(MEDIAN($B56-Conversion!$B$15,2020,2050),Report_Scenarios!$A$29:$A$35,1)))/(INDEX(Report_Scenarios!$A$29:$A$35,MIN(MATCH(MEDIAN($B56-Conversion!$B$15,2020,2050),Report_Scenarios!$A$29:$A$35,1)+1,7))-INDEX(Report_Scenarios!$A$29:$A$35,MATCH(MEDIAN($B56-Conversion!$B$15,2020,2050),Report_Scenarios!$A$29:$A$35,1))))))</f>
        <v/>
      </c>
      <c r="I56" s="23">
        <f>IF($D56="Conservative",IF(INDEX(Report_Scenarios!$A$7:$A$13,MIN(MATCH(MEDIAN($B56-Conversion!$B$15,2020,2050),Report_Scenarios!$A$7:$A$13,1)+1,7))=INDEX(Report_Scenarios!$A$7:$A$13,MATCH(MEDIAN($B56-Conversion!$B$15,2020,2050),Report_Scenarios!$A$7:$A$13,1)),INDEX(Report_Scenarios!$F$7:$F$13,MATCH(MEDIAN($B56-Conversion!$B$15,2020,2050),Report_Scenarios!$A$7:$A$13,1)),INDEX(Report_Scenarios!$F$7:$F$13,MATCH(MEDIAN($B56-Conversion!$B$15,2020,2050),Report_Scenarios!$A$7:$A$13,1))+(INDEX(Report_Scenarios!$F$7:$F$13,MIN(MATCH(MEDIAN($B56-Conversion!$B$15,2020,2050),Report_Scenarios!$A$7:$A$13,1)+1,7))-INDEX(Report_Scenarios!$F$7:$F$13,MATCH(MEDIAN($B56-Conversion!$B$15,2020,2050),Report_Scenarios!$A$7:$A$13,1)))*(MEDIAN($B56-Conversion!$B$15,2020,2050)-INDEX(Report_Scenarios!$A$7:$A$13,MATCH(MEDIAN($B56-Conversion!$B$15,2020,2050),Report_Scenarios!$A$7:$A$13,1)))/(INDEX(Report_Scenarios!$A$7:$A$13,MIN(MATCH(MEDIAN($B56-Conversion!$B$15,2020,2050),Report_Scenarios!$A$7:$A$13,1)+1,7))-INDEX(Report_Scenarios!$A$7:$A$13,MATCH(MEDIAN($B56-Conversion!$B$15,2020,2050),Report_Scenarios!$A$7:$A$13,1)))),IF($D56="Central",IF(INDEX(Report_Scenarios!$A$18:$A$24,MIN(MATCH(MEDIAN($B56-Conversion!$B$15,2020,2050),Report_Scenarios!$A$18:$A$24,1)+1,7))=INDEX(Report_Scenarios!$A$18:$A$24,MATCH(MEDIAN($B56-Conversion!$B$15,2020,2050),Report_Scenarios!$A$18:$A$24,1)),INDEX(Report_Scenarios!$F$18:$F$24,MATCH(MEDIAN($B56-Conversion!$B$15,2020,2050),Report_Scenarios!$A$18:$A$24,1)),INDEX(Report_Scenarios!$F$18:$F$24,MATCH(MEDIAN($B56-Conversion!$B$15,2020,2050),Report_Scenarios!$A$18:$A$24,1))+(INDEX(Report_Scenarios!$F$18:$F$24,MIN(MATCH(MEDIAN($B56-Conversion!$B$15,2020,2050),Report_Scenarios!$A$18:$A$24,1)+1,7))-INDEX(Report_Scenarios!$F$18:$F$24,MATCH(MEDIAN($B56-Conversion!$B$15,2020,2050),Report_Scenarios!$A$18:$A$24,1)))*(MEDIAN($B56-Conversion!$B$15,2020,2050)-INDEX(Report_Scenarios!$A$18:$A$24,MATCH(MEDIAN($B56-Conversion!$B$15,2020,2050),Report_Scenarios!$A$18:$A$24,1)))/(INDEX(Report_Scenarios!$A$18:$A$24,MIN(MATCH(MEDIAN($B56-Conversion!$B$15,2020,2050),Report_Scenarios!$A$18:$A$24,1)+1,7))-INDEX(Report_Scenarios!$A$18:$A$24,MATCH(MEDIAN($B56-Conversion!$B$15,2020,2050),Report_Scenarios!$A$18:$A$24,1)))),IF(INDEX(Report_Scenarios!$A$29:$A$35,MIN(MATCH(MEDIAN($B56-Conversion!$B$15,2020,2050),Report_Scenarios!$A$29:$A$35,1)+1,7))=INDEX(Report_Scenarios!$A$29:$A$35,MATCH(MEDIAN($B56-Conversion!$B$15,2020,2050),Report_Scenarios!$A$29:$A$35,1)),INDEX(Report_Scenarios!$F$29:$F$35,MATCH(MEDIAN($B56-Conversion!$B$15,2020,2050),Report_Scenarios!$A$29:$A$35,1)),INDEX(Report_Scenarios!$F$29:$F$35,MATCH(MEDIAN($B56-Conversion!$B$15,2020,2050),Report_Scenarios!$A$29:$A$35,1))+(INDEX(Report_Scenarios!$F$29:$F$35,MIN(MATCH(MEDIAN($B56-Conversion!$B$15,2020,2050),Report_Scenarios!$A$29:$A$35,1)+1,7))-INDEX(Report_Scenarios!$F$29:$F$35,MATCH(MEDIAN($B56-Conversion!$B$15,2020,2050),Report_Scenarios!$A$29:$A$35,1)))*(MEDIAN($B56-Conversion!$B$15,2020,2050)-INDEX(Report_Scenarios!$A$29:$A$35,MATCH(MEDIAN($B56-Conversion!$B$15,2020,2050),Report_Scenarios!$A$29:$A$35,1)))/(INDEX(Report_Scenarios!$A$29:$A$35,MIN(MATCH(MEDIAN($B56-Conversion!$B$15,2020,2050),Report_Scenarios!$A$29:$A$35,1)+1,7))-INDEX(Report_Scenarios!$A$29:$A$35,MATCH(MEDIAN($B56-Conversion!$B$15,2020,2050),Report_Scenarios!$A$29:$A$35,1))))))</f>
        <v/>
      </c>
      <c r="J56" s="23">
        <f>IF($D56="Conservative",IF(INDEX(Report_Scenarios!$A$7:$A$13,MIN(MATCH(MEDIAN($B56-Conversion!$B$15,2020,2050),Report_Scenarios!$A$7:$A$13,1)+1,7))=INDEX(Report_Scenarios!$A$7:$A$13,MATCH(MEDIAN($B56-Conversion!$B$15,2020,2050),Report_Scenarios!$A$7:$A$13,1)),INDEX(Report_Scenarios!$G$7:$G$13,MATCH(MEDIAN($B56-Conversion!$B$15,2020,2050),Report_Scenarios!$A$7:$A$13,1)),INDEX(Report_Scenarios!$G$7:$G$13,MATCH(MEDIAN($B56-Conversion!$B$15,2020,2050),Report_Scenarios!$A$7:$A$13,1))+(INDEX(Report_Scenarios!$G$7:$G$13,MIN(MATCH(MEDIAN($B56-Conversion!$B$15,2020,2050),Report_Scenarios!$A$7:$A$13,1)+1,7))-INDEX(Report_Scenarios!$G$7:$G$13,MATCH(MEDIAN($B56-Conversion!$B$15,2020,2050),Report_Scenarios!$A$7:$A$13,1)))*(MEDIAN($B56-Conversion!$B$15,2020,2050)-INDEX(Report_Scenarios!$A$7:$A$13,MATCH(MEDIAN($B56-Conversion!$B$15,2020,2050),Report_Scenarios!$A$7:$A$13,1)))/(INDEX(Report_Scenarios!$A$7:$A$13,MIN(MATCH(MEDIAN($B56-Conversion!$B$15,2020,2050),Report_Scenarios!$A$7:$A$13,1)+1,7))-INDEX(Report_Scenarios!$A$7:$A$13,MATCH(MEDIAN($B56-Conversion!$B$15,2020,2050),Report_Scenarios!$A$7:$A$13,1)))),IF($D56="Central",IF(INDEX(Report_Scenarios!$A$18:$A$24,MIN(MATCH(MEDIAN($B56-Conversion!$B$15,2020,2050),Report_Scenarios!$A$18:$A$24,1)+1,7))=INDEX(Report_Scenarios!$A$18:$A$24,MATCH(MEDIAN($B56-Conversion!$B$15,2020,2050),Report_Scenarios!$A$18:$A$24,1)),INDEX(Report_Scenarios!$G$18:$G$24,MATCH(MEDIAN($B56-Conversion!$B$15,2020,2050),Report_Scenarios!$A$18:$A$24,1)),INDEX(Report_Scenarios!$G$18:$G$24,MATCH(MEDIAN($B56-Conversion!$B$15,2020,2050),Report_Scenarios!$A$18:$A$24,1))+(INDEX(Report_Scenarios!$G$18:$G$24,MIN(MATCH(MEDIAN($B56-Conversion!$B$15,2020,2050),Report_Scenarios!$A$18:$A$24,1)+1,7))-INDEX(Report_Scenarios!$G$18:$G$24,MATCH(MEDIAN($B56-Conversion!$B$15,2020,2050),Report_Scenarios!$A$18:$A$24,1)))*(MEDIAN($B56-Conversion!$B$15,2020,2050)-INDEX(Report_Scenarios!$A$18:$A$24,MATCH(MEDIAN($B56-Conversion!$B$15,2020,2050),Report_Scenarios!$A$18:$A$24,1)))/(INDEX(Report_Scenarios!$A$18:$A$24,MIN(MATCH(MEDIAN($B56-Conversion!$B$15,2020,2050),Report_Scenarios!$A$18:$A$24,1)+1,7))-INDEX(Report_Scenarios!$A$18:$A$24,MATCH(MEDIAN($B56-Conversion!$B$15,2020,2050),Report_Scenarios!$A$18:$A$24,1)))),IF(INDEX(Report_Scenarios!$A$29:$A$35,MIN(MATCH(MEDIAN($B56-Conversion!$B$15,2020,2050),Report_Scenarios!$A$29:$A$35,1)+1,7))=INDEX(Report_Scenarios!$A$29:$A$35,MATCH(MEDIAN($B56-Conversion!$B$15,2020,2050),Report_Scenarios!$A$29:$A$35,1)),INDEX(Report_Scenarios!$G$29:$G$35,MATCH(MEDIAN($B56-Conversion!$B$15,2020,2050),Report_Scenarios!$A$29:$A$35,1)),INDEX(Report_Scenarios!$G$29:$G$35,MATCH(MEDIAN($B56-Conversion!$B$15,2020,2050),Report_Scenarios!$A$29:$A$35,1))+(INDEX(Report_Scenarios!$G$29:$G$35,MIN(MATCH(MEDIAN($B56-Conversion!$B$15,2020,2050),Report_Scenarios!$A$29:$A$35,1)+1,7))-INDEX(Report_Scenarios!$G$29:$G$35,MATCH(MEDIAN($B56-Conversion!$B$15,2020,2050),Report_Scenarios!$A$29:$A$35,1)))*(MEDIAN($B56-Conversion!$B$15,2020,2050)-INDEX(Report_Scenarios!$A$29:$A$35,MATCH(MEDIAN($B56-Conversion!$B$15,2020,2050),Report_Scenarios!$A$29:$A$35,1)))/(INDEX(Report_Scenarios!$A$29:$A$35,MIN(MATCH(MEDIAN($B56-Conversion!$B$15,2020,2050),Report_Scenarios!$A$29:$A$35,1)+1,7))-INDEX(Report_Scenarios!$A$29:$A$35,MATCH(MEDIAN($B56-Conversion!$B$15,2020,2050),Report_Scenarios!$A$29:$A$35,1))))))</f>
        <v/>
      </c>
      <c r="K56" s="23">
        <f>SUM(E56:J56)</f>
        <v/>
      </c>
      <c r="L56" s="23">
        <f>IF(R56&lt;&gt;"",R56,IF($K56=0,0,E56/$K56))</f>
        <v/>
      </c>
      <c r="M56" s="23">
        <f>IF(S56&lt;&gt;"",S56,IF($K56=0,0,F56/$K56))</f>
        <v/>
      </c>
      <c r="N56" s="23">
        <f>IF(T56&lt;&gt;"",T56,IF($K56=0,0,G56/$K56))</f>
        <v/>
      </c>
      <c r="O56" s="23">
        <f>IF(U56&lt;&gt;"",U56,IF($K56=0,0,H56/$K56))</f>
        <v/>
      </c>
      <c r="P56" s="23">
        <f>IF(V56&lt;&gt;"",V56,IF($K56=0,0,I56/$K56))</f>
        <v/>
      </c>
      <c r="Q56" s="23">
        <f>IF(W56&lt;&gt;"",W56,IF($K56=0,0,J56/$K56))</f>
        <v/>
      </c>
      <c r="R56" s="24" t="n"/>
      <c r="S56" s="24" t="n"/>
      <c r="T56" s="24" t="n"/>
      <c r="U56" s="24" t="n"/>
      <c r="V56" s="24" t="n"/>
      <c r="W56" s="24" t="n"/>
    </row>
    <row r="57">
      <c r="A57" s="4" t="inlineStr">
        <is>
          <t>CD</t>
        </is>
      </c>
      <c r="B57" s="4" t="n">
        <v>2055</v>
      </c>
      <c r="C57" s="4" t="inlineStr">
        <is>
          <t>Share_Mode</t>
        </is>
      </c>
      <c r="D57" s="4">
        <f>Conversion!$B$19</f>
        <v/>
      </c>
      <c r="E57" s="23">
        <f>IF($D57="Conservative",IF(INDEX(Report_Scenarios!$A$7:$A$13,MIN(MATCH(MEDIAN($B57-Conversion!$B$15,2020,2050),Report_Scenarios!$A$7:$A$13,1)+1,7))=INDEX(Report_Scenarios!$A$7:$A$13,MATCH(MEDIAN($B57-Conversion!$B$15,2020,2050),Report_Scenarios!$A$7:$A$13,1)),INDEX(Report_Scenarios!$B$7:$B$13,MATCH(MEDIAN($B57-Conversion!$B$15,2020,2050),Report_Scenarios!$A$7:$A$13,1)),INDEX(Report_Scenarios!$B$7:$B$13,MATCH(MEDIAN($B57-Conversion!$B$15,2020,2050),Report_Scenarios!$A$7:$A$13,1))+(INDEX(Report_Scenarios!$B$7:$B$13,MIN(MATCH(MEDIAN($B57-Conversion!$B$15,2020,2050),Report_Scenarios!$A$7:$A$13,1)+1,7))-INDEX(Report_Scenarios!$B$7:$B$13,MATCH(MEDIAN($B57-Conversion!$B$15,2020,2050),Report_Scenarios!$A$7:$A$13,1)))*(MEDIAN($B57-Conversion!$B$15,2020,2050)-INDEX(Report_Scenarios!$A$7:$A$13,MATCH(MEDIAN($B57-Conversion!$B$15,2020,2050),Report_Scenarios!$A$7:$A$13,1)))/(INDEX(Report_Scenarios!$A$7:$A$13,MIN(MATCH(MEDIAN($B57-Conversion!$B$15,2020,2050),Report_Scenarios!$A$7:$A$13,1)+1,7))-INDEX(Report_Scenarios!$A$7:$A$13,MATCH(MEDIAN($B57-Conversion!$B$15,2020,2050),Report_Scenarios!$A$7:$A$13,1)))),IF($D57="Central",IF(INDEX(Report_Scenarios!$A$18:$A$24,MIN(MATCH(MEDIAN($B57-Conversion!$B$15,2020,2050),Report_Scenarios!$A$18:$A$24,1)+1,7))=INDEX(Report_Scenarios!$A$18:$A$24,MATCH(MEDIAN($B57-Conversion!$B$15,2020,2050),Report_Scenarios!$A$18:$A$24,1)),INDEX(Report_Scenarios!$B$18:$B$24,MATCH(MEDIAN($B57-Conversion!$B$15,2020,2050),Report_Scenarios!$A$18:$A$24,1)),INDEX(Report_Scenarios!$B$18:$B$24,MATCH(MEDIAN($B57-Conversion!$B$15,2020,2050),Report_Scenarios!$A$18:$A$24,1))+(INDEX(Report_Scenarios!$B$18:$B$24,MIN(MATCH(MEDIAN($B57-Conversion!$B$15,2020,2050),Report_Scenarios!$A$18:$A$24,1)+1,7))-INDEX(Report_Scenarios!$B$18:$B$24,MATCH(MEDIAN($B57-Conversion!$B$15,2020,2050),Report_Scenarios!$A$18:$A$24,1)))*(MEDIAN($B57-Conversion!$B$15,2020,2050)-INDEX(Report_Scenarios!$A$18:$A$24,MATCH(MEDIAN($B57-Conversion!$B$15,2020,2050),Report_Scenarios!$A$18:$A$24,1)))/(INDEX(Report_Scenarios!$A$18:$A$24,MIN(MATCH(MEDIAN($B57-Conversion!$B$15,2020,2050),Report_Scenarios!$A$18:$A$24,1)+1,7))-INDEX(Report_Scenarios!$A$18:$A$24,MATCH(MEDIAN($B57-Conversion!$B$15,2020,2050),Report_Scenarios!$A$18:$A$24,1)))),IF(INDEX(Report_Scenarios!$A$29:$A$35,MIN(MATCH(MEDIAN($B57-Conversion!$B$15,2020,2050),Report_Scenarios!$A$29:$A$35,1)+1,7))=INDEX(Report_Scenarios!$A$29:$A$35,MATCH(MEDIAN($B57-Conversion!$B$15,2020,2050),Report_Scenarios!$A$29:$A$35,1)),INDEX(Report_Scenarios!$B$29:$B$35,MATCH(MEDIAN($B57-Conversion!$B$15,2020,2050),Report_Scenarios!$A$29:$A$35,1)),INDEX(Report_Scenarios!$B$29:$B$35,MATCH(MEDIAN($B57-Conversion!$B$15,2020,2050),Report_Scenarios!$A$29:$A$35,1))+(INDEX(Report_Scenarios!$B$29:$B$35,MIN(MATCH(MEDIAN($B57-Conversion!$B$15,2020,2050),Report_Scenarios!$A$29:$A$35,1)+1,7))-INDEX(Report_Scenarios!$B$29:$B$35,MATCH(MEDIAN($B57-Conversion!$B$15,2020,2050),Report_Scenarios!$A$29:$A$35,1)))*(MEDIAN($B57-Conversion!$B$15,2020,2050)-INDEX(Report_Scenarios!$A$29:$A$35,MATCH(MEDIAN($B57-Conversion!$B$15,2020,2050),Report_Scenarios!$A$29:$A$35,1)))/(INDEX(Report_Scenarios!$A$29:$A$35,MIN(MATCH(MEDIAN($B57-Conversion!$B$15,2020,2050),Report_Scenarios!$A$29:$A$35,1)+1,7))-INDEX(Report_Scenarios!$A$29:$A$35,MATCH(MEDIAN($B57-Conversion!$B$15,2020,2050),Report_Scenarios!$A$29:$A$35,1))))))</f>
        <v/>
      </c>
      <c r="F57" s="23">
        <f>IF($D57="Conservative",IF(INDEX(Report_Scenarios!$A$7:$A$13,MIN(MATCH(MEDIAN($B57-Conversion!$B$15,2020,2050),Report_Scenarios!$A$7:$A$13,1)+1,7))=INDEX(Report_Scenarios!$A$7:$A$13,MATCH(MEDIAN($B57-Conversion!$B$15,2020,2050),Report_Scenarios!$A$7:$A$13,1)),INDEX(Report_Scenarios!$C$7:$C$13,MATCH(MEDIAN($B57-Conversion!$B$15,2020,2050),Report_Scenarios!$A$7:$A$13,1)),INDEX(Report_Scenarios!$C$7:$C$13,MATCH(MEDIAN($B57-Conversion!$B$15,2020,2050),Report_Scenarios!$A$7:$A$13,1))+(INDEX(Report_Scenarios!$C$7:$C$13,MIN(MATCH(MEDIAN($B57-Conversion!$B$15,2020,2050),Report_Scenarios!$A$7:$A$13,1)+1,7))-INDEX(Report_Scenarios!$C$7:$C$13,MATCH(MEDIAN($B57-Conversion!$B$15,2020,2050),Report_Scenarios!$A$7:$A$13,1)))*(MEDIAN($B57-Conversion!$B$15,2020,2050)-INDEX(Report_Scenarios!$A$7:$A$13,MATCH(MEDIAN($B57-Conversion!$B$15,2020,2050),Report_Scenarios!$A$7:$A$13,1)))/(INDEX(Report_Scenarios!$A$7:$A$13,MIN(MATCH(MEDIAN($B57-Conversion!$B$15,2020,2050),Report_Scenarios!$A$7:$A$13,1)+1,7))-INDEX(Report_Scenarios!$A$7:$A$13,MATCH(MEDIAN($B57-Conversion!$B$15,2020,2050),Report_Scenarios!$A$7:$A$13,1)))),IF($D57="Central",IF(INDEX(Report_Scenarios!$A$18:$A$24,MIN(MATCH(MEDIAN($B57-Conversion!$B$15,2020,2050),Report_Scenarios!$A$18:$A$24,1)+1,7))=INDEX(Report_Scenarios!$A$18:$A$24,MATCH(MEDIAN($B57-Conversion!$B$15,2020,2050),Report_Scenarios!$A$18:$A$24,1)),INDEX(Report_Scenarios!$C$18:$C$24,MATCH(MEDIAN($B57-Conversion!$B$15,2020,2050),Report_Scenarios!$A$18:$A$24,1)),INDEX(Report_Scenarios!$C$18:$C$24,MATCH(MEDIAN($B57-Conversion!$B$15,2020,2050),Report_Scenarios!$A$18:$A$24,1))+(INDEX(Report_Scenarios!$C$18:$C$24,MIN(MATCH(MEDIAN($B57-Conversion!$B$15,2020,2050),Report_Scenarios!$A$18:$A$24,1)+1,7))-INDEX(Report_Scenarios!$C$18:$C$24,MATCH(MEDIAN($B57-Conversion!$B$15,2020,2050),Report_Scenarios!$A$18:$A$24,1)))*(MEDIAN($B57-Conversion!$B$15,2020,2050)-INDEX(Report_Scenarios!$A$18:$A$24,MATCH(MEDIAN($B57-Conversion!$B$15,2020,2050),Report_Scenarios!$A$18:$A$24,1)))/(INDEX(Report_Scenarios!$A$18:$A$24,MIN(MATCH(MEDIAN($B57-Conversion!$B$15,2020,2050),Report_Scenarios!$A$18:$A$24,1)+1,7))-INDEX(Report_Scenarios!$A$18:$A$24,MATCH(MEDIAN($B57-Conversion!$B$15,2020,2050),Report_Scenarios!$A$18:$A$24,1)))),IF(INDEX(Report_Scenarios!$A$29:$A$35,MIN(MATCH(MEDIAN($B57-Conversion!$B$15,2020,2050),Report_Scenarios!$A$29:$A$35,1)+1,7))=INDEX(Report_Scenarios!$A$29:$A$35,MATCH(MEDIAN($B57-Conversion!$B$15,2020,2050),Report_Scenarios!$A$29:$A$35,1)),INDEX(Report_Scenarios!$C$29:$C$35,MATCH(MEDIAN($B57-Conversion!$B$15,2020,2050),Report_Scenarios!$A$29:$A$35,1)),INDEX(Report_Scenarios!$C$29:$C$35,MATCH(MEDIAN($B57-Conversion!$B$15,2020,2050),Report_Scenarios!$A$29:$A$35,1))+(INDEX(Report_Scenarios!$C$29:$C$35,MIN(MATCH(MEDIAN($B57-Conversion!$B$15,2020,2050),Report_Scenarios!$A$29:$A$35,1)+1,7))-INDEX(Report_Scenarios!$C$29:$C$35,MATCH(MEDIAN($B57-Conversion!$B$15,2020,2050),Report_Scenarios!$A$29:$A$35,1)))*(MEDIAN($B57-Conversion!$B$15,2020,2050)-INDEX(Report_Scenarios!$A$29:$A$35,MATCH(MEDIAN($B57-Conversion!$B$15,2020,2050),Report_Scenarios!$A$29:$A$35,1)))/(INDEX(Report_Scenarios!$A$29:$A$35,MIN(MATCH(MEDIAN($B57-Conversion!$B$15,2020,2050),Report_Scenarios!$A$29:$A$35,1)+1,7))-INDEX(Report_Scenarios!$A$29:$A$35,MATCH(MEDIAN($B57-Conversion!$B$15,2020,2050),Report_Scenarios!$A$29:$A$35,1))))))</f>
        <v/>
      </c>
      <c r="G57" s="23">
        <f>IF($D57="Conservative",IF(INDEX(Report_Scenarios!$A$7:$A$13,MIN(MATCH(MEDIAN($B57-Conversion!$B$15,2020,2050),Report_Scenarios!$A$7:$A$13,1)+1,7))=INDEX(Report_Scenarios!$A$7:$A$13,MATCH(MEDIAN($B57-Conversion!$B$15,2020,2050),Report_Scenarios!$A$7:$A$13,1)),INDEX(Report_Scenarios!$D$7:$D$13,MATCH(MEDIAN($B57-Conversion!$B$15,2020,2050),Report_Scenarios!$A$7:$A$13,1)),INDEX(Report_Scenarios!$D$7:$D$13,MATCH(MEDIAN($B57-Conversion!$B$15,2020,2050),Report_Scenarios!$A$7:$A$13,1))+(INDEX(Report_Scenarios!$D$7:$D$13,MIN(MATCH(MEDIAN($B57-Conversion!$B$15,2020,2050),Report_Scenarios!$A$7:$A$13,1)+1,7))-INDEX(Report_Scenarios!$D$7:$D$13,MATCH(MEDIAN($B57-Conversion!$B$15,2020,2050),Report_Scenarios!$A$7:$A$13,1)))*(MEDIAN($B57-Conversion!$B$15,2020,2050)-INDEX(Report_Scenarios!$A$7:$A$13,MATCH(MEDIAN($B57-Conversion!$B$15,2020,2050),Report_Scenarios!$A$7:$A$13,1)))/(INDEX(Report_Scenarios!$A$7:$A$13,MIN(MATCH(MEDIAN($B57-Conversion!$B$15,2020,2050),Report_Scenarios!$A$7:$A$13,1)+1,7))-INDEX(Report_Scenarios!$A$7:$A$13,MATCH(MEDIAN($B57-Conversion!$B$15,2020,2050),Report_Scenarios!$A$7:$A$13,1)))),IF($D57="Central",IF(INDEX(Report_Scenarios!$A$18:$A$24,MIN(MATCH(MEDIAN($B57-Conversion!$B$15,2020,2050),Report_Scenarios!$A$18:$A$24,1)+1,7))=INDEX(Report_Scenarios!$A$18:$A$24,MATCH(MEDIAN($B57-Conversion!$B$15,2020,2050),Report_Scenarios!$A$18:$A$24,1)),INDEX(Report_Scenarios!$D$18:$D$24,MATCH(MEDIAN($B57-Conversion!$B$15,2020,2050),Report_Scenarios!$A$18:$A$24,1)),INDEX(Report_Scenarios!$D$18:$D$24,MATCH(MEDIAN($B57-Conversion!$B$15,2020,2050),Report_Scenarios!$A$18:$A$24,1))+(INDEX(Report_Scenarios!$D$18:$D$24,MIN(MATCH(MEDIAN($B57-Conversion!$B$15,2020,2050),Report_Scenarios!$A$18:$A$24,1)+1,7))-INDEX(Report_Scenarios!$D$18:$D$24,MATCH(MEDIAN($B57-Conversion!$B$15,2020,2050),Report_Scenarios!$A$18:$A$24,1)))*(MEDIAN($B57-Conversion!$B$15,2020,2050)-INDEX(Report_Scenarios!$A$18:$A$24,MATCH(MEDIAN($B57-Conversion!$B$15,2020,2050),Report_Scenarios!$A$18:$A$24,1)))/(INDEX(Report_Scenarios!$A$18:$A$24,MIN(MATCH(MEDIAN($B57-Conversion!$B$15,2020,2050),Report_Scenarios!$A$18:$A$24,1)+1,7))-INDEX(Report_Scenarios!$A$18:$A$24,MATCH(MEDIAN($B57-Conversion!$B$15,2020,2050),Report_Scenarios!$A$18:$A$24,1)))),IF(INDEX(Report_Scenarios!$A$29:$A$35,MIN(MATCH(MEDIAN($B57-Conversion!$B$15,2020,2050),Report_Scenarios!$A$29:$A$35,1)+1,7))=INDEX(Report_Scenarios!$A$29:$A$35,MATCH(MEDIAN($B57-Conversion!$B$15,2020,2050),Report_Scenarios!$A$29:$A$35,1)),INDEX(Report_Scenarios!$D$29:$D$35,MATCH(MEDIAN($B57-Conversion!$B$15,2020,2050),Report_Scenarios!$A$29:$A$35,1)),INDEX(Report_Scenarios!$D$29:$D$35,MATCH(MEDIAN($B57-Conversion!$B$15,2020,2050),Report_Scenarios!$A$29:$A$35,1))+(INDEX(Report_Scenarios!$D$29:$D$35,MIN(MATCH(MEDIAN($B57-Conversion!$B$15,2020,2050),Report_Scenarios!$A$29:$A$35,1)+1,7))-INDEX(Report_Scenarios!$D$29:$D$35,MATCH(MEDIAN($B57-Conversion!$B$15,2020,2050),Report_Scenarios!$A$29:$A$35,1)))*(MEDIAN($B57-Conversion!$B$15,2020,2050)-INDEX(Report_Scenarios!$A$29:$A$35,MATCH(MEDIAN($B57-Conversion!$B$15,2020,2050),Report_Scenarios!$A$29:$A$35,1)))/(INDEX(Report_Scenarios!$A$29:$A$35,MIN(MATCH(MEDIAN($B57-Conversion!$B$15,2020,2050),Report_Scenarios!$A$29:$A$35,1)+1,7))-INDEX(Report_Scenarios!$A$29:$A$35,MATCH(MEDIAN($B57-Conversion!$B$15,2020,2050),Report_Scenarios!$A$29:$A$35,1))))))</f>
        <v/>
      </c>
      <c r="H57" s="23">
        <f>IF($D57="Conservative",IF(INDEX(Report_Scenarios!$A$7:$A$13,MIN(MATCH(MEDIAN($B57-Conversion!$B$15,2020,2050),Report_Scenarios!$A$7:$A$13,1)+1,7))=INDEX(Report_Scenarios!$A$7:$A$13,MATCH(MEDIAN($B57-Conversion!$B$15,2020,2050),Report_Scenarios!$A$7:$A$13,1)),INDEX(Report_Scenarios!$E$7:$E$13,MATCH(MEDIAN($B57-Conversion!$B$15,2020,2050),Report_Scenarios!$A$7:$A$13,1)),INDEX(Report_Scenarios!$E$7:$E$13,MATCH(MEDIAN($B57-Conversion!$B$15,2020,2050),Report_Scenarios!$A$7:$A$13,1))+(INDEX(Report_Scenarios!$E$7:$E$13,MIN(MATCH(MEDIAN($B57-Conversion!$B$15,2020,2050),Report_Scenarios!$A$7:$A$13,1)+1,7))-INDEX(Report_Scenarios!$E$7:$E$13,MATCH(MEDIAN($B57-Conversion!$B$15,2020,2050),Report_Scenarios!$A$7:$A$13,1)))*(MEDIAN($B57-Conversion!$B$15,2020,2050)-INDEX(Report_Scenarios!$A$7:$A$13,MATCH(MEDIAN($B57-Conversion!$B$15,2020,2050),Report_Scenarios!$A$7:$A$13,1)))/(INDEX(Report_Scenarios!$A$7:$A$13,MIN(MATCH(MEDIAN($B57-Conversion!$B$15,2020,2050),Report_Scenarios!$A$7:$A$13,1)+1,7))-INDEX(Report_Scenarios!$A$7:$A$13,MATCH(MEDIAN($B57-Conversion!$B$15,2020,2050),Report_Scenarios!$A$7:$A$13,1)))),IF($D57="Central",IF(INDEX(Report_Scenarios!$A$18:$A$24,MIN(MATCH(MEDIAN($B57-Conversion!$B$15,2020,2050),Report_Scenarios!$A$18:$A$24,1)+1,7))=INDEX(Report_Scenarios!$A$18:$A$24,MATCH(MEDIAN($B57-Conversion!$B$15,2020,2050),Report_Scenarios!$A$18:$A$24,1)),INDEX(Report_Scenarios!$E$18:$E$24,MATCH(MEDIAN($B57-Conversion!$B$15,2020,2050),Report_Scenarios!$A$18:$A$24,1)),INDEX(Report_Scenarios!$E$18:$E$24,MATCH(MEDIAN($B57-Conversion!$B$15,2020,2050),Report_Scenarios!$A$18:$A$24,1))+(INDEX(Report_Scenarios!$E$18:$E$24,MIN(MATCH(MEDIAN($B57-Conversion!$B$15,2020,2050),Report_Scenarios!$A$18:$A$24,1)+1,7))-INDEX(Report_Scenarios!$E$18:$E$24,MATCH(MEDIAN($B57-Conversion!$B$15,2020,2050),Report_Scenarios!$A$18:$A$24,1)))*(MEDIAN($B57-Conversion!$B$15,2020,2050)-INDEX(Report_Scenarios!$A$18:$A$24,MATCH(MEDIAN($B57-Conversion!$B$15,2020,2050),Report_Scenarios!$A$18:$A$24,1)))/(INDEX(Report_Scenarios!$A$18:$A$24,MIN(MATCH(MEDIAN($B57-Conversion!$B$15,2020,2050),Report_Scenarios!$A$18:$A$24,1)+1,7))-INDEX(Report_Scenarios!$A$18:$A$24,MATCH(MEDIAN($B57-Conversion!$B$15,2020,2050),Report_Scenarios!$A$18:$A$24,1)))),IF(INDEX(Report_Scenarios!$A$29:$A$35,MIN(MATCH(MEDIAN($B57-Conversion!$B$15,2020,2050),Report_Scenarios!$A$29:$A$35,1)+1,7))=INDEX(Report_Scenarios!$A$29:$A$35,MATCH(MEDIAN($B57-Conversion!$B$15,2020,2050),Report_Scenarios!$A$29:$A$35,1)),INDEX(Report_Scenarios!$E$29:$E$35,MATCH(MEDIAN($B57-Conversion!$B$15,2020,2050),Report_Scenarios!$A$29:$A$35,1)),INDEX(Report_Scenarios!$E$29:$E$35,MATCH(MEDIAN($B57-Conversion!$B$15,2020,2050),Report_Scenarios!$A$29:$A$35,1))+(INDEX(Report_Scenarios!$E$29:$E$35,MIN(MATCH(MEDIAN($B57-Conversion!$B$15,2020,2050),Report_Scenarios!$A$29:$A$35,1)+1,7))-INDEX(Report_Scenarios!$E$29:$E$35,MATCH(MEDIAN($B57-Conversion!$B$15,2020,2050),Report_Scenarios!$A$29:$A$35,1)))*(MEDIAN($B57-Conversion!$B$15,2020,2050)-INDEX(Report_Scenarios!$A$29:$A$35,MATCH(MEDIAN($B57-Conversion!$B$15,2020,2050),Report_Scenarios!$A$29:$A$35,1)))/(INDEX(Report_Scenarios!$A$29:$A$35,MIN(MATCH(MEDIAN($B57-Conversion!$B$15,2020,2050),Report_Scenarios!$A$29:$A$35,1)+1,7))-INDEX(Report_Scenarios!$A$29:$A$35,MATCH(MEDIAN($B57-Conversion!$B$15,2020,2050),Report_Scenarios!$A$29:$A$35,1))))))</f>
        <v/>
      </c>
      <c r="I57" s="23">
        <f>IF($D57="Conservative",IF(INDEX(Report_Scenarios!$A$7:$A$13,MIN(MATCH(MEDIAN($B57-Conversion!$B$15,2020,2050),Report_Scenarios!$A$7:$A$13,1)+1,7))=INDEX(Report_Scenarios!$A$7:$A$13,MATCH(MEDIAN($B57-Conversion!$B$15,2020,2050),Report_Scenarios!$A$7:$A$13,1)),INDEX(Report_Scenarios!$F$7:$F$13,MATCH(MEDIAN($B57-Conversion!$B$15,2020,2050),Report_Scenarios!$A$7:$A$13,1)),INDEX(Report_Scenarios!$F$7:$F$13,MATCH(MEDIAN($B57-Conversion!$B$15,2020,2050),Report_Scenarios!$A$7:$A$13,1))+(INDEX(Report_Scenarios!$F$7:$F$13,MIN(MATCH(MEDIAN($B57-Conversion!$B$15,2020,2050),Report_Scenarios!$A$7:$A$13,1)+1,7))-INDEX(Report_Scenarios!$F$7:$F$13,MATCH(MEDIAN($B57-Conversion!$B$15,2020,2050),Report_Scenarios!$A$7:$A$13,1)))*(MEDIAN($B57-Conversion!$B$15,2020,2050)-INDEX(Report_Scenarios!$A$7:$A$13,MATCH(MEDIAN($B57-Conversion!$B$15,2020,2050),Report_Scenarios!$A$7:$A$13,1)))/(INDEX(Report_Scenarios!$A$7:$A$13,MIN(MATCH(MEDIAN($B57-Conversion!$B$15,2020,2050),Report_Scenarios!$A$7:$A$13,1)+1,7))-INDEX(Report_Scenarios!$A$7:$A$13,MATCH(MEDIAN($B57-Conversion!$B$15,2020,2050),Report_Scenarios!$A$7:$A$13,1)))),IF($D57="Central",IF(INDEX(Report_Scenarios!$A$18:$A$24,MIN(MATCH(MEDIAN($B57-Conversion!$B$15,2020,2050),Report_Scenarios!$A$18:$A$24,1)+1,7))=INDEX(Report_Scenarios!$A$18:$A$24,MATCH(MEDIAN($B57-Conversion!$B$15,2020,2050),Report_Scenarios!$A$18:$A$24,1)),INDEX(Report_Scenarios!$F$18:$F$24,MATCH(MEDIAN($B57-Conversion!$B$15,2020,2050),Report_Scenarios!$A$18:$A$24,1)),INDEX(Report_Scenarios!$F$18:$F$24,MATCH(MEDIAN($B57-Conversion!$B$15,2020,2050),Report_Scenarios!$A$18:$A$24,1))+(INDEX(Report_Scenarios!$F$18:$F$24,MIN(MATCH(MEDIAN($B57-Conversion!$B$15,2020,2050),Report_Scenarios!$A$18:$A$24,1)+1,7))-INDEX(Report_Scenarios!$F$18:$F$24,MATCH(MEDIAN($B57-Conversion!$B$15,2020,2050),Report_Scenarios!$A$18:$A$24,1)))*(MEDIAN($B57-Conversion!$B$15,2020,2050)-INDEX(Report_Scenarios!$A$18:$A$24,MATCH(MEDIAN($B57-Conversion!$B$15,2020,2050),Report_Scenarios!$A$18:$A$24,1)))/(INDEX(Report_Scenarios!$A$18:$A$24,MIN(MATCH(MEDIAN($B57-Conversion!$B$15,2020,2050),Report_Scenarios!$A$18:$A$24,1)+1,7))-INDEX(Report_Scenarios!$A$18:$A$24,MATCH(MEDIAN($B57-Conversion!$B$15,2020,2050),Report_Scenarios!$A$18:$A$24,1)))),IF(INDEX(Report_Scenarios!$A$29:$A$35,MIN(MATCH(MEDIAN($B57-Conversion!$B$15,2020,2050),Report_Scenarios!$A$29:$A$35,1)+1,7))=INDEX(Report_Scenarios!$A$29:$A$35,MATCH(MEDIAN($B57-Conversion!$B$15,2020,2050),Report_Scenarios!$A$29:$A$35,1)),INDEX(Report_Scenarios!$F$29:$F$35,MATCH(MEDIAN($B57-Conversion!$B$15,2020,2050),Report_Scenarios!$A$29:$A$35,1)),INDEX(Report_Scenarios!$F$29:$F$35,MATCH(MEDIAN($B57-Conversion!$B$15,2020,2050),Report_Scenarios!$A$29:$A$35,1))+(INDEX(Report_Scenarios!$F$29:$F$35,MIN(MATCH(MEDIAN($B57-Conversion!$B$15,2020,2050),Report_Scenarios!$A$29:$A$35,1)+1,7))-INDEX(Report_Scenarios!$F$29:$F$35,MATCH(MEDIAN($B57-Conversion!$B$15,2020,2050),Report_Scenarios!$A$29:$A$35,1)))*(MEDIAN($B57-Conversion!$B$15,2020,2050)-INDEX(Report_Scenarios!$A$29:$A$35,MATCH(MEDIAN($B57-Conversion!$B$15,2020,2050),Report_Scenarios!$A$29:$A$35,1)))/(INDEX(Report_Scenarios!$A$29:$A$35,MIN(MATCH(MEDIAN($B57-Conversion!$B$15,2020,2050),Report_Scenarios!$A$29:$A$35,1)+1,7))-INDEX(Report_Scenarios!$A$29:$A$35,MATCH(MEDIAN($B57-Conversion!$B$15,2020,2050),Report_Scenarios!$A$29:$A$35,1))))))</f>
        <v/>
      </c>
      <c r="J57" s="23">
        <f>IF($D57="Conservative",IF(INDEX(Report_Scenarios!$A$7:$A$13,MIN(MATCH(MEDIAN($B57-Conversion!$B$15,2020,2050),Report_Scenarios!$A$7:$A$13,1)+1,7))=INDEX(Report_Scenarios!$A$7:$A$13,MATCH(MEDIAN($B57-Conversion!$B$15,2020,2050),Report_Scenarios!$A$7:$A$13,1)),INDEX(Report_Scenarios!$G$7:$G$13,MATCH(MEDIAN($B57-Conversion!$B$15,2020,2050),Report_Scenarios!$A$7:$A$13,1)),INDEX(Report_Scenarios!$G$7:$G$13,MATCH(MEDIAN($B57-Conversion!$B$15,2020,2050),Report_Scenarios!$A$7:$A$13,1))+(INDEX(Report_Scenarios!$G$7:$G$13,MIN(MATCH(MEDIAN($B57-Conversion!$B$15,2020,2050),Report_Scenarios!$A$7:$A$13,1)+1,7))-INDEX(Report_Scenarios!$G$7:$G$13,MATCH(MEDIAN($B57-Conversion!$B$15,2020,2050),Report_Scenarios!$A$7:$A$13,1)))*(MEDIAN($B57-Conversion!$B$15,2020,2050)-INDEX(Report_Scenarios!$A$7:$A$13,MATCH(MEDIAN($B57-Conversion!$B$15,2020,2050),Report_Scenarios!$A$7:$A$13,1)))/(INDEX(Report_Scenarios!$A$7:$A$13,MIN(MATCH(MEDIAN($B57-Conversion!$B$15,2020,2050),Report_Scenarios!$A$7:$A$13,1)+1,7))-INDEX(Report_Scenarios!$A$7:$A$13,MATCH(MEDIAN($B57-Conversion!$B$15,2020,2050),Report_Scenarios!$A$7:$A$13,1)))),IF($D57="Central",IF(INDEX(Report_Scenarios!$A$18:$A$24,MIN(MATCH(MEDIAN($B57-Conversion!$B$15,2020,2050),Report_Scenarios!$A$18:$A$24,1)+1,7))=INDEX(Report_Scenarios!$A$18:$A$24,MATCH(MEDIAN($B57-Conversion!$B$15,2020,2050),Report_Scenarios!$A$18:$A$24,1)),INDEX(Report_Scenarios!$G$18:$G$24,MATCH(MEDIAN($B57-Conversion!$B$15,2020,2050),Report_Scenarios!$A$18:$A$24,1)),INDEX(Report_Scenarios!$G$18:$G$24,MATCH(MEDIAN($B57-Conversion!$B$15,2020,2050),Report_Scenarios!$A$18:$A$24,1))+(INDEX(Report_Scenarios!$G$18:$G$24,MIN(MATCH(MEDIAN($B57-Conversion!$B$15,2020,2050),Report_Scenarios!$A$18:$A$24,1)+1,7))-INDEX(Report_Scenarios!$G$18:$G$24,MATCH(MEDIAN($B57-Conversion!$B$15,2020,2050),Report_Scenarios!$A$18:$A$24,1)))*(MEDIAN($B57-Conversion!$B$15,2020,2050)-INDEX(Report_Scenarios!$A$18:$A$24,MATCH(MEDIAN($B57-Conversion!$B$15,2020,2050),Report_Scenarios!$A$18:$A$24,1)))/(INDEX(Report_Scenarios!$A$18:$A$24,MIN(MATCH(MEDIAN($B57-Conversion!$B$15,2020,2050),Report_Scenarios!$A$18:$A$24,1)+1,7))-INDEX(Report_Scenarios!$A$18:$A$24,MATCH(MEDIAN($B57-Conversion!$B$15,2020,2050),Report_Scenarios!$A$18:$A$24,1)))),IF(INDEX(Report_Scenarios!$A$29:$A$35,MIN(MATCH(MEDIAN($B57-Conversion!$B$15,2020,2050),Report_Scenarios!$A$29:$A$35,1)+1,7))=INDEX(Report_Scenarios!$A$29:$A$35,MATCH(MEDIAN($B57-Conversion!$B$15,2020,2050),Report_Scenarios!$A$29:$A$35,1)),INDEX(Report_Scenarios!$G$29:$G$35,MATCH(MEDIAN($B57-Conversion!$B$15,2020,2050),Report_Scenarios!$A$29:$A$35,1)),INDEX(Report_Scenarios!$G$29:$G$35,MATCH(MEDIAN($B57-Conversion!$B$15,2020,2050),Report_Scenarios!$A$29:$A$35,1))+(INDEX(Report_Scenarios!$G$29:$G$35,MIN(MATCH(MEDIAN($B57-Conversion!$B$15,2020,2050),Report_Scenarios!$A$29:$A$35,1)+1,7))-INDEX(Report_Scenarios!$G$29:$G$35,MATCH(MEDIAN($B57-Conversion!$B$15,2020,2050),Report_Scenarios!$A$29:$A$35,1)))*(MEDIAN($B57-Conversion!$B$15,2020,2050)-INDEX(Report_Scenarios!$A$29:$A$35,MATCH(MEDIAN($B57-Conversion!$B$15,2020,2050),Report_Scenarios!$A$29:$A$35,1)))/(INDEX(Report_Scenarios!$A$29:$A$35,MIN(MATCH(MEDIAN($B57-Conversion!$B$15,2020,2050),Report_Scenarios!$A$29:$A$35,1)+1,7))-INDEX(Report_Scenarios!$A$29:$A$35,MATCH(MEDIAN($B57-Conversion!$B$15,2020,2050),Report_Scenarios!$A$29:$A$35,1))))))</f>
        <v/>
      </c>
      <c r="K57" s="23">
        <f>SUM(E57:J57)</f>
        <v/>
      </c>
      <c r="L57" s="23">
        <f>IF(R57&lt;&gt;"",R57,IF($K57=0,0,E57/$K57))</f>
        <v/>
      </c>
      <c r="M57" s="23">
        <f>IF(S57&lt;&gt;"",S57,IF($K57=0,0,F57/$K57))</f>
        <v/>
      </c>
      <c r="N57" s="23">
        <f>IF(T57&lt;&gt;"",T57,IF($K57=0,0,G57/$K57))</f>
        <v/>
      </c>
      <c r="O57" s="23">
        <f>IF(U57&lt;&gt;"",U57,IF($K57=0,0,H57/$K57))</f>
        <v/>
      </c>
      <c r="P57" s="23">
        <f>IF(V57&lt;&gt;"",V57,IF($K57=0,0,I57/$K57))</f>
        <v/>
      </c>
      <c r="Q57" s="23">
        <f>IF(W57&lt;&gt;"",W57,IF($K57=0,0,J57/$K57))</f>
        <v/>
      </c>
      <c r="R57" s="24" t="n"/>
      <c r="S57" s="24" t="n"/>
      <c r="T57" s="24" t="n"/>
      <c r="U57" s="24" t="n"/>
      <c r="V57" s="24" t="n"/>
      <c r="W57" s="24" t="n"/>
    </row>
    <row r="58">
      <c r="A58" s="4" t="inlineStr">
        <is>
          <t>CD</t>
        </is>
      </c>
      <c r="B58" s="4" t="n">
        <v>2055</v>
      </c>
      <c r="C58" s="4" t="inlineStr">
        <is>
          <t>Share_Max</t>
        </is>
      </c>
      <c r="D58" s="4">
        <f>Conversion!$B$20</f>
        <v/>
      </c>
      <c r="E58" s="23">
        <f>IF($D58="Conservative",IF(INDEX(Report_Scenarios!$A$7:$A$13,MIN(MATCH(MEDIAN($B58-Conversion!$B$15,2020,2050),Report_Scenarios!$A$7:$A$13,1)+1,7))=INDEX(Report_Scenarios!$A$7:$A$13,MATCH(MEDIAN($B58-Conversion!$B$15,2020,2050),Report_Scenarios!$A$7:$A$13,1)),INDEX(Report_Scenarios!$B$7:$B$13,MATCH(MEDIAN($B58-Conversion!$B$15,2020,2050),Report_Scenarios!$A$7:$A$13,1)),INDEX(Report_Scenarios!$B$7:$B$13,MATCH(MEDIAN($B58-Conversion!$B$15,2020,2050),Report_Scenarios!$A$7:$A$13,1))+(INDEX(Report_Scenarios!$B$7:$B$13,MIN(MATCH(MEDIAN($B58-Conversion!$B$15,2020,2050),Report_Scenarios!$A$7:$A$13,1)+1,7))-INDEX(Report_Scenarios!$B$7:$B$13,MATCH(MEDIAN($B58-Conversion!$B$15,2020,2050),Report_Scenarios!$A$7:$A$13,1)))*(MEDIAN($B58-Conversion!$B$15,2020,2050)-INDEX(Report_Scenarios!$A$7:$A$13,MATCH(MEDIAN($B58-Conversion!$B$15,2020,2050),Report_Scenarios!$A$7:$A$13,1)))/(INDEX(Report_Scenarios!$A$7:$A$13,MIN(MATCH(MEDIAN($B58-Conversion!$B$15,2020,2050),Report_Scenarios!$A$7:$A$13,1)+1,7))-INDEX(Report_Scenarios!$A$7:$A$13,MATCH(MEDIAN($B58-Conversion!$B$15,2020,2050),Report_Scenarios!$A$7:$A$13,1)))),IF($D58="Central",IF(INDEX(Report_Scenarios!$A$18:$A$24,MIN(MATCH(MEDIAN($B58-Conversion!$B$15,2020,2050),Report_Scenarios!$A$18:$A$24,1)+1,7))=INDEX(Report_Scenarios!$A$18:$A$24,MATCH(MEDIAN($B58-Conversion!$B$15,2020,2050),Report_Scenarios!$A$18:$A$24,1)),INDEX(Report_Scenarios!$B$18:$B$24,MATCH(MEDIAN($B58-Conversion!$B$15,2020,2050),Report_Scenarios!$A$18:$A$24,1)),INDEX(Report_Scenarios!$B$18:$B$24,MATCH(MEDIAN($B58-Conversion!$B$15,2020,2050),Report_Scenarios!$A$18:$A$24,1))+(INDEX(Report_Scenarios!$B$18:$B$24,MIN(MATCH(MEDIAN($B58-Conversion!$B$15,2020,2050),Report_Scenarios!$A$18:$A$24,1)+1,7))-INDEX(Report_Scenarios!$B$18:$B$24,MATCH(MEDIAN($B58-Conversion!$B$15,2020,2050),Report_Scenarios!$A$18:$A$24,1)))*(MEDIAN($B58-Conversion!$B$15,2020,2050)-INDEX(Report_Scenarios!$A$18:$A$24,MATCH(MEDIAN($B58-Conversion!$B$15,2020,2050),Report_Scenarios!$A$18:$A$24,1)))/(INDEX(Report_Scenarios!$A$18:$A$24,MIN(MATCH(MEDIAN($B58-Conversion!$B$15,2020,2050),Report_Scenarios!$A$18:$A$24,1)+1,7))-INDEX(Report_Scenarios!$A$18:$A$24,MATCH(MEDIAN($B58-Conversion!$B$15,2020,2050),Report_Scenarios!$A$18:$A$24,1)))),IF(INDEX(Report_Scenarios!$A$29:$A$35,MIN(MATCH(MEDIAN($B58-Conversion!$B$15,2020,2050),Report_Scenarios!$A$29:$A$35,1)+1,7))=INDEX(Report_Scenarios!$A$29:$A$35,MATCH(MEDIAN($B58-Conversion!$B$15,2020,2050),Report_Scenarios!$A$29:$A$35,1)),INDEX(Report_Scenarios!$B$29:$B$35,MATCH(MEDIAN($B58-Conversion!$B$15,2020,2050),Report_Scenarios!$A$29:$A$35,1)),INDEX(Report_Scenarios!$B$29:$B$35,MATCH(MEDIAN($B58-Conversion!$B$15,2020,2050),Report_Scenarios!$A$29:$A$35,1))+(INDEX(Report_Scenarios!$B$29:$B$35,MIN(MATCH(MEDIAN($B58-Conversion!$B$15,2020,2050),Report_Scenarios!$A$29:$A$35,1)+1,7))-INDEX(Report_Scenarios!$B$29:$B$35,MATCH(MEDIAN($B58-Conversion!$B$15,2020,2050),Report_Scenarios!$A$29:$A$35,1)))*(MEDIAN($B58-Conversion!$B$15,2020,2050)-INDEX(Report_Scenarios!$A$29:$A$35,MATCH(MEDIAN($B58-Conversion!$B$15,2020,2050),Report_Scenarios!$A$29:$A$35,1)))/(INDEX(Report_Scenarios!$A$29:$A$35,MIN(MATCH(MEDIAN($B58-Conversion!$B$15,2020,2050),Report_Scenarios!$A$29:$A$35,1)+1,7))-INDEX(Report_Scenarios!$A$29:$A$35,MATCH(MEDIAN($B58-Conversion!$B$15,2020,2050),Report_Scenarios!$A$29:$A$35,1))))))</f>
        <v/>
      </c>
      <c r="F58" s="23">
        <f>IF($D58="Conservative",IF(INDEX(Report_Scenarios!$A$7:$A$13,MIN(MATCH(MEDIAN($B58-Conversion!$B$15,2020,2050),Report_Scenarios!$A$7:$A$13,1)+1,7))=INDEX(Report_Scenarios!$A$7:$A$13,MATCH(MEDIAN($B58-Conversion!$B$15,2020,2050),Report_Scenarios!$A$7:$A$13,1)),INDEX(Report_Scenarios!$C$7:$C$13,MATCH(MEDIAN($B58-Conversion!$B$15,2020,2050),Report_Scenarios!$A$7:$A$13,1)),INDEX(Report_Scenarios!$C$7:$C$13,MATCH(MEDIAN($B58-Conversion!$B$15,2020,2050),Report_Scenarios!$A$7:$A$13,1))+(INDEX(Report_Scenarios!$C$7:$C$13,MIN(MATCH(MEDIAN($B58-Conversion!$B$15,2020,2050),Report_Scenarios!$A$7:$A$13,1)+1,7))-INDEX(Report_Scenarios!$C$7:$C$13,MATCH(MEDIAN($B58-Conversion!$B$15,2020,2050),Report_Scenarios!$A$7:$A$13,1)))*(MEDIAN($B58-Conversion!$B$15,2020,2050)-INDEX(Report_Scenarios!$A$7:$A$13,MATCH(MEDIAN($B58-Conversion!$B$15,2020,2050),Report_Scenarios!$A$7:$A$13,1)))/(INDEX(Report_Scenarios!$A$7:$A$13,MIN(MATCH(MEDIAN($B58-Conversion!$B$15,2020,2050),Report_Scenarios!$A$7:$A$13,1)+1,7))-INDEX(Report_Scenarios!$A$7:$A$13,MATCH(MEDIAN($B58-Conversion!$B$15,2020,2050),Report_Scenarios!$A$7:$A$13,1)))),IF($D58="Central",IF(INDEX(Report_Scenarios!$A$18:$A$24,MIN(MATCH(MEDIAN($B58-Conversion!$B$15,2020,2050),Report_Scenarios!$A$18:$A$24,1)+1,7))=INDEX(Report_Scenarios!$A$18:$A$24,MATCH(MEDIAN($B58-Conversion!$B$15,2020,2050),Report_Scenarios!$A$18:$A$24,1)),INDEX(Report_Scenarios!$C$18:$C$24,MATCH(MEDIAN($B58-Conversion!$B$15,2020,2050),Report_Scenarios!$A$18:$A$24,1)),INDEX(Report_Scenarios!$C$18:$C$24,MATCH(MEDIAN($B58-Conversion!$B$15,2020,2050),Report_Scenarios!$A$18:$A$24,1))+(INDEX(Report_Scenarios!$C$18:$C$24,MIN(MATCH(MEDIAN($B58-Conversion!$B$15,2020,2050),Report_Scenarios!$A$18:$A$24,1)+1,7))-INDEX(Report_Scenarios!$C$18:$C$24,MATCH(MEDIAN($B58-Conversion!$B$15,2020,2050),Report_Scenarios!$A$18:$A$24,1)))*(MEDIAN($B58-Conversion!$B$15,2020,2050)-INDEX(Report_Scenarios!$A$18:$A$24,MATCH(MEDIAN($B58-Conversion!$B$15,2020,2050),Report_Scenarios!$A$18:$A$24,1)))/(INDEX(Report_Scenarios!$A$18:$A$24,MIN(MATCH(MEDIAN($B58-Conversion!$B$15,2020,2050),Report_Scenarios!$A$18:$A$24,1)+1,7))-INDEX(Report_Scenarios!$A$18:$A$24,MATCH(MEDIAN($B58-Conversion!$B$15,2020,2050),Report_Scenarios!$A$18:$A$24,1)))),IF(INDEX(Report_Scenarios!$A$29:$A$35,MIN(MATCH(MEDIAN($B58-Conversion!$B$15,2020,2050),Report_Scenarios!$A$29:$A$35,1)+1,7))=INDEX(Report_Scenarios!$A$29:$A$35,MATCH(MEDIAN($B58-Conversion!$B$15,2020,2050),Report_Scenarios!$A$29:$A$35,1)),INDEX(Report_Scenarios!$C$29:$C$35,MATCH(MEDIAN($B58-Conversion!$B$15,2020,2050),Report_Scenarios!$A$29:$A$35,1)),INDEX(Report_Scenarios!$C$29:$C$35,MATCH(MEDIAN($B58-Conversion!$B$15,2020,2050),Report_Scenarios!$A$29:$A$35,1))+(INDEX(Report_Scenarios!$C$29:$C$35,MIN(MATCH(MEDIAN($B58-Conversion!$B$15,2020,2050),Report_Scenarios!$A$29:$A$35,1)+1,7))-INDEX(Report_Scenarios!$C$29:$C$35,MATCH(MEDIAN($B58-Conversion!$B$15,2020,2050),Report_Scenarios!$A$29:$A$35,1)))*(MEDIAN($B58-Conversion!$B$15,2020,2050)-INDEX(Report_Scenarios!$A$29:$A$35,MATCH(MEDIAN($B58-Conversion!$B$15,2020,2050),Report_Scenarios!$A$29:$A$35,1)))/(INDEX(Report_Scenarios!$A$29:$A$35,MIN(MATCH(MEDIAN($B58-Conversion!$B$15,2020,2050),Report_Scenarios!$A$29:$A$35,1)+1,7))-INDEX(Report_Scenarios!$A$29:$A$35,MATCH(MEDIAN($B58-Conversion!$B$15,2020,2050),Report_Scenarios!$A$29:$A$35,1))))))</f>
        <v/>
      </c>
      <c r="G58" s="23">
        <f>IF($D58="Conservative",IF(INDEX(Report_Scenarios!$A$7:$A$13,MIN(MATCH(MEDIAN($B58-Conversion!$B$15,2020,2050),Report_Scenarios!$A$7:$A$13,1)+1,7))=INDEX(Report_Scenarios!$A$7:$A$13,MATCH(MEDIAN($B58-Conversion!$B$15,2020,2050),Report_Scenarios!$A$7:$A$13,1)),INDEX(Report_Scenarios!$D$7:$D$13,MATCH(MEDIAN($B58-Conversion!$B$15,2020,2050),Report_Scenarios!$A$7:$A$13,1)),INDEX(Report_Scenarios!$D$7:$D$13,MATCH(MEDIAN($B58-Conversion!$B$15,2020,2050),Report_Scenarios!$A$7:$A$13,1))+(INDEX(Report_Scenarios!$D$7:$D$13,MIN(MATCH(MEDIAN($B58-Conversion!$B$15,2020,2050),Report_Scenarios!$A$7:$A$13,1)+1,7))-INDEX(Report_Scenarios!$D$7:$D$13,MATCH(MEDIAN($B58-Conversion!$B$15,2020,2050),Report_Scenarios!$A$7:$A$13,1)))*(MEDIAN($B58-Conversion!$B$15,2020,2050)-INDEX(Report_Scenarios!$A$7:$A$13,MATCH(MEDIAN($B58-Conversion!$B$15,2020,2050),Report_Scenarios!$A$7:$A$13,1)))/(INDEX(Report_Scenarios!$A$7:$A$13,MIN(MATCH(MEDIAN($B58-Conversion!$B$15,2020,2050),Report_Scenarios!$A$7:$A$13,1)+1,7))-INDEX(Report_Scenarios!$A$7:$A$13,MATCH(MEDIAN($B58-Conversion!$B$15,2020,2050),Report_Scenarios!$A$7:$A$13,1)))),IF($D58="Central",IF(INDEX(Report_Scenarios!$A$18:$A$24,MIN(MATCH(MEDIAN($B58-Conversion!$B$15,2020,2050),Report_Scenarios!$A$18:$A$24,1)+1,7))=INDEX(Report_Scenarios!$A$18:$A$24,MATCH(MEDIAN($B58-Conversion!$B$15,2020,2050),Report_Scenarios!$A$18:$A$24,1)),INDEX(Report_Scenarios!$D$18:$D$24,MATCH(MEDIAN($B58-Conversion!$B$15,2020,2050),Report_Scenarios!$A$18:$A$24,1)),INDEX(Report_Scenarios!$D$18:$D$24,MATCH(MEDIAN($B58-Conversion!$B$15,2020,2050),Report_Scenarios!$A$18:$A$24,1))+(INDEX(Report_Scenarios!$D$18:$D$24,MIN(MATCH(MEDIAN($B58-Conversion!$B$15,2020,2050),Report_Scenarios!$A$18:$A$24,1)+1,7))-INDEX(Report_Scenarios!$D$18:$D$24,MATCH(MEDIAN($B58-Conversion!$B$15,2020,2050),Report_Scenarios!$A$18:$A$24,1)))*(MEDIAN($B58-Conversion!$B$15,2020,2050)-INDEX(Report_Scenarios!$A$18:$A$24,MATCH(MEDIAN($B58-Conversion!$B$15,2020,2050),Report_Scenarios!$A$18:$A$24,1)))/(INDEX(Report_Scenarios!$A$18:$A$24,MIN(MATCH(MEDIAN($B58-Conversion!$B$15,2020,2050),Report_Scenarios!$A$18:$A$24,1)+1,7))-INDEX(Report_Scenarios!$A$18:$A$24,MATCH(MEDIAN($B58-Conversion!$B$15,2020,2050),Report_Scenarios!$A$18:$A$24,1)))),IF(INDEX(Report_Scenarios!$A$29:$A$35,MIN(MATCH(MEDIAN($B58-Conversion!$B$15,2020,2050),Report_Scenarios!$A$29:$A$35,1)+1,7))=INDEX(Report_Scenarios!$A$29:$A$35,MATCH(MEDIAN($B58-Conversion!$B$15,2020,2050),Report_Scenarios!$A$29:$A$35,1)),INDEX(Report_Scenarios!$D$29:$D$35,MATCH(MEDIAN($B58-Conversion!$B$15,2020,2050),Report_Scenarios!$A$29:$A$35,1)),INDEX(Report_Scenarios!$D$29:$D$35,MATCH(MEDIAN($B58-Conversion!$B$15,2020,2050),Report_Scenarios!$A$29:$A$35,1))+(INDEX(Report_Scenarios!$D$29:$D$35,MIN(MATCH(MEDIAN($B58-Conversion!$B$15,2020,2050),Report_Scenarios!$A$29:$A$35,1)+1,7))-INDEX(Report_Scenarios!$D$29:$D$35,MATCH(MEDIAN($B58-Conversion!$B$15,2020,2050),Report_Scenarios!$A$29:$A$35,1)))*(MEDIAN($B58-Conversion!$B$15,2020,2050)-INDEX(Report_Scenarios!$A$29:$A$35,MATCH(MEDIAN($B58-Conversion!$B$15,2020,2050),Report_Scenarios!$A$29:$A$35,1)))/(INDEX(Report_Scenarios!$A$29:$A$35,MIN(MATCH(MEDIAN($B58-Conversion!$B$15,2020,2050),Report_Scenarios!$A$29:$A$35,1)+1,7))-INDEX(Report_Scenarios!$A$29:$A$35,MATCH(MEDIAN($B58-Conversion!$B$15,2020,2050),Report_Scenarios!$A$29:$A$35,1))))))</f>
        <v/>
      </c>
      <c r="H58" s="23">
        <f>IF($D58="Conservative",IF(INDEX(Report_Scenarios!$A$7:$A$13,MIN(MATCH(MEDIAN($B58-Conversion!$B$15,2020,2050),Report_Scenarios!$A$7:$A$13,1)+1,7))=INDEX(Report_Scenarios!$A$7:$A$13,MATCH(MEDIAN($B58-Conversion!$B$15,2020,2050),Report_Scenarios!$A$7:$A$13,1)),INDEX(Report_Scenarios!$E$7:$E$13,MATCH(MEDIAN($B58-Conversion!$B$15,2020,2050),Report_Scenarios!$A$7:$A$13,1)),INDEX(Report_Scenarios!$E$7:$E$13,MATCH(MEDIAN($B58-Conversion!$B$15,2020,2050),Report_Scenarios!$A$7:$A$13,1))+(INDEX(Report_Scenarios!$E$7:$E$13,MIN(MATCH(MEDIAN($B58-Conversion!$B$15,2020,2050),Report_Scenarios!$A$7:$A$13,1)+1,7))-INDEX(Report_Scenarios!$E$7:$E$13,MATCH(MEDIAN($B58-Conversion!$B$15,2020,2050),Report_Scenarios!$A$7:$A$13,1)))*(MEDIAN($B58-Conversion!$B$15,2020,2050)-INDEX(Report_Scenarios!$A$7:$A$13,MATCH(MEDIAN($B58-Conversion!$B$15,2020,2050),Report_Scenarios!$A$7:$A$13,1)))/(INDEX(Report_Scenarios!$A$7:$A$13,MIN(MATCH(MEDIAN($B58-Conversion!$B$15,2020,2050),Report_Scenarios!$A$7:$A$13,1)+1,7))-INDEX(Report_Scenarios!$A$7:$A$13,MATCH(MEDIAN($B58-Conversion!$B$15,2020,2050),Report_Scenarios!$A$7:$A$13,1)))),IF($D58="Central",IF(INDEX(Report_Scenarios!$A$18:$A$24,MIN(MATCH(MEDIAN($B58-Conversion!$B$15,2020,2050),Report_Scenarios!$A$18:$A$24,1)+1,7))=INDEX(Report_Scenarios!$A$18:$A$24,MATCH(MEDIAN($B58-Conversion!$B$15,2020,2050),Report_Scenarios!$A$18:$A$24,1)),INDEX(Report_Scenarios!$E$18:$E$24,MATCH(MEDIAN($B58-Conversion!$B$15,2020,2050),Report_Scenarios!$A$18:$A$24,1)),INDEX(Report_Scenarios!$E$18:$E$24,MATCH(MEDIAN($B58-Conversion!$B$15,2020,2050),Report_Scenarios!$A$18:$A$24,1))+(INDEX(Report_Scenarios!$E$18:$E$24,MIN(MATCH(MEDIAN($B58-Conversion!$B$15,2020,2050),Report_Scenarios!$A$18:$A$24,1)+1,7))-INDEX(Report_Scenarios!$E$18:$E$24,MATCH(MEDIAN($B58-Conversion!$B$15,2020,2050),Report_Scenarios!$A$18:$A$24,1)))*(MEDIAN($B58-Conversion!$B$15,2020,2050)-INDEX(Report_Scenarios!$A$18:$A$24,MATCH(MEDIAN($B58-Conversion!$B$15,2020,2050),Report_Scenarios!$A$18:$A$24,1)))/(INDEX(Report_Scenarios!$A$18:$A$24,MIN(MATCH(MEDIAN($B58-Conversion!$B$15,2020,2050),Report_Scenarios!$A$18:$A$24,1)+1,7))-INDEX(Report_Scenarios!$A$18:$A$24,MATCH(MEDIAN($B58-Conversion!$B$15,2020,2050),Report_Scenarios!$A$18:$A$24,1)))),IF(INDEX(Report_Scenarios!$A$29:$A$35,MIN(MATCH(MEDIAN($B58-Conversion!$B$15,2020,2050),Report_Scenarios!$A$29:$A$35,1)+1,7))=INDEX(Report_Scenarios!$A$29:$A$35,MATCH(MEDIAN($B58-Conversion!$B$15,2020,2050),Report_Scenarios!$A$29:$A$35,1)),INDEX(Report_Scenarios!$E$29:$E$35,MATCH(MEDIAN($B58-Conversion!$B$15,2020,2050),Report_Scenarios!$A$29:$A$35,1)),INDEX(Report_Scenarios!$E$29:$E$35,MATCH(MEDIAN($B58-Conversion!$B$15,2020,2050),Report_Scenarios!$A$29:$A$35,1))+(INDEX(Report_Scenarios!$E$29:$E$35,MIN(MATCH(MEDIAN($B58-Conversion!$B$15,2020,2050),Report_Scenarios!$A$29:$A$35,1)+1,7))-INDEX(Report_Scenarios!$E$29:$E$35,MATCH(MEDIAN($B58-Conversion!$B$15,2020,2050),Report_Scenarios!$A$29:$A$35,1)))*(MEDIAN($B58-Conversion!$B$15,2020,2050)-INDEX(Report_Scenarios!$A$29:$A$35,MATCH(MEDIAN($B58-Conversion!$B$15,2020,2050),Report_Scenarios!$A$29:$A$35,1)))/(INDEX(Report_Scenarios!$A$29:$A$35,MIN(MATCH(MEDIAN($B58-Conversion!$B$15,2020,2050),Report_Scenarios!$A$29:$A$35,1)+1,7))-INDEX(Report_Scenarios!$A$29:$A$35,MATCH(MEDIAN($B58-Conversion!$B$15,2020,2050),Report_Scenarios!$A$29:$A$35,1))))))</f>
        <v/>
      </c>
      <c r="I58" s="23">
        <f>IF($D58="Conservative",IF(INDEX(Report_Scenarios!$A$7:$A$13,MIN(MATCH(MEDIAN($B58-Conversion!$B$15,2020,2050),Report_Scenarios!$A$7:$A$13,1)+1,7))=INDEX(Report_Scenarios!$A$7:$A$13,MATCH(MEDIAN($B58-Conversion!$B$15,2020,2050),Report_Scenarios!$A$7:$A$13,1)),INDEX(Report_Scenarios!$F$7:$F$13,MATCH(MEDIAN($B58-Conversion!$B$15,2020,2050),Report_Scenarios!$A$7:$A$13,1)),INDEX(Report_Scenarios!$F$7:$F$13,MATCH(MEDIAN($B58-Conversion!$B$15,2020,2050),Report_Scenarios!$A$7:$A$13,1))+(INDEX(Report_Scenarios!$F$7:$F$13,MIN(MATCH(MEDIAN($B58-Conversion!$B$15,2020,2050),Report_Scenarios!$A$7:$A$13,1)+1,7))-INDEX(Report_Scenarios!$F$7:$F$13,MATCH(MEDIAN($B58-Conversion!$B$15,2020,2050),Report_Scenarios!$A$7:$A$13,1)))*(MEDIAN($B58-Conversion!$B$15,2020,2050)-INDEX(Report_Scenarios!$A$7:$A$13,MATCH(MEDIAN($B58-Conversion!$B$15,2020,2050),Report_Scenarios!$A$7:$A$13,1)))/(INDEX(Report_Scenarios!$A$7:$A$13,MIN(MATCH(MEDIAN($B58-Conversion!$B$15,2020,2050),Report_Scenarios!$A$7:$A$13,1)+1,7))-INDEX(Report_Scenarios!$A$7:$A$13,MATCH(MEDIAN($B58-Conversion!$B$15,2020,2050),Report_Scenarios!$A$7:$A$13,1)))),IF($D58="Central",IF(INDEX(Report_Scenarios!$A$18:$A$24,MIN(MATCH(MEDIAN($B58-Conversion!$B$15,2020,2050),Report_Scenarios!$A$18:$A$24,1)+1,7))=INDEX(Report_Scenarios!$A$18:$A$24,MATCH(MEDIAN($B58-Conversion!$B$15,2020,2050),Report_Scenarios!$A$18:$A$24,1)),INDEX(Report_Scenarios!$F$18:$F$24,MATCH(MEDIAN($B58-Conversion!$B$15,2020,2050),Report_Scenarios!$A$18:$A$24,1)),INDEX(Report_Scenarios!$F$18:$F$24,MATCH(MEDIAN($B58-Conversion!$B$15,2020,2050),Report_Scenarios!$A$18:$A$24,1))+(INDEX(Report_Scenarios!$F$18:$F$24,MIN(MATCH(MEDIAN($B58-Conversion!$B$15,2020,2050),Report_Scenarios!$A$18:$A$24,1)+1,7))-INDEX(Report_Scenarios!$F$18:$F$24,MATCH(MEDIAN($B58-Conversion!$B$15,2020,2050),Report_Scenarios!$A$18:$A$24,1)))*(MEDIAN($B58-Conversion!$B$15,2020,2050)-INDEX(Report_Scenarios!$A$18:$A$24,MATCH(MEDIAN($B58-Conversion!$B$15,2020,2050),Report_Scenarios!$A$18:$A$24,1)))/(INDEX(Report_Scenarios!$A$18:$A$24,MIN(MATCH(MEDIAN($B58-Conversion!$B$15,2020,2050),Report_Scenarios!$A$18:$A$24,1)+1,7))-INDEX(Report_Scenarios!$A$18:$A$24,MATCH(MEDIAN($B58-Conversion!$B$15,2020,2050),Report_Scenarios!$A$18:$A$24,1)))),IF(INDEX(Report_Scenarios!$A$29:$A$35,MIN(MATCH(MEDIAN($B58-Conversion!$B$15,2020,2050),Report_Scenarios!$A$29:$A$35,1)+1,7))=INDEX(Report_Scenarios!$A$29:$A$35,MATCH(MEDIAN($B58-Conversion!$B$15,2020,2050),Report_Scenarios!$A$29:$A$35,1)),INDEX(Report_Scenarios!$F$29:$F$35,MATCH(MEDIAN($B58-Conversion!$B$15,2020,2050),Report_Scenarios!$A$29:$A$35,1)),INDEX(Report_Scenarios!$F$29:$F$35,MATCH(MEDIAN($B58-Conversion!$B$15,2020,2050),Report_Scenarios!$A$29:$A$35,1))+(INDEX(Report_Scenarios!$F$29:$F$35,MIN(MATCH(MEDIAN($B58-Conversion!$B$15,2020,2050),Report_Scenarios!$A$29:$A$35,1)+1,7))-INDEX(Report_Scenarios!$F$29:$F$35,MATCH(MEDIAN($B58-Conversion!$B$15,2020,2050),Report_Scenarios!$A$29:$A$35,1)))*(MEDIAN($B58-Conversion!$B$15,2020,2050)-INDEX(Report_Scenarios!$A$29:$A$35,MATCH(MEDIAN($B58-Conversion!$B$15,2020,2050),Report_Scenarios!$A$29:$A$35,1)))/(INDEX(Report_Scenarios!$A$29:$A$35,MIN(MATCH(MEDIAN($B58-Conversion!$B$15,2020,2050),Report_Scenarios!$A$29:$A$35,1)+1,7))-INDEX(Report_Scenarios!$A$29:$A$35,MATCH(MEDIAN($B58-Conversion!$B$15,2020,2050),Report_Scenarios!$A$29:$A$35,1))))))</f>
        <v/>
      </c>
      <c r="J58" s="23">
        <f>IF($D58="Conservative",IF(INDEX(Report_Scenarios!$A$7:$A$13,MIN(MATCH(MEDIAN($B58-Conversion!$B$15,2020,2050),Report_Scenarios!$A$7:$A$13,1)+1,7))=INDEX(Report_Scenarios!$A$7:$A$13,MATCH(MEDIAN($B58-Conversion!$B$15,2020,2050),Report_Scenarios!$A$7:$A$13,1)),INDEX(Report_Scenarios!$G$7:$G$13,MATCH(MEDIAN($B58-Conversion!$B$15,2020,2050),Report_Scenarios!$A$7:$A$13,1)),INDEX(Report_Scenarios!$G$7:$G$13,MATCH(MEDIAN($B58-Conversion!$B$15,2020,2050),Report_Scenarios!$A$7:$A$13,1))+(INDEX(Report_Scenarios!$G$7:$G$13,MIN(MATCH(MEDIAN($B58-Conversion!$B$15,2020,2050),Report_Scenarios!$A$7:$A$13,1)+1,7))-INDEX(Report_Scenarios!$G$7:$G$13,MATCH(MEDIAN($B58-Conversion!$B$15,2020,2050),Report_Scenarios!$A$7:$A$13,1)))*(MEDIAN($B58-Conversion!$B$15,2020,2050)-INDEX(Report_Scenarios!$A$7:$A$13,MATCH(MEDIAN($B58-Conversion!$B$15,2020,2050),Report_Scenarios!$A$7:$A$13,1)))/(INDEX(Report_Scenarios!$A$7:$A$13,MIN(MATCH(MEDIAN($B58-Conversion!$B$15,2020,2050),Report_Scenarios!$A$7:$A$13,1)+1,7))-INDEX(Report_Scenarios!$A$7:$A$13,MATCH(MEDIAN($B58-Conversion!$B$15,2020,2050),Report_Scenarios!$A$7:$A$13,1)))),IF($D58="Central",IF(INDEX(Report_Scenarios!$A$18:$A$24,MIN(MATCH(MEDIAN($B58-Conversion!$B$15,2020,2050),Report_Scenarios!$A$18:$A$24,1)+1,7))=INDEX(Report_Scenarios!$A$18:$A$24,MATCH(MEDIAN($B58-Conversion!$B$15,2020,2050),Report_Scenarios!$A$18:$A$24,1)),INDEX(Report_Scenarios!$G$18:$G$24,MATCH(MEDIAN($B58-Conversion!$B$15,2020,2050),Report_Scenarios!$A$18:$A$24,1)),INDEX(Report_Scenarios!$G$18:$G$24,MATCH(MEDIAN($B58-Conversion!$B$15,2020,2050),Report_Scenarios!$A$18:$A$24,1))+(INDEX(Report_Scenarios!$G$18:$G$24,MIN(MATCH(MEDIAN($B58-Conversion!$B$15,2020,2050),Report_Scenarios!$A$18:$A$24,1)+1,7))-INDEX(Report_Scenarios!$G$18:$G$24,MATCH(MEDIAN($B58-Conversion!$B$15,2020,2050),Report_Scenarios!$A$18:$A$24,1)))*(MEDIAN($B58-Conversion!$B$15,2020,2050)-INDEX(Report_Scenarios!$A$18:$A$24,MATCH(MEDIAN($B58-Conversion!$B$15,2020,2050),Report_Scenarios!$A$18:$A$24,1)))/(INDEX(Report_Scenarios!$A$18:$A$24,MIN(MATCH(MEDIAN($B58-Conversion!$B$15,2020,2050),Report_Scenarios!$A$18:$A$24,1)+1,7))-INDEX(Report_Scenarios!$A$18:$A$24,MATCH(MEDIAN($B58-Conversion!$B$15,2020,2050),Report_Scenarios!$A$18:$A$24,1)))),IF(INDEX(Report_Scenarios!$A$29:$A$35,MIN(MATCH(MEDIAN($B58-Conversion!$B$15,2020,2050),Report_Scenarios!$A$29:$A$35,1)+1,7))=INDEX(Report_Scenarios!$A$29:$A$35,MATCH(MEDIAN($B58-Conversion!$B$15,2020,2050),Report_Scenarios!$A$29:$A$35,1)),INDEX(Report_Scenarios!$G$29:$G$35,MATCH(MEDIAN($B58-Conversion!$B$15,2020,2050),Report_Scenarios!$A$29:$A$35,1)),INDEX(Report_Scenarios!$G$29:$G$35,MATCH(MEDIAN($B58-Conversion!$B$15,2020,2050),Report_Scenarios!$A$29:$A$35,1))+(INDEX(Report_Scenarios!$G$29:$G$35,MIN(MATCH(MEDIAN($B58-Conversion!$B$15,2020,2050),Report_Scenarios!$A$29:$A$35,1)+1,7))-INDEX(Report_Scenarios!$G$29:$G$35,MATCH(MEDIAN($B58-Conversion!$B$15,2020,2050),Report_Scenarios!$A$29:$A$35,1)))*(MEDIAN($B58-Conversion!$B$15,2020,2050)-INDEX(Report_Scenarios!$A$29:$A$35,MATCH(MEDIAN($B58-Conversion!$B$15,2020,2050),Report_Scenarios!$A$29:$A$35,1)))/(INDEX(Report_Scenarios!$A$29:$A$35,MIN(MATCH(MEDIAN($B58-Conversion!$B$15,2020,2050),Report_Scenarios!$A$29:$A$35,1)+1,7))-INDEX(Report_Scenarios!$A$29:$A$35,MATCH(MEDIAN($B58-Conversion!$B$15,2020,2050),Report_Scenarios!$A$29:$A$35,1))))))</f>
        <v/>
      </c>
      <c r="K58" s="23">
        <f>SUM(E58:J58)</f>
        <v/>
      </c>
      <c r="L58" s="23">
        <f>IF(R58&lt;&gt;"",R58,IF($K58=0,0,E58/$K58))</f>
        <v/>
      </c>
      <c r="M58" s="23">
        <f>IF(S58&lt;&gt;"",S58,IF($K58=0,0,F58/$K58))</f>
        <v/>
      </c>
      <c r="N58" s="23">
        <f>IF(T58&lt;&gt;"",T58,IF($K58=0,0,G58/$K58))</f>
        <v/>
      </c>
      <c r="O58" s="23">
        <f>IF(U58&lt;&gt;"",U58,IF($K58=0,0,H58/$K58))</f>
        <v/>
      </c>
      <c r="P58" s="23">
        <f>IF(V58&lt;&gt;"",V58,IF($K58=0,0,I58/$K58))</f>
        <v/>
      </c>
      <c r="Q58" s="23">
        <f>IF(W58&lt;&gt;"",W58,IF($K58=0,0,J58/$K58))</f>
        <v/>
      </c>
      <c r="R58" s="24" t="n"/>
      <c r="S58" s="24" t="n"/>
      <c r="T58" s="24" t="n"/>
      <c r="U58" s="24" t="n"/>
      <c r="V58" s="24" t="n"/>
      <c r="W58" s="24" t="n"/>
    </row>
    <row r="59">
      <c r="A59" s="4" t="inlineStr">
        <is>
          <t>CD</t>
        </is>
      </c>
      <c r="B59" s="4" t="n">
        <v>2060</v>
      </c>
      <c r="C59" s="4" t="inlineStr">
        <is>
          <t>Share_Min</t>
        </is>
      </c>
      <c r="D59" s="4">
        <f>Conversion!$B$18</f>
        <v/>
      </c>
      <c r="E59" s="23">
        <f>IF($D59="Conservative",IF(INDEX(Report_Scenarios!$A$7:$A$13,MIN(MATCH(MEDIAN($B59-Conversion!$B$15,2020,2050),Report_Scenarios!$A$7:$A$13,1)+1,7))=INDEX(Report_Scenarios!$A$7:$A$13,MATCH(MEDIAN($B59-Conversion!$B$15,2020,2050),Report_Scenarios!$A$7:$A$13,1)),INDEX(Report_Scenarios!$B$7:$B$13,MATCH(MEDIAN($B59-Conversion!$B$15,2020,2050),Report_Scenarios!$A$7:$A$13,1)),INDEX(Report_Scenarios!$B$7:$B$13,MATCH(MEDIAN($B59-Conversion!$B$15,2020,2050),Report_Scenarios!$A$7:$A$13,1))+(INDEX(Report_Scenarios!$B$7:$B$13,MIN(MATCH(MEDIAN($B59-Conversion!$B$15,2020,2050),Report_Scenarios!$A$7:$A$13,1)+1,7))-INDEX(Report_Scenarios!$B$7:$B$13,MATCH(MEDIAN($B59-Conversion!$B$15,2020,2050),Report_Scenarios!$A$7:$A$13,1)))*(MEDIAN($B59-Conversion!$B$15,2020,2050)-INDEX(Report_Scenarios!$A$7:$A$13,MATCH(MEDIAN($B59-Conversion!$B$15,2020,2050),Report_Scenarios!$A$7:$A$13,1)))/(INDEX(Report_Scenarios!$A$7:$A$13,MIN(MATCH(MEDIAN($B59-Conversion!$B$15,2020,2050),Report_Scenarios!$A$7:$A$13,1)+1,7))-INDEX(Report_Scenarios!$A$7:$A$13,MATCH(MEDIAN($B59-Conversion!$B$15,2020,2050),Report_Scenarios!$A$7:$A$13,1)))),IF($D59="Central",IF(INDEX(Report_Scenarios!$A$18:$A$24,MIN(MATCH(MEDIAN($B59-Conversion!$B$15,2020,2050),Report_Scenarios!$A$18:$A$24,1)+1,7))=INDEX(Report_Scenarios!$A$18:$A$24,MATCH(MEDIAN($B59-Conversion!$B$15,2020,2050),Report_Scenarios!$A$18:$A$24,1)),INDEX(Report_Scenarios!$B$18:$B$24,MATCH(MEDIAN($B59-Conversion!$B$15,2020,2050),Report_Scenarios!$A$18:$A$24,1)),INDEX(Report_Scenarios!$B$18:$B$24,MATCH(MEDIAN($B59-Conversion!$B$15,2020,2050),Report_Scenarios!$A$18:$A$24,1))+(INDEX(Report_Scenarios!$B$18:$B$24,MIN(MATCH(MEDIAN($B59-Conversion!$B$15,2020,2050),Report_Scenarios!$A$18:$A$24,1)+1,7))-INDEX(Report_Scenarios!$B$18:$B$24,MATCH(MEDIAN($B59-Conversion!$B$15,2020,2050),Report_Scenarios!$A$18:$A$24,1)))*(MEDIAN($B59-Conversion!$B$15,2020,2050)-INDEX(Report_Scenarios!$A$18:$A$24,MATCH(MEDIAN($B59-Conversion!$B$15,2020,2050),Report_Scenarios!$A$18:$A$24,1)))/(INDEX(Report_Scenarios!$A$18:$A$24,MIN(MATCH(MEDIAN($B59-Conversion!$B$15,2020,2050),Report_Scenarios!$A$18:$A$24,1)+1,7))-INDEX(Report_Scenarios!$A$18:$A$24,MATCH(MEDIAN($B59-Conversion!$B$15,2020,2050),Report_Scenarios!$A$18:$A$24,1)))),IF(INDEX(Report_Scenarios!$A$29:$A$35,MIN(MATCH(MEDIAN($B59-Conversion!$B$15,2020,2050),Report_Scenarios!$A$29:$A$35,1)+1,7))=INDEX(Report_Scenarios!$A$29:$A$35,MATCH(MEDIAN($B59-Conversion!$B$15,2020,2050),Report_Scenarios!$A$29:$A$35,1)),INDEX(Report_Scenarios!$B$29:$B$35,MATCH(MEDIAN($B59-Conversion!$B$15,2020,2050),Report_Scenarios!$A$29:$A$35,1)),INDEX(Report_Scenarios!$B$29:$B$35,MATCH(MEDIAN($B59-Conversion!$B$15,2020,2050),Report_Scenarios!$A$29:$A$35,1))+(INDEX(Report_Scenarios!$B$29:$B$35,MIN(MATCH(MEDIAN($B59-Conversion!$B$15,2020,2050),Report_Scenarios!$A$29:$A$35,1)+1,7))-INDEX(Report_Scenarios!$B$29:$B$35,MATCH(MEDIAN($B59-Conversion!$B$15,2020,2050),Report_Scenarios!$A$29:$A$35,1)))*(MEDIAN($B59-Conversion!$B$15,2020,2050)-INDEX(Report_Scenarios!$A$29:$A$35,MATCH(MEDIAN($B59-Conversion!$B$15,2020,2050),Report_Scenarios!$A$29:$A$35,1)))/(INDEX(Report_Scenarios!$A$29:$A$35,MIN(MATCH(MEDIAN($B59-Conversion!$B$15,2020,2050),Report_Scenarios!$A$29:$A$35,1)+1,7))-INDEX(Report_Scenarios!$A$29:$A$35,MATCH(MEDIAN($B59-Conversion!$B$15,2020,2050),Report_Scenarios!$A$29:$A$35,1))))))</f>
        <v/>
      </c>
      <c r="F59" s="23">
        <f>IF($D59="Conservative",IF(INDEX(Report_Scenarios!$A$7:$A$13,MIN(MATCH(MEDIAN($B59-Conversion!$B$15,2020,2050),Report_Scenarios!$A$7:$A$13,1)+1,7))=INDEX(Report_Scenarios!$A$7:$A$13,MATCH(MEDIAN($B59-Conversion!$B$15,2020,2050),Report_Scenarios!$A$7:$A$13,1)),INDEX(Report_Scenarios!$C$7:$C$13,MATCH(MEDIAN($B59-Conversion!$B$15,2020,2050),Report_Scenarios!$A$7:$A$13,1)),INDEX(Report_Scenarios!$C$7:$C$13,MATCH(MEDIAN($B59-Conversion!$B$15,2020,2050),Report_Scenarios!$A$7:$A$13,1))+(INDEX(Report_Scenarios!$C$7:$C$13,MIN(MATCH(MEDIAN($B59-Conversion!$B$15,2020,2050),Report_Scenarios!$A$7:$A$13,1)+1,7))-INDEX(Report_Scenarios!$C$7:$C$13,MATCH(MEDIAN($B59-Conversion!$B$15,2020,2050),Report_Scenarios!$A$7:$A$13,1)))*(MEDIAN($B59-Conversion!$B$15,2020,2050)-INDEX(Report_Scenarios!$A$7:$A$13,MATCH(MEDIAN($B59-Conversion!$B$15,2020,2050),Report_Scenarios!$A$7:$A$13,1)))/(INDEX(Report_Scenarios!$A$7:$A$13,MIN(MATCH(MEDIAN($B59-Conversion!$B$15,2020,2050),Report_Scenarios!$A$7:$A$13,1)+1,7))-INDEX(Report_Scenarios!$A$7:$A$13,MATCH(MEDIAN($B59-Conversion!$B$15,2020,2050),Report_Scenarios!$A$7:$A$13,1)))),IF($D59="Central",IF(INDEX(Report_Scenarios!$A$18:$A$24,MIN(MATCH(MEDIAN($B59-Conversion!$B$15,2020,2050),Report_Scenarios!$A$18:$A$24,1)+1,7))=INDEX(Report_Scenarios!$A$18:$A$24,MATCH(MEDIAN($B59-Conversion!$B$15,2020,2050),Report_Scenarios!$A$18:$A$24,1)),INDEX(Report_Scenarios!$C$18:$C$24,MATCH(MEDIAN($B59-Conversion!$B$15,2020,2050),Report_Scenarios!$A$18:$A$24,1)),INDEX(Report_Scenarios!$C$18:$C$24,MATCH(MEDIAN($B59-Conversion!$B$15,2020,2050),Report_Scenarios!$A$18:$A$24,1))+(INDEX(Report_Scenarios!$C$18:$C$24,MIN(MATCH(MEDIAN($B59-Conversion!$B$15,2020,2050),Report_Scenarios!$A$18:$A$24,1)+1,7))-INDEX(Report_Scenarios!$C$18:$C$24,MATCH(MEDIAN($B59-Conversion!$B$15,2020,2050),Report_Scenarios!$A$18:$A$24,1)))*(MEDIAN($B59-Conversion!$B$15,2020,2050)-INDEX(Report_Scenarios!$A$18:$A$24,MATCH(MEDIAN($B59-Conversion!$B$15,2020,2050),Report_Scenarios!$A$18:$A$24,1)))/(INDEX(Report_Scenarios!$A$18:$A$24,MIN(MATCH(MEDIAN($B59-Conversion!$B$15,2020,2050),Report_Scenarios!$A$18:$A$24,1)+1,7))-INDEX(Report_Scenarios!$A$18:$A$24,MATCH(MEDIAN($B59-Conversion!$B$15,2020,2050),Report_Scenarios!$A$18:$A$24,1)))),IF(INDEX(Report_Scenarios!$A$29:$A$35,MIN(MATCH(MEDIAN($B59-Conversion!$B$15,2020,2050),Report_Scenarios!$A$29:$A$35,1)+1,7))=INDEX(Report_Scenarios!$A$29:$A$35,MATCH(MEDIAN($B59-Conversion!$B$15,2020,2050),Report_Scenarios!$A$29:$A$35,1)),INDEX(Report_Scenarios!$C$29:$C$35,MATCH(MEDIAN($B59-Conversion!$B$15,2020,2050),Report_Scenarios!$A$29:$A$35,1)),INDEX(Report_Scenarios!$C$29:$C$35,MATCH(MEDIAN($B59-Conversion!$B$15,2020,2050),Report_Scenarios!$A$29:$A$35,1))+(INDEX(Report_Scenarios!$C$29:$C$35,MIN(MATCH(MEDIAN($B59-Conversion!$B$15,2020,2050),Report_Scenarios!$A$29:$A$35,1)+1,7))-INDEX(Report_Scenarios!$C$29:$C$35,MATCH(MEDIAN($B59-Conversion!$B$15,2020,2050),Report_Scenarios!$A$29:$A$35,1)))*(MEDIAN($B59-Conversion!$B$15,2020,2050)-INDEX(Report_Scenarios!$A$29:$A$35,MATCH(MEDIAN($B59-Conversion!$B$15,2020,2050),Report_Scenarios!$A$29:$A$35,1)))/(INDEX(Report_Scenarios!$A$29:$A$35,MIN(MATCH(MEDIAN($B59-Conversion!$B$15,2020,2050),Report_Scenarios!$A$29:$A$35,1)+1,7))-INDEX(Report_Scenarios!$A$29:$A$35,MATCH(MEDIAN($B59-Conversion!$B$15,2020,2050),Report_Scenarios!$A$29:$A$35,1))))))</f>
        <v/>
      </c>
      <c r="G59" s="23">
        <f>IF($D59="Conservative",IF(INDEX(Report_Scenarios!$A$7:$A$13,MIN(MATCH(MEDIAN($B59-Conversion!$B$15,2020,2050),Report_Scenarios!$A$7:$A$13,1)+1,7))=INDEX(Report_Scenarios!$A$7:$A$13,MATCH(MEDIAN($B59-Conversion!$B$15,2020,2050),Report_Scenarios!$A$7:$A$13,1)),INDEX(Report_Scenarios!$D$7:$D$13,MATCH(MEDIAN($B59-Conversion!$B$15,2020,2050),Report_Scenarios!$A$7:$A$13,1)),INDEX(Report_Scenarios!$D$7:$D$13,MATCH(MEDIAN($B59-Conversion!$B$15,2020,2050),Report_Scenarios!$A$7:$A$13,1))+(INDEX(Report_Scenarios!$D$7:$D$13,MIN(MATCH(MEDIAN($B59-Conversion!$B$15,2020,2050),Report_Scenarios!$A$7:$A$13,1)+1,7))-INDEX(Report_Scenarios!$D$7:$D$13,MATCH(MEDIAN($B59-Conversion!$B$15,2020,2050),Report_Scenarios!$A$7:$A$13,1)))*(MEDIAN($B59-Conversion!$B$15,2020,2050)-INDEX(Report_Scenarios!$A$7:$A$13,MATCH(MEDIAN($B59-Conversion!$B$15,2020,2050),Report_Scenarios!$A$7:$A$13,1)))/(INDEX(Report_Scenarios!$A$7:$A$13,MIN(MATCH(MEDIAN($B59-Conversion!$B$15,2020,2050),Report_Scenarios!$A$7:$A$13,1)+1,7))-INDEX(Report_Scenarios!$A$7:$A$13,MATCH(MEDIAN($B59-Conversion!$B$15,2020,2050),Report_Scenarios!$A$7:$A$13,1)))),IF($D59="Central",IF(INDEX(Report_Scenarios!$A$18:$A$24,MIN(MATCH(MEDIAN($B59-Conversion!$B$15,2020,2050),Report_Scenarios!$A$18:$A$24,1)+1,7))=INDEX(Report_Scenarios!$A$18:$A$24,MATCH(MEDIAN($B59-Conversion!$B$15,2020,2050),Report_Scenarios!$A$18:$A$24,1)),INDEX(Report_Scenarios!$D$18:$D$24,MATCH(MEDIAN($B59-Conversion!$B$15,2020,2050),Report_Scenarios!$A$18:$A$24,1)),INDEX(Report_Scenarios!$D$18:$D$24,MATCH(MEDIAN($B59-Conversion!$B$15,2020,2050),Report_Scenarios!$A$18:$A$24,1))+(INDEX(Report_Scenarios!$D$18:$D$24,MIN(MATCH(MEDIAN($B59-Conversion!$B$15,2020,2050),Report_Scenarios!$A$18:$A$24,1)+1,7))-INDEX(Report_Scenarios!$D$18:$D$24,MATCH(MEDIAN($B59-Conversion!$B$15,2020,2050),Report_Scenarios!$A$18:$A$24,1)))*(MEDIAN($B59-Conversion!$B$15,2020,2050)-INDEX(Report_Scenarios!$A$18:$A$24,MATCH(MEDIAN($B59-Conversion!$B$15,2020,2050),Report_Scenarios!$A$18:$A$24,1)))/(INDEX(Report_Scenarios!$A$18:$A$24,MIN(MATCH(MEDIAN($B59-Conversion!$B$15,2020,2050),Report_Scenarios!$A$18:$A$24,1)+1,7))-INDEX(Report_Scenarios!$A$18:$A$24,MATCH(MEDIAN($B59-Conversion!$B$15,2020,2050),Report_Scenarios!$A$18:$A$24,1)))),IF(INDEX(Report_Scenarios!$A$29:$A$35,MIN(MATCH(MEDIAN($B59-Conversion!$B$15,2020,2050),Report_Scenarios!$A$29:$A$35,1)+1,7))=INDEX(Report_Scenarios!$A$29:$A$35,MATCH(MEDIAN($B59-Conversion!$B$15,2020,2050),Report_Scenarios!$A$29:$A$35,1)),INDEX(Report_Scenarios!$D$29:$D$35,MATCH(MEDIAN($B59-Conversion!$B$15,2020,2050),Report_Scenarios!$A$29:$A$35,1)),INDEX(Report_Scenarios!$D$29:$D$35,MATCH(MEDIAN($B59-Conversion!$B$15,2020,2050),Report_Scenarios!$A$29:$A$35,1))+(INDEX(Report_Scenarios!$D$29:$D$35,MIN(MATCH(MEDIAN($B59-Conversion!$B$15,2020,2050),Report_Scenarios!$A$29:$A$35,1)+1,7))-INDEX(Report_Scenarios!$D$29:$D$35,MATCH(MEDIAN($B59-Conversion!$B$15,2020,2050),Report_Scenarios!$A$29:$A$35,1)))*(MEDIAN($B59-Conversion!$B$15,2020,2050)-INDEX(Report_Scenarios!$A$29:$A$35,MATCH(MEDIAN($B59-Conversion!$B$15,2020,2050),Report_Scenarios!$A$29:$A$35,1)))/(INDEX(Report_Scenarios!$A$29:$A$35,MIN(MATCH(MEDIAN($B59-Conversion!$B$15,2020,2050),Report_Scenarios!$A$29:$A$35,1)+1,7))-INDEX(Report_Scenarios!$A$29:$A$35,MATCH(MEDIAN($B59-Conversion!$B$15,2020,2050),Report_Scenarios!$A$29:$A$35,1))))))</f>
        <v/>
      </c>
      <c r="H59" s="23">
        <f>IF($D59="Conservative",IF(INDEX(Report_Scenarios!$A$7:$A$13,MIN(MATCH(MEDIAN($B59-Conversion!$B$15,2020,2050),Report_Scenarios!$A$7:$A$13,1)+1,7))=INDEX(Report_Scenarios!$A$7:$A$13,MATCH(MEDIAN($B59-Conversion!$B$15,2020,2050),Report_Scenarios!$A$7:$A$13,1)),INDEX(Report_Scenarios!$E$7:$E$13,MATCH(MEDIAN($B59-Conversion!$B$15,2020,2050),Report_Scenarios!$A$7:$A$13,1)),INDEX(Report_Scenarios!$E$7:$E$13,MATCH(MEDIAN($B59-Conversion!$B$15,2020,2050),Report_Scenarios!$A$7:$A$13,1))+(INDEX(Report_Scenarios!$E$7:$E$13,MIN(MATCH(MEDIAN($B59-Conversion!$B$15,2020,2050),Report_Scenarios!$A$7:$A$13,1)+1,7))-INDEX(Report_Scenarios!$E$7:$E$13,MATCH(MEDIAN($B59-Conversion!$B$15,2020,2050),Report_Scenarios!$A$7:$A$13,1)))*(MEDIAN($B59-Conversion!$B$15,2020,2050)-INDEX(Report_Scenarios!$A$7:$A$13,MATCH(MEDIAN($B59-Conversion!$B$15,2020,2050),Report_Scenarios!$A$7:$A$13,1)))/(INDEX(Report_Scenarios!$A$7:$A$13,MIN(MATCH(MEDIAN($B59-Conversion!$B$15,2020,2050),Report_Scenarios!$A$7:$A$13,1)+1,7))-INDEX(Report_Scenarios!$A$7:$A$13,MATCH(MEDIAN($B59-Conversion!$B$15,2020,2050),Report_Scenarios!$A$7:$A$13,1)))),IF($D59="Central",IF(INDEX(Report_Scenarios!$A$18:$A$24,MIN(MATCH(MEDIAN($B59-Conversion!$B$15,2020,2050),Report_Scenarios!$A$18:$A$24,1)+1,7))=INDEX(Report_Scenarios!$A$18:$A$24,MATCH(MEDIAN($B59-Conversion!$B$15,2020,2050),Report_Scenarios!$A$18:$A$24,1)),INDEX(Report_Scenarios!$E$18:$E$24,MATCH(MEDIAN($B59-Conversion!$B$15,2020,2050),Report_Scenarios!$A$18:$A$24,1)),INDEX(Report_Scenarios!$E$18:$E$24,MATCH(MEDIAN($B59-Conversion!$B$15,2020,2050),Report_Scenarios!$A$18:$A$24,1))+(INDEX(Report_Scenarios!$E$18:$E$24,MIN(MATCH(MEDIAN($B59-Conversion!$B$15,2020,2050),Report_Scenarios!$A$18:$A$24,1)+1,7))-INDEX(Report_Scenarios!$E$18:$E$24,MATCH(MEDIAN($B59-Conversion!$B$15,2020,2050),Report_Scenarios!$A$18:$A$24,1)))*(MEDIAN($B59-Conversion!$B$15,2020,2050)-INDEX(Report_Scenarios!$A$18:$A$24,MATCH(MEDIAN($B59-Conversion!$B$15,2020,2050),Report_Scenarios!$A$18:$A$24,1)))/(INDEX(Report_Scenarios!$A$18:$A$24,MIN(MATCH(MEDIAN($B59-Conversion!$B$15,2020,2050),Report_Scenarios!$A$18:$A$24,1)+1,7))-INDEX(Report_Scenarios!$A$18:$A$24,MATCH(MEDIAN($B59-Conversion!$B$15,2020,2050),Report_Scenarios!$A$18:$A$24,1)))),IF(INDEX(Report_Scenarios!$A$29:$A$35,MIN(MATCH(MEDIAN($B59-Conversion!$B$15,2020,2050),Report_Scenarios!$A$29:$A$35,1)+1,7))=INDEX(Report_Scenarios!$A$29:$A$35,MATCH(MEDIAN($B59-Conversion!$B$15,2020,2050),Report_Scenarios!$A$29:$A$35,1)),INDEX(Report_Scenarios!$E$29:$E$35,MATCH(MEDIAN($B59-Conversion!$B$15,2020,2050),Report_Scenarios!$A$29:$A$35,1)),INDEX(Report_Scenarios!$E$29:$E$35,MATCH(MEDIAN($B59-Conversion!$B$15,2020,2050),Report_Scenarios!$A$29:$A$35,1))+(INDEX(Report_Scenarios!$E$29:$E$35,MIN(MATCH(MEDIAN($B59-Conversion!$B$15,2020,2050),Report_Scenarios!$A$29:$A$35,1)+1,7))-INDEX(Report_Scenarios!$E$29:$E$35,MATCH(MEDIAN($B59-Conversion!$B$15,2020,2050),Report_Scenarios!$A$29:$A$35,1)))*(MEDIAN($B59-Conversion!$B$15,2020,2050)-INDEX(Report_Scenarios!$A$29:$A$35,MATCH(MEDIAN($B59-Conversion!$B$15,2020,2050),Report_Scenarios!$A$29:$A$35,1)))/(INDEX(Report_Scenarios!$A$29:$A$35,MIN(MATCH(MEDIAN($B59-Conversion!$B$15,2020,2050),Report_Scenarios!$A$29:$A$35,1)+1,7))-INDEX(Report_Scenarios!$A$29:$A$35,MATCH(MEDIAN($B59-Conversion!$B$15,2020,2050),Report_Scenarios!$A$29:$A$35,1))))))</f>
        <v/>
      </c>
      <c r="I59" s="23">
        <f>IF($D59="Conservative",IF(INDEX(Report_Scenarios!$A$7:$A$13,MIN(MATCH(MEDIAN($B59-Conversion!$B$15,2020,2050),Report_Scenarios!$A$7:$A$13,1)+1,7))=INDEX(Report_Scenarios!$A$7:$A$13,MATCH(MEDIAN($B59-Conversion!$B$15,2020,2050),Report_Scenarios!$A$7:$A$13,1)),INDEX(Report_Scenarios!$F$7:$F$13,MATCH(MEDIAN($B59-Conversion!$B$15,2020,2050),Report_Scenarios!$A$7:$A$13,1)),INDEX(Report_Scenarios!$F$7:$F$13,MATCH(MEDIAN($B59-Conversion!$B$15,2020,2050),Report_Scenarios!$A$7:$A$13,1))+(INDEX(Report_Scenarios!$F$7:$F$13,MIN(MATCH(MEDIAN($B59-Conversion!$B$15,2020,2050),Report_Scenarios!$A$7:$A$13,1)+1,7))-INDEX(Report_Scenarios!$F$7:$F$13,MATCH(MEDIAN($B59-Conversion!$B$15,2020,2050),Report_Scenarios!$A$7:$A$13,1)))*(MEDIAN($B59-Conversion!$B$15,2020,2050)-INDEX(Report_Scenarios!$A$7:$A$13,MATCH(MEDIAN($B59-Conversion!$B$15,2020,2050),Report_Scenarios!$A$7:$A$13,1)))/(INDEX(Report_Scenarios!$A$7:$A$13,MIN(MATCH(MEDIAN($B59-Conversion!$B$15,2020,2050),Report_Scenarios!$A$7:$A$13,1)+1,7))-INDEX(Report_Scenarios!$A$7:$A$13,MATCH(MEDIAN($B59-Conversion!$B$15,2020,2050),Report_Scenarios!$A$7:$A$13,1)))),IF($D59="Central",IF(INDEX(Report_Scenarios!$A$18:$A$24,MIN(MATCH(MEDIAN($B59-Conversion!$B$15,2020,2050),Report_Scenarios!$A$18:$A$24,1)+1,7))=INDEX(Report_Scenarios!$A$18:$A$24,MATCH(MEDIAN($B59-Conversion!$B$15,2020,2050),Report_Scenarios!$A$18:$A$24,1)),INDEX(Report_Scenarios!$F$18:$F$24,MATCH(MEDIAN($B59-Conversion!$B$15,2020,2050),Report_Scenarios!$A$18:$A$24,1)),INDEX(Report_Scenarios!$F$18:$F$24,MATCH(MEDIAN($B59-Conversion!$B$15,2020,2050),Report_Scenarios!$A$18:$A$24,1))+(INDEX(Report_Scenarios!$F$18:$F$24,MIN(MATCH(MEDIAN($B59-Conversion!$B$15,2020,2050),Report_Scenarios!$A$18:$A$24,1)+1,7))-INDEX(Report_Scenarios!$F$18:$F$24,MATCH(MEDIAN($B59-Conversion!$B$15,2020,2050),Report_Scenarios!$A$18:$A$24,1)))*(MEDIAN($B59-Conversion!$B$15,2020,2050)-INDEX(Report_Scenarios!$A$18:$A$24,MATCH(MEDIAN($B59-Conversion!$B$15,2020,2050),Report_Scenarios!$A$18:$A$24,1)))/(INDEX(Report_Scenarios!$A$18:$A$24,MIN(MATCH(MEDIAN($B59-Conversion!$B$15,2020,2050),Report_Scenarios!$A$18:$A$24,1)+1,7))-INDEX(Report_Scenarios!$A$18:$A$24,MATCH(MEDIAN($B59-Conversion!$B$15,2020,2050),Report_Scenarios!$A$18:$A$24,1)))),IF(INDEX(Report_Scenarios!$A$29:$A$35,MIN(MATCH(MEDIAN($B59-Conversion!$B$15,2020,2050),Report_Scenarios!$A$29:$A$35,1)+1,7))=INDEX(Report_Scenarios!$A$29:$A$35,MATCH(MEDIAN($B59-Conversion!$B$15,2020,2050),Report_Scenarios!$A$29:$A$35,1)),INDEX(Report_Scenarios!$F$29:$F$35,MATCH(MEDIAN($B59-Conversion!$B$15,2020,2050),Report_Scenarios!$A$29:$A$35,1)),INDEX(Report_Scenarios!$F$29:$F$35,MATCH(MEDIAN($B59-Conversion!$B$15,2020,2050),Report_Scenarios!$A$29:$A$35,1))+(INDEX(Report_Scenarios!$F$29:$F$35,MIN(MATCH(MEDIAN($B59-Conversion!$B$15,2020,2050),Report_Scenarios!$A$29:$A$35,1)+1,7))-INDEX(Report_Scenarios!$F$29:$F$35,MATCH(MEDIAN($B59-Conversion!$B$15,2020,2050),Report_Scenarios!$A$29:$A$35,1)))*(MEDIAN($B59-Conversion!$B$15,2020,2050)-INDEX(Report_Scenarios!$A$29:$A$35,MATCH(MEDIAN($B59-Conversion!$B$15,2020,2050),Report_Scenarios!$A$29:$A$35,1)))/(INDEX(Report_Scenarios!$A$29:$A$35,MIN(MATCH(MEDIAN($B59-Conversion!$B$15,2020,2050),Report_Scenarios!$A$29:$A$35,1)+1,7))-INDEX(Report_Scenarios!$A$29:$A$35,MATCH(MEDIAN($B59-Conversion!$B$15,2020,2050),Report_Scenarios!$A$29:$A$35,1))))))</f>
        <v/>
      </c>
      <c r="J59" s="23">
        <f>IF($D59="Conservative",IF(INDEX(Report_Scenarios!$A$7:$A$13,MIN(MATCH(MEDIAN($B59-Conversion!$B$15,2020,2050),Report_Scenarios!$A$7:$A$13,1)+1,7))=INDEX(Report_Scenarios!$A$7:$A$13,MATCH(MEDIAN($B59-Conversion!$B$15,2020,2050),Report_Scenarios!$A$7:$A$13,1)),INDEX(Report_Scenarios!$G$7:$G$13,MATCH(MEDIAN($B59-Conversion!$B$15,2020,2050),Report_Scenarios!$A$7:$A$13,1)),INDEX(Report_Scenarios!$G$7:$G$13,MATCH(MEDIAN($B59-Conversion!$B$15,2020,2050),Report_Scenarios!$A$7:$A$13,1))+(INDEX(Report_Scenarios!$G$7:$G$13,MIN(MATCH(MEDIAN($B59-Conversion!$B$15,2020,2050),Report_Scenarios!$A$7:$A$13,1)+1,7))-INDEX(Report_Scenarios!$G$7:$G$13,MATCH(MEDIAN($B59-Conversion!$B$15,2020,2050),Report_Scenarios!$A$7:$A$13,1)))*(MEDIAN($B59-Conversion!$B$15,2020,2050)-INDEX(Report_Scenarios!$A$7:$A$13,MATCH(MEDIAN($B59-Conversion!$B$15,2020,2050),Report_Scenarios!$A$7:$A$13,1)))/(INDEX(Report_Scenarios!$A$7:$A$13,MIN(MATCH(MEDIAN($B59-Conversion!$B$15,2020,2050),Report_Scenarios!$A$7:$A$13,1)+1,7))-INDEX(Report_Scenarios!$A$7:$A$13,MATCH(MEDIAN($B59-Conversion!$B$15,2020,2050),Report_Scenarios!$A$7:$A$13,1)))),IF($D59="Central",IF(INDEX(Report_Scenarios!$A$18:$A$24,MIN(MATCH(MEDIAN($B59-Conversion!$B$15,2020,2050),Report_Scenarios!$A$18:$A$24,1)+1,7))=INDEX(Report_Scenarios!$A$18:$A$24,MATCH(MEDIAN($B59-Conversion!$B$15,2020,2050),Report_Scenarios!$A$18:$A$24,1)),INDEX(Report_Scenarios!$G$18:$G$24,MATCH(MEDIAN($B59-Conversion!$B$15,2020,2050),Report_Scenarios!$A$18:$A$24,1)),INDEX(Report_Scenarios!$G$18:$G$24,MATCH(MEDIAN($B59-Conversion!$B$15,2020,2050),Report_Scenarios!$A$18:$A$24,1))+(INDEX(Report_Scenarios!$G$18:$G$24,MIN(MATCH(MEDIAN($B59-Conversion!$B$15,2020,2050),Report_Scenarios!$A$18:$A$24,1)+1,7))-INDEX(Report_Scenarios!$G$18:$G$24,MATCH(MEDIAN($B59-Conversion!$B$15,2020,2050),Report_Scenarios!$A$18:$A$24,1)))*(MEDIAN($B59-Conversion!$B$15,2020,2050)-INDEX(Report_Scenarios!$A$18:$A$24,MATCH(MEDIAN($B59-Conversion!$B$15,2020,2050),Report_Scenarios!$A$18:$A$24,1)))/(INDEX(Report_Scenarios!$A$18:$A$24,MIN(MATCH(MEDIAN($B59-Conversion!$B$15,2020,2050),Report_Scenarios!$A$18:$A$24,1)+1,7))-INDEX(Report_Scenarios!$A$18:$A$24,MATCH(MEDIAN($B59-Conversion!$B$15,2020,2050),Report_Scenarios!$A$18:$A$24,1)))),IF(INDEX(Report_Scenarios!$A$29:$A$35,MIN(MATCH(MEDIAN($B59-Conversion!$B$15,2020,2050),Report_Scenarios!$A$29:$A$35,1)+1,7))=INDEX(Report_Scenarios!$A$29:$A$35,MATCH(MEDIAN($B59-Conversion!$B$15,2020,2050),Report_Scenarios!$A$29:$A$35,1)),INDEX(Report_Scenarios!$G$29:$G$35,MATCH(MEDIAN($B59-Conversion!$B$15,2020,2050),Report_Scenarios!$A$29:$A$35,1)),INDEX(Report_Scenarios!$G$29:$G$35,MATCH(MEDIAN($B59-Conversion!$B$15,2020,2050),Report_Scenarios!$A$29:$A$35,1))+(INDEX(Report_Scenarios!$G$29:$G$35,MIN(MATCH(MEDIAN($B59-Conversion!$B$15,2020,2050),Report_Scenarios!$A$29:$A$35,1)+1,7))-INDEX(Report_Scenarios!$G$29:$G$35,MATCH(MEDIAN($B59-Conversion!$B$15,2020,2050),Report_Scenarios!$A$29:$A$35,1)))*(MEDIAN($B59-Conversion!$B$15,2020,2050)-INDEX(Report_Scenarios!$A$29:$A$35,MATCH(MEDIAN($B59-Conversion!$B$15,2020,2050),Report_Scenarios!$A$29:$A$35,1)))/(INDEX(Report_Scenarios!$A$29:$A$35,MIN(MATCH(MEDIAN($B59-Conversion!$B$15,2020,2050),Report_Scenarios!$A$29:$A$35,1)+1,7))-INDEX(Report_Scenarios!$A$29:$A$35,MATCH(MEDIAN($B59-Conversion!$B$15,2020,2050),Report_Scenarios!$A$29:$A$35,1))))))</f>
        <v/>
      </c>
      <c r="K59" s="23">
        <f>SUM(E59:J59)</f>
        <v/>
      </c>
      <c r="L59" s="23">
        <f>IF(R59&lt;&gt;"",R59,IF($K59=0,0,E59/$K59))</f>
        <v/>
      </c>
      <c r="M59" s="23">
        <f>IF(S59&lt;&gt;"",S59,IF($K59=0,0,F59/$K59))</f>
        <v/>
      </c>
      <c r="N59" s="23">
        <f>IF(T59&lt;&gt;"",T59,IF($K59=0,0,G59/$K59))</f>
        <v/>
      </c>
      <c r="O59" s="23">
        <f>IF(U59&lt;&gt;"",U59,IF($K59=0,0,H59/$K59))</f>
        <v/>
      </c>
      <c r="P59" s="23">
        <f>IF(V59&lt;&gt;"",V59,IF($K59=0,0,I59/$K59))</f>
        <v/>
      </c>
      <c r="Q59" s="23">
        <f>IF(W59&lt;&gt;"",W59,IF($K59=0,0,J59/$K59))</f>
        <v/>
      </c>
      <c r="R59" s="24" t="n"/>
      <c r="S59" s="24" t="n"/>
      <c r="T59" s="24" t="n"/>
      <c r="U59" s="24" t="n"/>
      <c r="V59" s="24" t="n"/>
      <c r="W59" s="24" t="n"/>
    </row>
    <row r="60">
      <c r="A60" s="4" t="inlineStr">
        <is>
          <t>CD</t>
        </is>
      </c>
      <c r="B60" s="4" t="n">
        <v>2060</v>
      </c>
      <c r="C60" s="4" t="inlineStr">
        <is>
          <t>Share_Mode</t>
        </is>
      </c>
      <c r="D60" s="4">
        <f>Conversion!$B$19</f>
        <v/>
      </c>
      <c r="E60" s="23">
        <f>IF($D60="Conservative",IF(INDEX(Report_Scenarios!$A$7:$A$13,MIN(MATCH(MEDIAN($B60-Conversion!$B$15,2020,2050),Report_Scenarios!$A$7:$A$13,1)+1,7))=INDEX(Report_Scenarios!$A$7:$A$13,MATCH(MEDIAN($B60-Conversion!$B$15,2020,2050),Report_Scenarios!$A$7:$A$13,1)),INDEX(Report_Scenarios!$B$7:$B$13,MATCH(MEDIAN($B60-Conversion!$B$15,2020,2050),Report_Scenarios!$A$7:$A$13,1)),INDEX(Report_Scenarios!$B$7:$B$13,MATCH(MEDIAN($B60-Conversion!$B$15,2020,2050),Report_Scenarios!$A$7:$A$13,1))+(INDEX(Report_Scenarios!$B$7:$B$13,MIN(MATCH(MEDIAN($B60-Conversion!$B$15,2020,2050),Report_Scenarios!$A$7:$A$13,1)+1,7))-INDEX(Report_Scenarios!$B$7:$B$13,MATCH(MEDIAN($B60-Conversion!$B$15,2020,2050),Report_Scenarios!$A$7:$A$13,1)))*(MEDIAN($B60-Conversion!$B$15,2020,2050)-INDEX(Report_Scenarios!$A$7:$A$13,MATCH(MEDIAN($B60-Conversion!$B$15,2020,2050),Report_Scenarios!$A$7:$A$13,1)))/(INDEX(Report_Scenarios!$A$7:$A$13,MIN(MATCH(MEDIAN($B60-Conversion!$B$15,2020,2050),Report_Scenarios!$A$7:$A$13,1)+1,7))-INDEX(Report_Scenarios!$A$7:$A$13,MATCH(MEDIAN($B60-Conversion!$B$15,2020,2050),Report_Scenarios!$A$7:$A$13,1)))),IF($D60="Central",IF(INDEX(Report_Scenarios!$A$18:$A$24,MIN(MATCH(MEDIAN($B60-Conversion!$B$15,2020,2050),Report_Scenarios!$A$18:$A$24,1)+1,7))=INDEX(Report_Scenarios!$A$18:$A$24,MATCH(MEDIAN($B60-Conversion!$B$15,2020,2050),Report_Scenarios!$A$18:$A$24,1)),INDEX(Report_Scenarios!$B$18:$B$24,MATCH(MEDIAN($B60-Conversion!$B$15,2020,2050),Report_Scenarios!$A$18:$A$24,1)),INDEX(Report_Scenarios!$B$18:$B$24,MATCH(MEDIAN($B60-Conversion!$B$15,2020,2050),Report_Scenarios!$A$18:$A$24,1))+(INDEX(Report_Scenarios!$B$18:$B$24,MIN(MATCH(MEDIAN($B60-Conversion!$B$15,2020,2050),Report_Scenarios!$A$18:$A$24,1)+1,7))-INDEX(Report_Scenarios!$B$18:$B$24,MATCH(MEDIAN($B60-Conversion!$B$15,2020,2050),Report_Scenarios!$A$18:$A$24,1)))*(MEDIAN($B60-Conversion!$B$15,2020,2050)-INDEX(Report_Scenarios!$A$18:$A$24,MATCH(MEDIAN($B60-Conversion!$B$15,2020,2050),Report_Scenarios!$A$18:$A$24,1)))/(INDEX(Report_Scenarios!$A$18:$A$24,MIN(MATCH(MEDIAN($B60-Conversion!$B$15,2020,2050),Report_Scenarios!$A$18:$A$24,1)+1,7))-INDEX(Report_Scenarios!$A$18:$A$24,MATCH(MEDIAN($B60-Conversion!$B$15,2020,2050),Report_Scenarios!$A$18:$A$24,1)))),IF(INDEX(Report_Scenarios!$A$29:$A$35,MIN(MATCH(MEDIAN($B60-Conversion!$B$15,2020,2050),Report_Scenarios!$A$29:$A$35,1)+1,7))=INDEX(Report_Scenarios!$A$29:$A$35,MATCH(MEDIAN($B60-Conversion!$B$15,2020,2050),Report_Scenarios!$A$29:$A$35,1)),INDEX(Report_Scenarios!$B$29:$B$35,MATCH(MEDIAN($B60-Conversion!$B$15,2020,2050),Report_Scenarios!$A$29:$A$35,1)),INDEX(Report_Scenarios!$B$29:$B$35,MATCH(MEDIAN($B60-Conversion!$B$15,2020,2050),Report_Scenarios!$A$29:$A$35,1))+(INDEX(Report_Scenarios!$B$29:$B$35,MIN(MATCH(MEDIAN($B60-Conversion!$B$15,2020,2050),Report_Scenarios!$A$29:$A$35,1)+1,7))-INDEX(Report_Scenarios!$B$29:$B$35,MATCH(MEDIAN($B60-Conversion!$B$15,2020,2050),Report_Scenarios!$A$29:$A$35,1)))*(MEDIAN($B60-Conversion!$B$15,2020,2050)-INDEX(Report_Scenarios!$A$29:$A$35,MATCH(MEDIAN($B60-Conversion!$B$15,2020,2050),Report_Scenarios!$A$29:$A$35,1)))/(INDEX(Report_Scenarios!$A$29:$A$35,MIN(MATCH(MEDIAN($B60-Conversion!$B$15,2020,2050),Report_Scenarios!$A$29:$A$35,1)+1,7))-INDEX(Report_Scenarios!$A$29:$A$35,MATCH(MEDIAN($B60-Conversion!$B$15,2020,2050),Report_Scenarios!$A$29:$A$35,1))))))</f>
        <v/>
      </c>
      <c r="F60" s="23">
        <f>IF($D60="Conservative",IF(INDEX(Report_Scenarios!$A$7:$A$13,MIN(MATCH(MEDIAN($B60-Conversion!$B$15,2020,2050),Report_Scenarios!$A$7:$A$13,1)+1,7))=INDEX(Report_Scenarios!$A$7:$A$13,MATCH(MEDIAN($B60-Conversion!$B$15,2020,2050),Report_Scenarios!$A$7:$A$13,1)),INDEX(Report_Scenarios!$C$7:$C$13,MATCH(MEDIAN($B60-Conversion!$B$15,2020,2050),Report_Scenarios!$A$7:$A$13,1)),INDEX(Report_Scenarios!$C$7:$C$13,MATCH(MEDIAN($B60-Conversion!$B$15,2020,2050),Report_Scenarios!$A$7:$A$13,1))+(INDEX(Report_Scenarios!$C$7:$C$13,MIN(MATCH(MEDIAN($B60-Conversion!$B$15,2020,2050),Report_Scenarios!$A$7:$A$13,1)+1,7))-INDEX(Report_Scenarios!$C$7:$C$13,MATCH(MEDIAN($B60-Conversion!$B$15,2020,2050),Report_Scenarios!$A$7:$A$13,1)))*(MEDIAN($B60-Conversion!$B$15,2020,2050)-INDEX(Report_Scenarios!$A$7:$A$13,MATCH(MEDIAN($B60-Conversion!$B$15,2020,2050),Report_Scenarios!$A$7:$A$13,1)))/(INDEX(Report_Scenarios!$A$7:$A$13,MIN(MATCH(MEDIAN($B60-Conversion!$B$15,2020,2050),Report_Scenarios!$A$7:$A$13,1)+1,7))-INDEX(Report_Scenarios!$A$7:$A$13,MATCH(MEDIAN($B60-Conversion!$B$15,2020,2050),Report_Scenarios!$A$7:$A$13,1)))),IF($D60="Central",IF(INDEX(Report_Scenarios!$A$18:$A$24,MIN(MATCH(MEDIAN($B60-Conversion!$B$15,2020,2050),Report_Scenarios!$A$18:$A$24,1)+1,7))=INDEX(Report_Scenarios!$A$18:$A$24,MATCH(MEDIAN($B60-Conversion!$B$15,2020,2050),Report_Scenarios!$A$18:$A$24,1)),INDEX(Report_Scenarios!$C$18:$C$24,MATCH(MEDIAN($B60-Conversion!$B$15,2020,2050),Report_Scenarios!$A$18:$A$24,1)),INDEX(Report_Scenarios!$C$18:$C$24,MATCH(MEDIAN($B60-Conversion!$B$15,2020,2050),Report_Scenarios!$A$18:$A$24,1))+(INDEX(Report_Scenarios!$C$18:$C$24,MIN(MATCH(MEDIAN($B60-Conversion!$B$15,2020,2050),Report_Scenarios!$A$18:$A$24,1)+1,7))-INDEX(Report_Scenarios!$C$18:$C$24,MATCH(MEDIAN($B60-Conversion!$B$15,2020,2050),Report_Scenarios!$A$18:$A$24,1)))*(MEDIAN($B60-Conversion!$B$15,2020,2050)-INDEX(Report_Scenarios!$A$18:$A$24,MATCH(MEDIAN($B60-Conversion!$B$15,2020,2050),Report_Scenarios!$A$18:$A$24,1)))/(INDEX(Report_Scenarios!$A$18:$A$24,MIN(MATCH(MEDIAN($B60-Conversion!$B$15,2020,2050),Report_Scenarios!$A$18:$A$24,1)+1,7))-INDEX(Report_Scenarios!$A$18:$A$24,MATCH(MEDIAN($B60-Conversion!$B$15,2020,2050),Report_Scenarios!$A$18:$A$24,1)))),IF(INDEX(Report_Scenarios!$A$29:$A$35,MIN(MATCH(MEDIAN($B60-Conversion!$B$15,2020,2050),Report_Scenarios!$A$29:$A$35,1)+1,7))=INDEX(Report_Scenarios!$A$29:$A$35,MATCH(MEDIAN($B60-Conversion!$B$15,2020,2050),Report_Scenarios!$A$29:$A$35,1)),INDEX(Report_Scenarios!$C$29:$C$35,MATCH(MEDIAN($B60-Conversion!$B$15,2020,2050),Report_Scenarios!$A$29:$A$35,1)),INDEX(Report_Scenarios!$C$29:$C$35,MATCH(MEDIAN($B60-Conversion!$B$15,2020,2050),Report_Scenarios!$A$29:$A$35,1))+(INDEX(Report_Scenarios!$C$29:$C$35,MIN(MATCH(MEDIAN($B60-Conversion!$B$15,2020,2050),Report_Scenarios!$A$29:$A$35,1)+1,7))-INDEX(Report_Scenarios!$C$29:$C$35,MATCH(MEDIAN($B60-Conversion!$B$15,2020,2050),Report_Scenarios!$A$29:$A$35,1)))*(MEDIAN($B60-Conversion!$B$15,2020,2050)-INDEX(Report_Scenarios!$A$29:$A$35,MATCH(MEDIAN($B60-Conversion!$B$15,2020,2050),Report_Scenarios!$A$29:$A$35,1)))/(INDEX(Report_Scenarios!$A$29:$A$35,MIN(MATCH(MEDIAN($B60-Conversion!$B$15,2020,2050),Report_Scenarios!$A$29:$A$35,1)+1,7))-INDEX(Report_Scenarios!$A$29:$A$35,MATCH(MEDIAN($B60-Conversion!$B$15,2020,2050),Report_Scenarios!$A$29:$A$35,1))))))</f>
        <v/>
      </c>
      <c r="G60" s="23">
        <f>IF($D60="Conservative",IF(INDEX(Report_Scenarios!$A$7:$A$13,MIN(MATCH(MEDIAN($B60-Conversion!$B$15,2020,2050),Report_Scenarios!$A$7:$A$13,1)+1,7))=INDEX(Report_Scenarios!$A$7:$A$13,MATCH(MEDIAN($B60-Conversion!$B$15,2020,2050),Report_Scenarios!$A$7:$A$13,1)),INDEX(Report_Scenarios!$D$7:$D$13,MATCH(MEDIAN($B60-Conversion!$B$15,2020,2050),Report_Scenarios!$A$7:$A$13,1)),INDEX(Report_Scenarios!$D$7:$D$13,MATCH(MEDIAN($B60-Conversion!$B$15,2020,2050),Report_Scenarios!$A$7:$A$13,1))+(INDEX(Report_Scenarios!$D$7:$D$13,MIN(MATCH(MEDIAN($B60-Conversion!$B$15,2020,2050),Report_Scenarios!$A$7:$A$13,1)+1,7))-INDEX(Report_Scenarios!$D$7:$D$13,MATCH(MEDIAN($B60-Conversion!$B$15,2020,2050),Report_Scenarios!$A$7:$A$13,1)))*(MEDIAN($B60-Conversion!$B$15,2020,2050)-INDEX(Report_Scenarios!$A$7:$A$13,MATCH(MEDIAN($B60-Conversion!$B$15,2020,2050),Report_Scenarios!$A$7:$A$13,1)))/(INDEX(Report_Scenarios!$A$7:$A$13,MIN(MATCH(MEDIAN($B60-Conversion!$B$15,2020,2050),Report_Scenarios!$A$7:$A$13,1)+1,7))-INDEX(Report_Scenarios!$A$7:$A$13,MATCH(MEDIAN($B60-Conversion!$B$15,2020,2050),Report_Scenarios!$A$7:$A$13,1)))),IF($D60="Central",IF(INDEX(Report_Scenarios!$A$18:$A$24,MIN(MATCH(MEDIAN($B60-Conversion!$B$15,2020,2050),Report_Scenarios!$A$18:$A$24,1)+1,7))=INDEX(Report_Scenarios!$A$18:$A$24,MATCH(MEDIAN($B60-Conversion!$B$15,2020,2050),Report_Scenarios!$A$18:$A$24,1)),INDEX(Report_Scenarios!$D$18:$D$24,MATCH(MEDIAN($B60-Conversion!$B$15,2020,2050),Report_Scenarios!$A$18:$A$24,1)),INDEX(Report_Scenarios!$D$18:$D$24,MATCH(MEDIAN($B60-Conversion!$B$15,2020,2050),Report_Scenarios!$A$18:$A$24,1))+(INDEX(Report_Scenarios!$D$18:$D$24,MIN(MATCH(MEDIAN($B60-Conversion!$B$15,2020,2050),Report_Scenarios!$A$18:$A$24,1)+1,7))-INDEX(Report_Scenarios!$D$18:$D$24,MATCH(MEDIAN($B60-Conversion!$B$15,2020,2050),Report_Scenarios!$A$18:$A$24,1)))*(MEDIAN($B60-Conversion!$B$15,2020,2050)-INDEX(Report_Scenarios!$A$18:$A$24,MATCH(MEDIAN($B60-Conversion!$B$15,2020,2050),Report_Scenarios!$A$18:$A$24,1)))/(INDEX(Report_Scenarios!$A$18:$A$24,MIN(MATCH(MEDIAN($B60-Conversion!$B$15,2020,2050),Report_Scenarios!$A$18:$A$24,1)+1,7))-INDEX(Report_Scenarios!$A$18:$A$24,MATCH(MEDIAN($B60-Conversion!$B$15,2020,2050),Report_Scenarios!$A$18:$A$24,1)))),IF(INDEX(Report_Scenarios!$A$29:$A$35,MIN(MATCH(MEDIAN($B60-Conversion!$B$15,2020,2050),Report_Scenarios!$A$29:$A$35,1)+1,7))=INDEX(Report_Scenarios!$A$29:$A$35,MATCH(MEDIAN($B60-Conversion!$B$15,2020,2050),Report_Scenarios!$A$29:$A$35,1)),INDEX(Report_Scenarios!$D$29:$D$35,MATCH(MEDIAN($B60-Conversion!$B$15,2020,2050),Report_Scenarios!$A$29:$A$35,1)),INDEX(Report_Scenarios!$D$29:$D$35,MATCH(MEDIAN($B60-Conversion!$B$15,2020,2050),Report_Scenarios!$A$29:$A$35,1))+(INDEX(Report_Scenarios!$D$29:$D$35,MIN(MATCH(MEDIAN($B60-Conversion!$B$15,2020,2050),Report_Scenarios!$A$29:$A$35,1)+1,7))-INDEX(Report_Scenarios!$D$29:$D$35,MATCH(MEDIAN($B60-Conversion!$B$15,2020,2050),Report_Scenarios!$A$29:$A$35,1)))*(MEDIAN($B60-Conversion!$B$15,2020,2050)-INDEX(Report_Scenarios!$A$29:$A$35,MATCH(MEDIAN($B60-Conversion!$B$15,2020,2050),Report_Scenarios!$A$29:$A$35,1)))/(INDEX(Report_Scenarios!$A$29:$A$35,MIN(MATCH(MEDIAN($B60-Conversion!$B$15,2020,2050),Report_Scenarios!$A$29:$A$35,1)+1,7))-INDEX(Report_Scenarios!$A$29:$A$35,MATCH(MEDIAN($B60-Conversion!$B$15,2020,2050),Report_Scenarios!$A$29:$A$35,1))))))</f>
        <v/>
      </c>
      <c r="H60" s="23">
        <f>IF($D60="Conservative",IF(INDEX(Report_Scenarios!$A$7:$A$13,MIN(MATCH(MEDIAN($B60-Conversion!$B$15,2020,2050),Report_Scenarios!$A$7:$A$13,1)+1,7))=INDEX(Report_Scenarios!$A$7:$A$13,MATCH(MEDIAN($B60-Conversion!$B$15,2020,2050),Report_Scenarios!$A$7:$A$13,1)),INDEX(Report_Scenarios!$E$7:$E$13,MATCH(MEDIAN($B60-Conversion!$B$15,2020,2050),Report_Scenarios!$A$7:$A$13,1)),INDEX(Report_Scenarios!$E$7:$E$13,MATCH(MEDIAN($B60-Conversion!$B$15,2020,2050),Report_Scenarios!$A$7:$A$13,1))+(INDEX(Report_Scenarios!$E$7:$E$13,MIN(MATCH(MEDIAN($B60-Conversion!$B$15,2020,2050),Report_Scenarios!$A$7:$A$13,1)+1,7))-INDEX(Report_Scenarios!$E$7:$E$13,MATCH(MEDIAN($B60-Conversion!$B$15,2020,2050),Report_Scenarios!$A$7:$A$13,1)))*(MEDIAN($B60-Conversion!$B$15,2020,2050)-INDEX(Report_Scenarios!$A$7:$A$13,MATCH(MEDIAN($B60-Conversion!$B$15,2020,2050),Report_Scenarios!$A$7:$A$13,1)))/(INDEX(Report_Scenarios!$A$7:$A$13,MIN(MATCH(MEDIAN($B60-Conversion!$B$15,2020,2050),Report_Scenarios!$A$7:$A$13,1)+1,7))-INDEX(Report_Scenarios!$A$7:$A$13,MATCH(MEDIAN($B60-Conversion!$B$15,2020,2050),Report_Scenarios!$A$7:$A$13,1)))),IF($D60="Central",IF(INDEX(Report_Scenarios!$A$18:$A$24,MIN(MATCH(MEDIAN($B60-Conversion!$B$15,2020,2050),Report_Scenarios!$A$18:$A$24,1)+1,7))=INDEX(Report_Scenarios!$A$18:$A$24,MATCH(MEDIAN($B60-Conversion!$B$15,2020,2050),Report_Scenarios!$A$18:$A$24,1)),INDEX(Report_Scenarios!$E$18:$E$24,MATCH(MEDIAN($B60-Conversion!$B$15,2020,2050),Report_Scenarios!$A$18:$A$24,1)),INDEX(Report_Scenarios!$E$18:$E$24,MATCH(MEDIAN($B60-Conversion!$B$15,2020,2050),Report_Scenarios!$A$18:$A$24,1))+(INDEX(Report_Scenarios!$E$18:$E$24,MIN(MATCH(MEDIAN($B60-Conversion!$B$15,2020,2050),Report_Scenarios!$A$18:$A$24,1)+1,7))-INDEX(Report_Scenarios!$E$18:$E$24,MATCH(MEDIAN($B60-Conversion!$B$15,2020,2050),Report_Scenarios!$A$18:$A$24,1)))*(MEDIAN($B60-Conversion!$B$15,2020,2050)-INDEX(Report_Scenarios!$A$18:$A$24,MATCH(MEDIAN($B60-Conversion!$B$15,2020,2050),Report_Scenarios!$A$18:$A$24,1)))/(INDEX(Report_Scenarios!$A$18:$A$24,MIN(MATCH(MEDIAN($B60-Conversion!$B$15,2020,2050),Report_Scenarios!$A$18:$A$24,1)+1,7))-INDEX(Report_Scenarios!$A$18:$A$24,MATCH(MEDIAN($B60-Conversion!$B$15,2020,2050),Report_Scenarios!$A$18:$A$24,1)))),IF(INDEX(Report_Scenarios!$A$29:$A$35,MIN(MATCH(MEDIAN($B60-Conversion!$B$15,2020,2050),Report_Scenarios!$A$29:$A$35,1)+1,7))=INDEX(Report_Scenarios!$A$29:$A$35,MATCH(MEDIAN($B60-Conversion!$B$15,2020,2050),Report_Scenarios!$A$29:$A$35,1)),INDEX(Report_Scenarios!$E$29:$E$35,MATCH(MEDIAN($B60-Conversion!$B$15,2020,2050),Report_Scenarios!$A$29:$A$35,1)),INDEX(Report_Scenarios!$E$29:$E$35,MATCH(MEDIAN($B60-Conversion!$B$15,2020,2050),Report_Scenarios!$A$29:$A$35,1))+(INDEX(Report_Scenarios!$E$29:$E$35,MIN(MATCH(MEDIAN($B60-Conversion!$B$15,2020,2050),Report_Scenarios!$A$29:$A$35,1)+1,7))-INDEX(Report_Scenarios!$E$29:$E$35,MATCH(MEDIAN($B60-Conversion!$B$15,2020,2050),Report_Scenarios!$A$29:$A$35,1)))*(MEDIAN($B60-Conversion!$B$15,2020,2050)-INDEX(Report_Scenarios!$A$29:$A$35,MATCH(MEDIAN($B60-Conversion!$B$15,2020,2050),Report_Scenarios!$A$29:$A$35,1)))/(INDEX(Report_Scenarios!$A$29:$A$35,MIN(MATCH(MEDIAN($B60-Conversion!$B$15,2020,2050),Report_Scenarios!$A$29:$A$35,1)+1,7))-INDEX(Report_Scenarios!$A$29:$A$35,MATCH(MEDIAN($B60-Conversion!$B$15,2020,2050),Report_Scenarios!$A$29:$A$35,1))))))</f>
        <v/>
      </c>
      <c r="I60" s="23">
        <f>IF($D60="Conservative",IF(INDEX(Report_Scenarios!$A$7:$A$13,MIN(MATCH(MEDIAN($B60-Conversion!$B$15,2020,2050),Report_Scenarios!$A$7:$A$13,1)+1,7))=INDEX(Report_Scenarios!$A$7:$A$13,MATCH(MEDIAN($B60-Conversion!$B$15,2020,2050),Report_Scenarios!$A$7:$A$13,1)),INDEX(Report_Scenarios!$F$7:$F$13,MATCH(MEDIAN($B60-Conversion!$B$15,2020,2050),Report_Scenarios!$A$7:$A$13,1)),INDEX(Report_Scenarios!$F$7:$F$13,MATCH(MEDIAN($B60-Conversion!$B$15,2020,2050),Report_Scenarios!$A$7:$A$13,1))+(INDEX(Report_Scenarios!$F$7:$F$13,MIN(MATCH(MEDIAN($B60-Conversion!$B$15,2020,2050),Report_Scenarios!$A$7:$A$13,1)+1,7))-INDEX(Report_Scenarios!$F$7:$F$13,MATCH(MEDIAN($B60-Conversion!$B$15,2020,2050),Report_Scenarios!$A$7:$A$13,1)))*(MEDIAN($B60-Conversion!$B$15,2020,2050)-INDEX(Report_Scenarios!$A$7:$A$13,MATCH(MEDIAN($B60-Conversion!$B$15,2020,2050),Report_Scenarios!$A$7:$A$13,1)))/(INDEX(Report_Scenarios!$A$7:$A$13,MIN(MATCH(MEDIAN($B60-Conversion!$B$15,2020,2050),Report_Scenarios!$A$7:$A$13,1)+1,7))-INDEX(Report_Scenarios!$A$7:$A$13,MATCH(MEDIAN($B60-Conversion!$B$15,2020,2050),Report_Scenarios!$A$7:$A$13,1)))),IF($D60="Central",IF(INDEX(Report_Scenarios!$A$18:$A$24,MIN(MATCH(MEDIAN($B60-Conversion!$B$15,2020,2050),Report_Scenarios!$A$18:$A$24,1)+1,7))=INDEX(Report_Scenarios!$A$18:$A$24,MATCH(MEDIAN($B60-Conversion!$B$15,2020,2050),Report_Scenarios!$A$18:$A$24,1)),INDEX(Report_Scenarios!$F$18:$F$24,MATCH(MEDIAN($B60-Conversion!$B$15,2020,2050),Report_Scenarios!$A$18:$A$24,1)),INDEX(Report_Scenarios!$F$18:$F$24,MATCH(MEDIAN($B60-Conversion!$B$15,2020,2050),Report_Scenarios!$A$18:$A$24,1))+(INDEX(Report_Scenarios!$F$18:$F$24,MIN(MATCH(MEDIAN($B60-Conversion!$B$15,2020,2050),Report_Scenarios!$A$18:$A$24,1)+1,7))-INDEX(Report_Scenarios!$F$18:$F$24,MATCH(MEDIAN($B60-Conversion!$B$15,2020,2050),Report_Scenarios!$A$18:$A$24,1)))*(MEDIAN($B60-Conversion!$B$15,2020,2050)-INDEX(Report_Scenarios!$A$18:$A$24,MATCH(MEDIAN($B60-Conversion!$B$15,2020,2050),Report_Scenarios!$A$18:$A$24,1)))/(INDEX(Report_Scenarios!$A$18:$A$24,MIN(MATCH(MEDIAN($B60-Conversion!$B$15,2020,2050),Report_Scenarios!$A$18:$A$24,1)+1,7))-INDEX(Report_Scenarios!$A$18:$A$24,MATCH(MEDIAN($B60-Conversion!$B$15,2020,2050),Report_Scenarios!$A$18:$A$24,1)))),IF(INDEX(Report_Scenarios!$A$29:$A$35,MIN(MATCH(MEDIAN($B60-Conversion!$B$15,2020,2050),Report_Scenarios!$A$29:$A$35,1)+1,7))=INDEX(Report_Scenarios!$A$29:$A$35,MATCH(MEDIAN($B60-Conversion!$B$15,2020,2050),Report_Scenarios!$A$29:$A$35,1)),INDEX(Report_Scenarios!$F$29:$F$35,MATCH(MEDIAN($B60-Conversion!$B$15,2020,2050),Report_Scenarios!$A$29:$A$35,1)),INDEX(Report_Scenarios!$F$29:$F$35,MATCH(MEDIAN($B60-Conversion!$B$15,2020,2050),Report_Scenarios!$A$29:$A$35,1))+(INDEX(Report_Scenarios!$F$29:$F$35,MIN(MATCH(MEDIAN($B60-Conversion!$B$15,2020,2050),Report_Scenarios!$A$29:$A$35,1)+1,7))-INDEX(Report_Scenarios!$F$29:$F$35,MATCH(MEDIAN($B60-Conversion!$B$15,2020,2050),Report_Scenarios!$A$29:$A$35,1)))*(MEDIAN($B60-Conversion!$B$15,2020,2050)-INDEX(Report_Scenarios!$A$29:$A$35,MATCH(MEDIAN($B60-Conversion!$B$15,2020,2050),Report_Scenarios!$A$29:$A$35,1)))/(INDEX(Report_Scenarios!$A$29:$A$35,MIN(MATCH(MEDIAN($B60-Conversion!$B$15,2020,2050),Report_Scenarios!$A$29:$A$35,1)+1,7))-INDEX(Report_Scenarios!$A$29:$A$35,MATCH(MEDIAN($B60-Conversion!$B$15,2020,2050),Report_Scenarios!$A$29:$A$35,1))))))</f>
        <v/>
      </c>
      <c r="J60" s="23">
        <f>IF($D60="Conservative",IF(INDEX(Report_Scenarios!$A$7:$A$13,MIN(MATCH(MEDIAN($B60-Conversion!$B$15,2020,2050),Report_Scenarios!$A$7:$A$13,1)+1,7))=INDEX(Report_Scenarios!$A$7:$A$13,MATCH(MEDIAN($B60-Conversion!$B$15,2020,2050),Report_Scenarios!$A$7:$A$13,1)),INDEX(Report_Scenarios!$G$7:$G$13,MATCH(MEDIAN($B60-Conversion!$B$15,2020,2050),Report_Scenarios!$A$7:$A$13,1)),INDEX(Report_Scenarios!$G$7:$G$13,MATCH(MEDIAN($B60-Conversion!$B$15,2020,2050),Report_Scenarios!$A$7:$A$13,1))+(INDEX(Report_Scenarios!$G$7:$G$13,MIN(MATCH(MEDIAN($B60-Conversion!$B$15,2020,2050),Report_Scenarios!$A$7:$A$13,1)+1,7))-INDEX(Report_Scenarios!$G$7:$G$13,MATCH(MEDIAN($B60-Conversion!$B$15,2020,2050),Report_Scenarios!$A$7:$A$13,1)))*(MEDIAN($B60-Conversion!$B$15,2020,2050)-INDEX(Report_Scenarios!$A$7:$A$13,MATCH(MEDIAN($B60-Conversion!$B$15,2020,2050),Report_Scenarios!$A$7:$A$13,1)))/(INDEX(Report_Scenarios!$A$7:$A$13,MIN(MATCH(MEDIAN($B60-Conversion!$B$15,2020,2050),Report_Scenarios!$A$7:$A$13,1)+1,7))-INDEX(Report_Scenarios!$A$7:$A$13,MATCH(MEDIAN($B60-Conversion!$B$15,2020,2050),Report_Scenarios!$A$7:$A$13,1)))),IF($D60="Central",IF(INDEX(Report_Scenarios!$A$18:$A$24,MIN(MATCH(MEDIAN($B60-Conversion!$B$15,2020,2050),Report_Scenarios!$A$18:$A$24,1)+1,7))=INDEX(Report_Scenarios!$A$18:$A$24,MATCH(MEDIAN($B60-Conversion!$B$15,2020,2050),Report_Scenarios!$A$18:$A$24,1)),INDEX(Report_Scenarios!$G$18:$G$24,MATCH(MEDIAN($B60-Conversion!$B$15,2020,2050),Report_Scenarios!$A$18:$A$24,1)),INDEX(Report_Scenarios!$G$18:$G$24,MATCH(MEDIAN($B60-Conversion!$B$15,2020,2050),Report_Scenarios!$A$18:$A$24,1))+(INDEX(Report_Scenarios!$G$18:$G$24,MIN(MATCH(MEDIAN($B60-Conversion!$B$15,2020,2050),Report_Scenarios!$A$18:$A$24,1)+1,7))-INDEX(Report_Scenarios!$G$18:$G$24,MATCH(MEDIAN($B60-Conversion!$B$15,2020,2050),Report_Scenarios!$A$18:$A$24,1)))*(MEDIAN($B60-Conversion!$B$15,2020,2050)-INDEX(Report_Scenarios!$A$18:$A$24,MATCH(MEDIAN($B60-Conversion!$B$15,2020,2050),Report_Scenarios!$A$18:$A$24,1)))/(INDEX(Report_Scenarios!$A$18:$A$24,MIN(MATCH(MEDIAN($B60-Conversion!$B$15,2020,2050),Report_Scenarios!$A$18:$A$24,1)+1,7))-INDEX(Report_Scenarios!$A$18:$A$24,MATCH(MEDIAN($B60-Conversion!$B$15,2020,2050),Report_Scenarios!$A$18:$A$24,1)))),IF(INDEX(Report_Scenarios!$A$29:$A$35,MIN(MATCH(MEDIAN($B60-Conversion!$B$15,2020,2050),Report_Scenarios!$A$29:$A$35,1)+1,7))=INDEX(Report_Scenarios!$A$29:$A$35,MATCH(MEDIAN($B60-Conversion!$B$15,2020,2050),Report_Scenarios!$A$29:$A$35,1)),INDEX(Report_Scenarios!$G$29:$G$35,MATCH(MEDIAN($B60-Conversion!$B$15,2020,2050),Report_Scenarios!$A$29:$A$35,1)),INDEX(Report_Scenarios!$G$29:$G$35,MATCH(MEDIAN($B60-Conversion!$B$15,2020,2050),Report_Scenarios!$A$29:$A$35,1))+(INDEX(Report_Scenarios!$G$29:$G$35,MIN(MATCH(MEDIAN($B60-Conversion!$B$15,2020,2050),Report_Scenarios!$A$29:$A$35,1)+1,7))-INDEX(Report_Scenarios!$G$29:$G$35,MATCH(MEDIAN($B60-Conversion!$B$15,2020,2050),Report_Scenarios!$A$29:$A$35,1)))*(MEDIAN($B60-Conversion!$B$15,2020,2050)-INDEX(Report_Scenarios!$A$29:$A$35,MATCH(MEDIAN($B60-Conversion!$B$15,2020,2050),Report_Scenarios!$A$29:$A$35,1)))/(INDEX(Report_Scenarios!$A$29:$A$35,MIN(MATCH(MEDIAN($B60-Conversion!$B$15,2020,2050),Report_Scenarios!$A$29:$A$35,1)+1,7))-INDEX(Report_Scenarios!$A$29:$A$35,MATCH(MEDIAN($B60-Conversion!$B$15,2020,2050),Report_Scenarios!$A$29:$A$35,1))))))</f>
        <v/>
      </c>
      <c r="K60" s="23">
        <f>SUM(E60:J60)</f>
        <v/>
      </c>
      <c r="L60" s="23">
        <f>IF(R60&lt;&gt;"",R60,IF($K60=0,0,E60/$K60))</f>
        <v/>
      </c>
      <c r="M60" s="23">
        <f>IF(S60&lt;&gt;"",S60,IF($K60=0,0,F60/$K60))</f>
        <v/>
      </c>
      <c r="N60" s="23">
        <f>IF(T60&lt;&gt;"",T60,IF($K60=0,0,G60/$K60))</f>
        <v/>
      </c>
      <c r="O60" s="23">
        <f>IF(U60&lt;&gt;"",U60,IF($K60=0,0,H60/$K60))</f>
        <v/>
      </c>
      <c r="P60" s="23">
        <f>IF(V60&lt;&gt;"",V60,IF($K60=0,0,I60/$K60))</f>
        <v/>
      </c>
      <c r="Q60" s="23">
        <f>IF(W60&lt;&gt;"",W60,IF($K60=0,0,J60/$K60))</f>
        <v/>
      </c>
      <c r="R60" s="24" t="n"/>
      <c r="S60" s="24" t="n"/>
      <c r="T60" s="24" t="n"/>
      <c r="U60" s="24" t="n"/>
      <c r="V60" s="24" t="n"/>
      <c r="W60" s="24" t="n"/>
    </row>
    <row r="61">
      <c r="A61" s="4" t="inlineStr">
        <is>
          <t>CD</t>
        </is>
      </c>
      <c r="B61" s="4" t="n">
        <v>2060</v>
      </c>
      <c r="C61" s="4" t="inlineStr">
        <is>
          <t>Share_Max</t>
        </is>
      </c>
      <c r="D61" s="4">
        <f>Conversion!$B$20</f>
        <v/>
      </c>
      <c r="E61" s="23">
        <f>IF($D61="Conservative",IF(INDEX(Report_Scenarios!$A$7:$A$13,MIN(MATCH(MEDIAN($B61-Conversion!$B$15,2020,2050),Report_Scenarios!$A$7:$A$13,1)+1,7))=INDEX(Report_Scenarios!$A$7:$A$13,MATCH(MEDIAN($B61-Conversion!$B$15,2020,2050),Report_Scenarios!$A$7:$A$13,1)),INDEX(Report_Scenarios!$B$7:$B$13,MATCH(MEDIAN($B61-Conversion!$B$15,2020,2050),Report_Scenarios!$A$7:$A$13,1)),INDEX(Report_Scenarios!$B$7:$B$13,MATCH(MEDIAN($B61-Conversion!$B$15,2020,2050),Report_Scenarios!$A$7:$A$13,1))+(INDEX(Report_Scenarios!$B$7:$B$13,MIN(MATCH(MEDIAN($B61-Conversion!$B$15,2020,2050),Report_Scenarios!$A$7:$A$13,1)+1,7))-INDEX(Report_Scenarios!$B$7:$B$13,MATCH(MEDIAN($B61-Conversion!$B$15,2020,2050),Report_Scenarios!$A$7:$A$13,1)))*(MEDIAN($B61-Conversion!$B$15,2020,2050)-INDEX(Report_Scenarios!$A$7:$A$13,MATCH(MEDIAN($B61-Conversion!$B$15,2020,2050),Report_Scenarios!$A$7:$A$13,1)))/(INDEX(Report_Scenarios!$A$7:$A$13,MIN(MATCH(MEDIAN($B61-Conversion!$B$15,2020,2050),Report_Scenarios!$A$7:$A$13,1)+1,7))-INDEX(Report_Scenarios!$A$7:$A$13,MATCH(MEDIAN($B61-Conversion!$B$15,2020,2050),Report_Scenarios!$A$7:$A$13,1)))),IF($D61="Central",IF(INDEX(Report_Scenarios!$A$18:$A$24,MIN(MATCH(MEDIAN($B61-Conversion!$B$15,2020,2050),Report_Scenarios!$A$18:$A$24,1)+1,7))=INDEX(Report_Scenarios!$A$18:$A$24,MATCH(MEDIAN($B61-Conversion!$B$15,2020,2050),Report_Scenarios!$A$18:$A$24,1)),INDEX(Report_Scenarios!$B$18:$B$24,MATCH(MEDIAN($B61-Conversion!$B$15,2020,2050),Report_Scenarios!$A$18:$A$24,1)),INDEX(Report_Scenarios!$B$18:$B$24,MATCH(MEDIAN($B61-Conversion!$B$15,2020,2050),Report_Scenarios!$A$18:$A$24,1))+(INDEX(Report_Scenarios!$B$18:$B$24,MIN(MATCH(MEDIAN($B61-Conversion!$B$15,2020,2050),Report_Scenarios!$A$18:$A$24,1)+1,7))-INDEX(Report_Scenarios!$B$18:$B$24,MATCH(MEDIAN($B61-Conversion!$B$15,2020,2050),Report_Scenarios!$A$18:$A$24,1)))*(MEDIAN($B61-Conversion!$B$15,2020,2050)-INDEX(Report_Scenarios!$A$18:$A$24,MATCH(MEDIAN($B61-Conversion!$B$15,2020,2050),Report_Scenarios!$A$18:$A$24,1)))/(INDEX(Report_Scenarios!$A$18:$A$24,MIN(MATCH(MEDIAN($B61-Conversion!$B$15,2020,2050),Report_Scenarios!$A$18:$A$24,1)+1,7))-INDEX(Report_Scenarios!$A$18:$A$24,MATCH(MEDIAN($B61-Conversion!$B$15,2020,2050),Report_Scenarios!$A$18:$A$24,1)))),IF(INDEX(Report_Scenarios!$A$29:$A$35,MIN(MATCH(MEDIAN($B61-Conversion!$B$15,2020,2050),Report_Scenarios!$A$29:$A$35,1)+1,7))=INDEX(Report_Scenarios!$A$29:$A$35,MATCH(MEDIAN($B61-Conversion!$B$15,2020,2050),Report_Scenarios!$A$29:$A$35,1)),INDEX(Report_Scenarios!$B$29:$B$35,MATCH(MEDIAN($B61-Conversion!$B$15,2020,2050),Report_Scenarios!$A$29:$A$35,1)),INDEX(Report_Scenarios!$B$29:$B$35,MATCH(MEDIAN($B61-Conversion!$B$15,2020,2050),Report_Scenarios!$A$29:$A$35,1))+(INDEX(Report_Scenarios!$B$29:$B$35,MIN(MATCH(MEDIAN($B61-Conversion!$B$15,2020,2050),Report_Scenarios!$A$29:$A$35,1)+1,7))-INDEX(Report_Scenarios!$B$29:$B$35,MATCH(MEDIAN($B61-Conversion!$B$15,2020,2050),Report_Scenarios!$A$29:$A$35,1)))*(MEDIAN($B61-Conversion!$B$15,2020,2050)-INDEX(Report_Scenarios!$A$29:$A$35,MATCH(MEDIAN($B61-Conversion!$B$15,2020,2050),Report_Scenarios!$A$29:$A$35,1)))/(INDEX(Report_Scenarios!$A$29:$A$35,MIN(MATCH(MEDIAN($B61-Conversion!$B$15,2020,2050),Report_Scenarios!$A$29:$A$35,1)+1,7))-INDEX(Report_Scenarios!$A$29:$A$35,MATCH(MEDIAN($B61-Conversion!$B$15,2020,2050),Report_Scenarios!$A$29:$A$35,1))))))</f>
        <v/>
      </c>
      <c r="F61" s="23">
        <f>IF($D61="Conservative",IF(INDEX(Report_Scenarios!$A$7:$A$13,MIN(MATCH(MEDIAN($B61-Conversion!$B$15,2020,2050),Report_Scenarios!$A$7:$A$13,1)+1,7))=INDEX(Report_Scenarios!$A$7:$A$13,MATCH(MEDIAN($B61-Conversion!$B$15,2020,2050),Report_Scenarios!$A$7:$A$13,1)),INDEX(Report_Scenarios!$C$7:$C$13,MATCH(MEDIAN($B61-Conversion!$B$15,2020,2050),Report_Scenarios!$A$7:$A$13,1)),INDEX(Report_Scenarios!$C$7:$C$13,MATCH(MEDIAN($B61-Conversion!$B$15,2020,2050),Report_Scenarios!$A$7:$A$13,1))+(INDEX(Report_Scenarios!$C$7:$C$13,MIN(MATCH(MEDIAN($B61-Conversion!$B$15,2020,2050),Report_Scenarios!$A$7:$A$13,1)+1,7))-INDEX(Report_Scenarios!$C$7:$C$13,MATCH(MEDIAN($B61-Conversion!$B$15,2020,2050),Report_Scenarios!$A$7:$A$13,1)))*(MEDIAN($B61-Conversion!$B$15,2020,2050)-INDEX(Report_Scenarios!$A$7:$A$13,MATCH(MEDIAN($B61-Conversion!$B$15,2020,2050),Report_Scenarios!$A$7:$A$13,1)))/(INDEX(Report_Scenarios!$A$7:$A$13,MIN(MATCH(MEDIAN($B61-Conversion!$B$15,2020,2050),Report_Scenarios!$A$7:$A$13,1)+1,7))-INDEX(Report_Scenarios!$A$7:$A$13,MATCH(MEDIAN($B61-Conversion!$B$15,2020,2050),Report_Scenarios!$A$7:$A$13,1)))),IF($D61="Central",IF(INDEX(Report_Scenarios!$A$18:$A$24,MIN(MATCH(MEDIAN($B61-Conversion!$B$15,2020,2050),Report_Scenarios!$A$18:$A$24,1)+1,7))=INDEX(Report_Scenarios!$A$18:$A$24,MATCH(MEDIAN($B61-Conversion!$B$15,2020,2050),Report_Scenarios!$A$18:$A$24,1)),INDEX(Report_Scenarios!$C$18:$C$24,MATCH(MEDIAN($B61-Conversion!$B$15,2020,2050),Report_Scenarios!$A$18:$A$24,1)),INDEX(Report_Scenarios!$C$18:$C$24,MATCH(MEDIAN($B61-Conversion!$B$15,2020,2050),Report_Scenarios!$A$18:$A$24,1))+(INDEX(Report_Scenarios!$C$18:$C$24,MIN(MATCH(MEDIAN($B61-Conversion!$B$15,2020,2050),Report_Scenarios!$A$18:$A$24,1)+1,7))-INDEX(Report_Scenarios!$C$18:$C$24,MATCH(MEDIAN($B61-Conversion!$B$15,2020,2050),Report_Scenarios!$A$18:$A$24,1)))*(MEDIAN($B61-Conversion!$B$15,2020,2050)-INDEX(Report_Scenarios!$A$18:$A$24,MATCH(MEDIAN($B61-Conversion!$B$15,2020,2050),Report_Scenarios!$A$18:$A$24,1)))/(INDEX(Report_Scenarios!$A$18:$A$24,MIN(MATCH(MEDIAN($B61-Conversion!$B$15,2020,2050),Report_Scenarios!$A$18:$A$24,1)+1,7))-INDEX(Report_Scenarios!$A$18:$A$24,MATCH(MEDIAN($B61-Conversion!$B$15,2020,2050),Report_Scenarios!$A$18:$A$24,1)))),IF(INDEX(Report_Scenarios!$A$29:$A$35,MIN(MATCH(MEDIAN($B61-Conversion!$B$15,2020,2050),Report_Scenarios!$A$29:$A$35,1)+1,7))=INDEX(Report_Scenarios!$A$29:$A$35,MATCH(MEDIAN($B61-Conversion!$B$15,2020,2050),Report_Scenarios!$A$29:$A$35,1)),INDEX(Report_Scenarios!$C$29:$C$35,MATCH(MEDIAN($B61-Conversion!$B$15,2020,2050),Report_Scenarios!$A$29:$A$35,1)),INDEX(Report_Scenarios!$C$29:$C$35,MATCH(MEDIAN($B61-Conversion!$B$15,2020,2050),Report_Scenarios!$A$29:$A$35,1))+(INDEX(Report_Scenarios!$C$29:$C$35,MIN(MATCH(MEDIAN($B61-Conversion!$B$15,2020,2050),Report_Scenarios!$A$29:$A$35,1)+1,7))-INDEX(Report_Scenarios!$C$29:$C$35,MATCH(MEDIAN($B61-Conversion!$B$15,2020,2050),Report_Scenarios!$A$29:$A$35,1)))*(MEDIAN($B61-Conversion!$B$15,2020,2050)-INDEX(Report_Scenarios!$A$29:$A$35,MATCH(MEDIAN($B61-Conversion!$B$15,2020,2050),Report_Scenarios!$A$29:$A$35,1)))/(INDEX(Report_Scenarios!$A$29:$A$35,MIN(MATCH(MEDIAN($B61-Conversion!$B$15,2020,2050),Report_Scenarios!$A$29:$A$35,1)+1,7))-INDEX(Report_Scenarios!$A$29:$A$35,MATCH(MEDIAN($B61-Conversion!$B$15,2020,2050),Report_Scenarios!$A$29:$A$35,1))))))</f>
        <v/>
      </c>
      <c r="G61" s="23">
        <f>IF($D61="Conservative",IF(INDEX(Report_Scenarios!$A$7:$A$13,MIN(MATCH(MEDIAN($B61-Conversion!$B$15,2020,2050),Report_Scenarios!$A$7:$A$13,1)+1,7))=INDEX(Report_Scenarios!$A$7:$A$13,MATCH(MEDIAN($B61-Conversion!$B$15,2020,2050),Report_Scenarios!$A$7:$A$13,1)),INDEX(Report_Scenarios!$D$7:$D$13,MATCH(MEDIAN($B61-Conversion!$B$15,2020,2050),Report_Scenarios!$A$7:$A$13,1)),INDEX(Report_Scenarios!$D$7:$D$13,MATCH(MEDIAN($B61-Conversion!$B$15,2020,2050),Report_Scenarios!$A$7:$A$13,1))+(INDEX(Report_Scenarios!$D$7:$D$13,MIN(MATCH(MEDIAN($B61-Conversion!$B$15,2020,2050),Report_Scenarios!$A$7:$A$13,1)+1,7))-INDEX(Report_Scenarios!$D$7:$D$13,MATCH(MEDIAN($B61-Conversion!$B$15,2020,2050),Report_Scenarios!$A$7:$A$13,1)))*(MEDIAN($B61-Conversion!$B$15,2020,2050)-INDEX(Report_Scenarios!$A$7:$A$13,MATCH(MEDIAN($B61-Conversion!$B$15,2020,2050),Report_Scenarios!$A$7:$A$13,1)))/(INDEX(Report_Scenarios!$A$7:$A$13,MIN(MATCH(MEDIAN($B61-Conversion!$B$15,2020,2050),Report_Scenarios!$A$7:$A$13,1)+1,7))-INDEX(Report_Scenarios!$A$7:$A$13,MATCH(MEDIAN($B61-Conversion!$B$15,2020,2050),Report_Scenarios!$A$7:$A$13,1)))),IF($D61="Central",IF(INDEX(Report_Scenarios!$A$18:$A$24,MIN(MATCH(MEDIAN($B61-Conversion!$B$15,2020,2050),Report_Scenarios!$A$18:$A$24,1)+1,7))=INDEX(Report_Scenarios!$A$18:$A$24,MATCH(MEDIAN($B61-Conversion!$B$15,2020,2050),Report_Scenarios!$A$18:$A$24,1)),INDEX(Report_Scenarios!$D$18:$D$24,MATCH(MEDIAN($B61-Conversion!$B$15,2020,2050),Report_Scenarios!$A$18:$A$24,1)),INDEX(Report_Scenarios!$D$18:$D$24,MATCH(MEDIAN($B61-Conversion!$B$15,2020,2050),Report_Scenarios!$A$18:$A$24,1))+(INDEX(Report_Scenarios!$D$18:$D$24,MIN(MATCH(MEDIAN($B61-Conversion!$B$15,2020,2050),Report_Scenarios!$A$18:$A$24,1)+1,7))-INDEX(Report_Scenarios!$D$18:$D$24,MATCH(MEDIAN($B61-Conversion!$B$15,2020,2050),Report_Scenarios!$A$18:$A$24,1)))*(MEDIAN($B61-Conversion!$B$15,2020,2050)-INDEX(Report_Scenarios!$A$18:$A$24,MATCH(MEDIAN($B61-Conversion!$B$15,2020,2050),Report_Scenarios!$A$18:$A$24,1)))/(INDEX(Report_Scenarios!$A$18:$A$24,MIN(MATCH(MEDIAN($B61-Conversion!$B$15,2020,2050),Report_Scenarios!$A$18:$A$24,1)+1,7))-INDEX(Report_Scenarios!$A$18:$A$24,MATCH(MEDIAN($B61-Conversion!$B$15,2020,2050),Report_Scenarios!$A$18:$A$24,1)))),IF(INDEX(Report_Scenarios!$A$29:$A$35,MIN(MATCH(MEDIAN($B61-Conversion!$B$15,2020,2050),Report_Scenarios!$A$29:$A$35,1)+1,7))=INDEX(Report_Scenarios!$A$29:$A$35,MATCH(MEDIAN($B61-Conversion!$B$15,2020,2050),Report_Scenarios!$A$29:$A$35,1)),INDEX(Report_Scenarios!$D$29:$D$35,MATCH(MEDIAN($B61-Conversion!$B$15,2020,2050),Report_Scenarios!$A$29:$A$35,1)),INDEX(Report_Scenarios!$D$29:$D$35,MATCH(MEDIAN($B61-Conversion!$B$15,2020,2050),Report_Scenarios!$A$29:$A$35,1))+(INDEX(Report_Scenarios!$D$29:$D$35,MIN(MATCH(MEDIAN($B61-Conversion!$B$15,2020,2050),Report_Scenarios!$A$29:$A$35,1)+1,7))-INDEX(Report_Scenarios!$D$29:$D$35,MATCH(MEDIAN($B61-Conversion!$B$15,2020,2050),Report_Scenarios!$A$29:$A$35,1)))*(MEDIAN($B61-Conversion!$B$15,2020,2050)-INDEX(Report_Scenarios!$A$29:$A$35,MATCH(MEDIAN($B61-Conversion!$B$15,2020,2050),Report_Scenarios!$A$29:$A$35,1)))/(INDEX(Report_Scenarios!$A$29:$A$35,MIN(MATCH(MEDIAN($B61-Conversion!$B$15,2020,2050),Report_Scenarios!$A$29:$A$35,1)+1,7))-INDEX(Report_Scenarios!$A$29:$A$35,MATCH(MEDIAN($B61-Conversion!$B$15,2020,2050),Report_Scenarios!$A$29:$A$35,1))))))</f>
        <v/>
      </c>
      <c r="H61" s="23">
        <f>IF($D61="Conservative",IF(INDEX(Report_Scenarios!$A$7:$A$13,MIN(MATCH(MEDIAN($B61-Conversion!$B$15,2020,2050),Report_Scenarios!$A$7:$A$13,1)+1,7))=INDEX(Report_Scenarios!$A$7:$A$13,MATCH(MEDIAN($B61-Conversion!$B$15,2020,2050),Report_Scenarios!$A$7:$A$13,1)),INDEX(Report_Scenarios!$E$7:$E$13,MATCH(MEDIAN($B61-Conversion!$B$15,2020,2050),Report_Scenarios!$A$7:$A$13,1)),INDEX(Report_Scenarios!$E$7:$E$13,MATCH(MEDIAN($B61-Conversion!$B$15,2020,2050),Report_Scenarios!$A$7:$A$13,1))+(INDEX(Report_Scenarios!$E$7:$E$13,MIN(MATCH(MEDIAN($B61-Conversion!$B$15,2020,2050),Report_Scenarios!$A$7:$A$13,1)+1,7))-INDEX(Report_Scenarios!$E$7:$E$13,MATCH(MEDIAN($B61-Conversion!$B$15,2020,2050),Report_Scenarios!$A$7:$A$13,1)))*(MEDIAN($B61-Conversion!$B$15,2020,2050)-INDEX(Report_Scenarios!$A$7:$A$13,MATCH(MEDIAN($B61-Conversion!$B$15,2020,2050),Report_Scenarios!$A$7:$A$13,1)))/(INDEX(Report_Scenarios!$A$7:$A$13,MIN(MATCH(MEDIAN($B61-Conversion!$B$15,2020,2050),Report_Scenarios!$A$7:$A$13,1)+1,7))-INDEX(Report_Scenarios!$A$7:$A$13,MATCH(MEDIAN($B61-Conversion!$B$15,2020,2050),Report_Scenarios!$A$7:$A$13,1)))),IF($D61="Central",IF(INDEX(Report_Scenarios!$A$18:$A$24,MIN(MATCH(MEDIAN($B61-Conversion!$B$15,2020,2050),Report_Scenarios!$A$18:$A$24,1)+1,7))=INDEX(Report_Scenarios!$A$18:$A$24,MATCH(MEDIAN($B61-Conversion!$B$15,2020,2050),Report_Scenarios!$A$18:$A$24,1)),INDEX(Report_Scenarios!$E$18:$E$24,MATCH(MEDIAN($B61-Conversion!$B$15,2020,2050),Report_Scenarios!$A$18:$A$24,1)),INDEX(Report_Scenarios!$E$18:$E$24,MATCH(MEDIAN($B61-Conversion!$B$15,2020,2050),Report_Scenarios!$A$18:$A$24,1))+(INDEX(Report_Scenarios!$E$18:$E$24,MIN(MATCH(MEDIAN($B61-Conversion!$B$15,2020,2050),Report_Scenarios!$A$18:$A$24,1)+1,7))-INDEX(Report_Scenarios!$E$18:$E$24,MATCH(MEDIAN($B61-Conversion!$B$15,2020,2050),Report_Scenarios!$A$18:$A$24,1)))*(MEDIAN($B61-Conversion!$B$15,2020,2050)-INDEX(Report_Scenarios!$A$18:$A$24,MATCH(MEDIAN($B61-Conversion!$B$15,2020,2050),Report_Scenarios!$A$18:$A$24,1)))/(INDEX(Report_Scenarios!$A$18:$A$24,MIN(MATCH(MEDIAN($B61-Conversion!$B$15,2020,2050),Report_Scenarios!$A$18:$A$24,1)+1,7))-INDEX(Report_Scenarios!$A$18:$A$24,MATCH(MEDIAN($B61-Conversion!$B$15,2020,2050),Report_Scenarios!$A$18:$A$24,1)))),IF(INDEX(Report_Scenarios!$A$29:$A$35,MIN(MATCH(MEDIAN($B61-Conversion!$B$15,2020,2050),Report_Scenarios!$A$29:$A$35,1)+1,7))=INDEX(Report_Scenarios!$A$29:$A$35,MATCH(MEDIAN($B61-Conversion!$B$15,2020,2050),Report_Scenarios!$A$29:$A$35,1)),INDEX(Report_Scenarios!$E$29:$E$35,MATCH(MEDIAN($B61-Conversion!$B$15,2020,2050),Report_Scenarios!$A$29:$A$35,1)),INDEX(Report_Scenarios!$E$29:$E$35,MATCH(MEDIAN($B61-Conversion!$B$15,2020,2050),Report_Scenarios!$A$29:$A$35,1))+(INDEX(Report_Scenarios!$E$29:$E$35,MIN(MATCH(MEDIAN($B61-Conversion!$B$15,2020,2050),Report_Scenarios!$A$29:$A$35,1)+1,7))-INDEX(Report_Scenarios!$E$29:$E$35,MATCH(MEDIAN($B61-Conversion!$B$15,2020,2050),Report_Scenarios!$A$29:$A$35,1)))*(MEDIAN($B61-Conversion!$B$15,2020,2050)-INDEX(Report_Scenarios!$A$29:$A$35,MATCH(MEDIAN($B61-Conversion!$B$15,2020,2050),Report_Scenarios!$A$29:$A$35,1)))/(INDEX(Report_Scenarios!$A$29:$A$35,MIN(MATCH(MEDIAN($B61-Conversion!$B$15,2020,2050),Report_Scenarios!$A$29:$A$35,1)+1,7))-INDEX(Report_Scenarios!$A$29:$A$35,MATCH(MEDIAN($B61-Conversion!$B$15,2020,2050),Report_Scenarios!$A$29:$A$35,1))))))</f>
        <v/>
      </c>
      <c r="I61" s="23">
        <f>IF($D61="Conservative",IF(INDEX(Report_Scenarios!$A$7:$A$13,MIN(MATCH(MEDIAN($B61-Conversion!$B$15,2020,2050),Report_Scenarios!$A$7:$A$13,1)+1,7))=INDEX(Report_Scenarios!$A$7:$A$13,MATCH(MEDIAN($B61-Conversion!$B$15,2020,2050),Report_Scenarios!$A$7:$A$13,1)),INDEX(Report_Scenarios!$F$7:$F$13,MATCH(MEDIAN($B61-Conversion!$B$15,2020,2050),Report_Scenarios!$A$7:$A$13,1)),INDEX(Report_Scenarios!$F$7:$F$13,MATCH(MEDIAN($B61-Conversion!$B$15,2020,2050),Report_Scenarios!$A$7:$A$13,1))+(INDEX(Report_Scenarios!$F$7:$F$13,MIN(MATCH(MEDIAN($B61-Conversion!$B$15,2020,2050),Report_Scenarios!$A$7:$A$13,1)+1,7))-INDEX(Report_Scenarios!$F$7:$F$13,MATCH(MEDIAN($B61-Conversion!$B$15,2020,2050),Report_Scenarios!$A$7:$A$13,1)))*(MEDIAN($B61-Conversion!$B$15,2020,2050)-INDEX(Report_Scenarios!$A$7:$A$13,MATCH(MEDIAN($B61-Conversion!$B$15,2020,2050),Report_Scenarios!$A$7:$A$13,1)))/(INDEX(Report_Scenarios!$A$7:$A$13,MIN(MATCH(MEDIAN($B61-Conversion!$B$15,2020,2050),Report_Scenarios!$A$7:$A$13,1)+1,7))-INDEX(Report_Scenarios!$A$7:$A$13,MATCH(MEDIAN($B61-Conversion!$B$15,2020,2050),Report_Scenarios!$A$7:$A$13,1)))),IF($D61="Central",IF(INDEX(Report_Scenarios!$A$18:$A$24,MIN(MATCH(MEDIAN($B61-Conversion!$B$15,2020,2050),Report_Scenarios!$A$18:$A$24,1)+1,7))=INDEX(Report_Scenarios!$A$18:$A$24,MATCH(MEDIAN($B61-Conversion!$B$15,2020,2050),Report_Scenarios!$A$18:$A$24,1)),INDEX(Report_Scenarios!$F$18:$F$24,MATCH(MEDIAN($B61-Conversion!$B$15,2020,2050),Report_Scenarios!$A$18:$A$24,1)),INDEX(Report_Scenarios!$F$18:$F$24,MATCH(MEDIAN($B61-Conversion!$B$15,2020,2050),Report_Scenarios!$A$18:$A$24,1))+(INDEX(Report_Scenarios!$F$18:$F$24,MIN(MATCH(MEDIAN($B61-Conversion!$B$15,2020,2050),Report_Scenarios!$A$18:$A$24,1)+1,7))-INDEX(Report_Scenarios!$F$18:$F$24,MATCH(MEDIAN($B61-Conversion!$B$15,2020,2050),Report_Scenarios!$A$18:$A$24,1)))*(MEDIAN($B61-Conversion!$B$15,2020,2050)-INDEX(Report_Scenarios!$A$18:$A$24,MATCH(MEDIAN($B61-Conversion!$B$15,2020,2050),Report_Scenarios!$A$18:$A$24,1)))/(INDEX(Report_Scenarios!$A$18:$A$24,MIN(MATCH(MEDIAN($B61-Conversion!$B$15,2020,2050),Report_Scenarios!$A$18:$A$24,1)+1,7))-INDEX(Report_Scenarios!$A$18:$A$24,MATCH(MEDIAN($B61-Conversion!$B$15,2020,2050),Report_Scenarios!$A$18:$A$24,1)))),IF(INDEX(Report_Scenarios!$A$29:$A$35,MIN(MATCH(MEDIAN($B61-Conversion!$B$15,2020,2050),Report_Scenarios!$A$29:$A$35,1)+1,7))=INDEX(Report_Scenarios!$A$29:$A$35,MATCH(MEDIAN($B61-Conversion!$B$15,2020,2050),Report_Scenarios!$A$29:$A$35,1)),INDEX(Report_Scenarios!$F$29:$F$35,MATCH(MEDIAN($B61-Conversion!$B$15,2020,2050),Report_Scenarios!$A$29:$A$35,1)),INDEX(Report_Scenarios!$F$29:$F$35,MATCH(MEDIAN($B61-Conversion!$B$15,2020,2050),Report_Scenarios!$A$29:$A$35,1))+(INDEX(Report_Scenarios!$F$29:$F$35,MIN(MATCH(MEDIAN($B61-Conversion!$B$15,2020,2050),Report_Scenarios!$A$29:$A$35,1)+1,7))-INDEX(Report_Scenarios!$F$29:$F$35,MATCH(MEDIAN($B61-Conversion!$B$15,2020,2050),Report_Scenarios!$A$29:$A$35,1)))*(MEDIAN($B61-Conversion!$B$15,2020,2050)-INDEX(Report_Scenarios!$A$29:$A$35,MATCH(MEDIAN($B61-Conversion!$B$15,2020,2050),Report_Scenarios!$A$29:$A$35,1)))/(INDEX(Report_Scenarios!$A$29:$A$35,MIN(MATCH(MEDIAN($B61-Conversion!$B$15,2020,2050),Report_Scenarios!$A$29:$A$35,1)+1,7))-INDEX(Report_Scenarios!$A$29:$A$35,MATCH(MEDIAN($B61-Conversion!$B$15,2020,2050),Report_Scenarios!$A$29:$A$35,1))))))</f>
        <v/>
      </c>
      <c r="J61" s="23">
        <f>IF($D61="Conservative",IF(INDEX(Report_Scenarios!$A$7:$A$13,MIN(MATCH(MEDIAN($B61-Conversion!$B$15,2020,2050),Report_Scenarios!$A$7:$A$13,1)+1,7))=INDEX(Report_Scenarios!$A$7:$A$13,MATCH(MEDIAN($B61-Conversion!$B$15,2020,2050),Report_Scenarios!$A$7:$A$13,1)),INDEX(Report_Scenarios!$G$7:$G$13,MATCH(MEDIAN($B61-Conversion!$B$15,2020,2050),Report_Scenarios!$A$7:$A$13,1)),INDEX(Report_Scenarios!$G$7:$G$13,MATCH(MEDIAN($B61-Conversion!$B$15,2020,2050),Report_Scenarios!$A$7:$A$13,1))+(INDEX(Report_Scenarios!$G$7:$G$13,MIN(MATCH(MEDIAN($B61-Conversion!$B$15,2020,2050),Report_Scenarios!$A$7:$A$13,1)+1,7))-INDEX(Report_Scenarios!$G$7:$G$13,MATCH(MEDIAN($B61-Conversion!$B$15,2020,2050),Report_Scenarios!$A$7:$A$13,1)))*(MEDIAN($B61-Conversion!$B$15,2020,2050)-INDEX(Report_Scenarios!$A$7:$A$13,MATCH(MEDIAN($B61-Conversion!$B$15,2020,2050),Report_Scenarios!$A$7:$A$13,1)))/(INDEX(Report_Scenarios!$A$7:$A$13,MIN(MATCH(MEDIAN($B61-Conversion!$B$15,2020,2050),Report_Scenarios!$A$7:$A$13,1)+1,7))-INDEX(Report_Scenarios!$A$7:$A$13,MATCH(MEDIAN($B61-Conversion!$B$15,2020,2050),Report_Scenarios!$A$7:$A$13,1)))),IF($D61="Central",IF(INDEX(Report_Scenarios!$A$18:$A$24,MIN(MATCH(MEDIAN($B61-Conversion!$B$15,2020,2050),Report_Scenarios!$A$18:$A$24,1)+1,7))=INDEX(Report_Scenarios!$A$18:$A$24,MATCH(MEDIAN($B61-Conversion!$B$15,2020,2050),Report_Scenarios!$A$18:$A$24,1)),INDEX(Report_Scenarios!$G$18:$G$24,MATCH(MEDIAN($B61-Conversion!$B$15,2020,2050),Report_Scenarios!$A$18:$A$24,1)),INDEX(Report_Scenarios!$G$18:$G$24,MATCH(MEDIAN($B61-Conversion!$B$15,2020,2050),Report_Scenarios!$A$18:$A$24,1))+(INDEX(Report_Scenarios!$G$18:$G$24,MIN(MATCH(MEDIAN($B61-Conversion!$B$15,2020,2050),Report_Scenarios!$A$18:$A$24,1)+1,7))-INDEX(Report_Scenarios!$G$18:$G$24,MATCH(MEDIAN($B61-Conversion!$B$15,2020,2050),Report_Scenarios!$A$18:$A$24,1)))*(MEDIAN($B61-Conversion!$B$15,2020,2050)-INDEX(Report_Scenarios!$A$18:$A$24,MATCH(MEDIAN($B61-Conversion!$B$15,2020,2050),Report_Scenarios!$A$18:$A$24,1)))/(INDEX(Report_Scenarios!$A$18:$A$24,MIN(MATCH(MEDIAN($B61-Conversion!$B$15,2020,2050),Report_Scenarios!$A$18:$A$24,1)+1,7))-INDEX(Report_Scenarios!$A$18:$A$24,MATCH(MEDIAN($B61-Conversion!$B$15,2020,2050),Report_Scenarios!$A$18:$A$24,1)))),IF(INDEX(Report_Scenarios!$A$29:$A$35,MIN(MATCH(MEDIAN($B61-Conversion!$B$15,2020,2050),Report_Scenarios!$A$29:$A$35,1)+1,7))=INDEX(Report_Scenarios!$A$29:$A$35,MATCH(MEDIAN($B61-Conversion!$B$15,2020,2050),Report_Scenarios!$A$29:$A$35,1)),INDEX(Report_Scenarios!$G$29:$G$35,MATCH(MEDIAN($B61-Conversion!$B$15,2020,2050),Report_Scenarios!$A$29:$A$35,1)),INDEX(Report_Scenarios!$G$29:$G$35,MATCH(MEDIAN($B61-Conversion!$B$15,2020,2050),Report_Scenarios!$A$29:$A$35,1))+(INDEX(Report_Scenarios!$G$29:$G$35,MIN(MATCH(MEDIAN($B61-Conversion!$B$15,2020,2050),Report_Scenarios!$A$29:$A$35,1)+1,7))-INDEX(Report_Scenarios!$G$29:$G$35,MATCH(MEDIAN($B61-Conversion!$B$15,2020,2050),Report_Scenarios!$A$29:$A$35,1)))*(MEDIAN($B61-Conversion!$B$15,2020,2050)-INDEX(Report_Scenarios!$A$29:$A$35,MATCH(MEDIAN($B61-Conversion!$B$15,2020,2050),Report_Scenarios!$A$29:$A$35,1)))/(INDEX(Report_Scenarios!$A$29:$A$35,MIN(MATCH(MEDIAN($B61-Conversion!$B$15,2020,2050),Report_Scenarios!$A$29:$A$35,1)+1,7))-INDEX(Report_Scenarios!$A$29:$A$35,MATCH(MEDIAN($B61-Conversion!$B$15,2020,2050),Report_Scenarios!$A$29:$A$35,1))))))</f>
        <v/>
      </c>
      <c r="K61" s="23">
        <f>SUM(E61:J61)</f>
        <v/>
      </c>
      <c r="L61" s="23">
        <f>IF(R61&lt;&gt;"",R61,IF($K61=0,0,E61/$K61))</f>
        <v/>
      </c>
      <c r="M61" s="23">
        <f>IF(S61&lt;&gt;"",S61,IF($K61=0,0,F61/$K61))</f>
        <v/>
      </c>
      <c r="N61" s="23">
        <f>IF(T61&lt;&gt;"",T61,IF($K61=0,0,G61/$K61))</f>
        <v/>
      </c>
      <c r="O61" s="23">
        <f>IF(U61&lt;&gt;"",U61,IF($K61=0,0,H61/$K61))</f>
        <v/>
      </c>
      <c r="P61" s="23">
        <f>IF(V61&lt;&gt;"",V61,IF($K61=0,0,I61/$K61))</f>
        <v/>
      </c>
      <c r="Q61" s="23">
        <f>IF(W61&lt;&gt;"",W61,IF($K61=0,0,J61/$K61))</f>
        <v/>
      </c>
      <c r="R61" s="24" t="n"/>
      <c r="S61" s="24" t="n"/>
      <c r="T61" s="24" t="n"/>
      <c r="U61" s="24" t="n"/>
      <c r="V61" s="24" t="n"/>
      <c r="W61" s="24" t="n"/>
    </row>
    <row r="62">
      <c r="A62" s="4" t="inlineStr">
        <is>
          <t>CD</t>
        </is>
      </c>
      <c r="B62" s="4" t="n">
        <v>2070</v>
      </c>
      <c r="C62" s="4" t="inlineStr">
        <is>
          <t>Share_Min</t>
        </is>
      </c>
      <c r="D62" s="4">
        <f>Conversion!$B$18</f>
        <v/>
      </c>
      <c r="E62" s="23">
        <f>IF($D62="Conservative",IF(INDEX(Report_Scenarios!$A$7:$A$13,MIN(MATCH(MEDIAN($B62-Conversion!$B$15,2020,2050),Report_Scenarios!$A$7:$A$13,1)+1,7))=INDEX(Report_Scenarios!$A$7:$A$13,MATCH(MEDIAN($B62-Conversion!$B$15,2020,2050),Report_Scenarios!$A$7:$A$13,1)),INDEX(Report_Scenarios!$B$7:$B$13,MATCH(MEDIAN($B62-Conversion!$B$15,2020,2050),Report_Scenarios!$A$7:$A$13,1)),INDEX(Report_Scenarios!$B$7:$B$13,MATCH(MEDIAN($B62-Conversion!$B$15,2020,2050),Report_Scenarios!$A$7:$A$13,1))+(INDEX(Report_Scenarios!$B$7:$B$13,MIN(MATCH(MEDIAN($B62-Conversion!$B$15,2020,2050),Report_Scenarios!$A$7:$A$13,1)+1,7))-INDEX(Report_Scenarios!$B$7:$B$13,MATCH(MEDIAN($B62-Conversion!$B$15,2020,2050),Report_Scenarios!$A$7:$A$13,1)))*(MEDIAN($B62-Conversion!$B$15,2020,2050)-INDEX(Report_Scenarios!$A$7:$A$13,MATCH(MEDIAN($B62-Conversion!$B$15,2020,2050),Report_Scenarios!$A$7:$A$13,1)))/(INDEX(Report_Scenarios!$A$7:$A$13,MIN(MATCH(MEDIAN($B62-Conversion!$B$15,2020,2050),Report_Scenarios!$A$7:$A$13,1)+1,7))-INDEX(Report_Scenarios!$A$7:$A$13,MATCH(MEDIAN($B62-Conversion!$B$15,2020,2050),Report_Scenarios!$A$7:$A$13,1)))),IF($D62="Central",IF(INDEX(Report_Scenarios!$A$18:$A$24,MIN(MATCH(MEDIAN($B62-Conversion!$B$15,2020,2050),Report_Scenarios!$A$18:$A$24,1)+1,7))=INDEX(Report_Scenarios!$A$18:$A$24,MATCH(MEDIAN($B62-Conversion!$B$15,2020,2050),Report_Scenarios!$A$18:$A$24,1)),INDEX(Report_Scenarios!$B$18:$B$24,MATCH(MEDIAN($B62-Conversion!$B$15,2020,2050),Report_Scenarios!$A$18:$A$24,1)),INDEX(Report_Scenarios!$B$18:$B$24,MATCH(MEDIAN($B62-Conversion!$B$15,2020,2050),Report_Scenarios!$A$18:$A$24,1))+(INDEX(Report_Scenarios!$B$18:$B$24,MIN(MATCH(MEDIAN($B62-Conversion!$B$15,2020,2050),Report_Scenarios!$A$18:$A$24,1)+1,7))-INDEX(Report_Scenarios!$B$18:$B$24,MATCH(MEDIAN($B62-Conversion!$B$15,2020,2050),Report_Scenarios!$A$18:$A$24,1)))*(MEDIAN($B62-Conversion!$B$15,2020,2050)-INDEX(Report_Scenarios!$A$18:$A$24,MATCH(MEDIAN($B62-Conversion!$B$15,2020,2050),Report_Scenarios!$A$18:$A$24,1)))/(INDEX(Report_Scenarios!$A$18:$A$24,MIN(MATCH(MEDIAN($B62-Conversion!$B$15,2020,2050),Report_Scenarios!$A$18:$A$24,1)+1,7))-INDEX(Report_Scenarios!$A$18:$A$24,MATCH(MEDIAN($B62-Conversion!$B$15,2020,2050),Report_Scenarios!$A$18:$A$24,1)))),IF(INDEX(Report_Scenarios!$A$29:$A$35,MIN(MATCH(MEDIAN($B62-Conversion!$B$15,2020,2050),Report_Scenarios!$A$29:$A$35,1)+1,7))=INDEX(Report_Scenarios!$A$29:$A$35,MATCH(MEDIAN($B62-Conversion!$B$15,2020,2050),Report_Scenarios!$A$29:$A$35,1)),INDEX(Report_Scenarios!$B$29:$B$35,MATCH(MEDIAN($B62-Conversion!$B$15,2020,2050),Report_Scenarios!$A$29:$A$35,1)),INDEX(Report_Scenarios!$B$29:$B$35,MATCH(MEDIAN($B62-Conversion!$B$15,2020,2050),Report_Scenarios!$A$29:$A$35,1))+(INDEX(Report_Scenarios!$B$29:$B$35,MIN(MATCH(MEDIAN($B62-Conversion!$B$15,2020,2050),Report_Scenarios!$A$29:$A$35,1)+1,7))-INDEX(Report_Scenarios!$B$29:$B$35,MATCH(MEDIAN($B62-Conversion!$B$15,2020,2050),Report_Scenarios!$A$29:$A$35,1)))*(MEDIAN($B62-Conversion!$B$15,2020,2050)-INDEX(Report_Scenarios!$A$29:$A$35,MATCH(MEDIAN($B62-Conversion!$B$15,2020,2050),Report_Scenarios!$A$29:$A$35,1)))/(INDEX(Report_Scenarios!$A$29:$A$35,MIN(MATCH(MEDIAN($B62-Conversion!$B$15,2020,2050),Report_Scenarios!$A$29:$A$35,1)+1,7))-INDEX(Report_Scenarios!$A$29:$A$35,MATCH(MEDIAN($B62-Conversion!$B$15,2020,2050),Report_Scenarios!$A$29:$A$35,1))))))</f>
        <v/>
      </c>
      <c r="F62" s="23">
        <f>IF($D62="Conservative",IF(INDEX(Report_Scenarios!$A$7:$A$13,MIN(MATCH(MEDIAN($B62-Conversion!$B$15,2020,2050),Report_Scenarios!$A$7:$A$13,1)+1,7))=INDEX(Report_Scenarios!$A$7:$A$13,MATCH(MEDIAN($B62-Conversion!$B$15,2020,2050),Report_Scenarios!$A$7:$A$13,1)),INDEX(Report_Scenarios!$C$7:$C$13,MATCH(MEDIAN($B62-Conversion!$B$15,2020,2050),Report_Scenarios!$A$7:$A$13,1)),INDEX(Report_Scenarios!$C$7:$C$13,MATCH(MEDIAN($B62-Conversion!$B$15,2020,2050),Report_Scenarios!$A$7:$A$13,1))+(INDEX(Report_Scenarios!$C$7:$C$13,MIN(MATCH(MEDIAN($B62-Conversion!$B$15,2020,2050),Report_Scenarios!$A$7:$A$13,1)+1,7))-INDEX(Report_Scenarios!$C$7:$C$13,MATCH(MEDIAN($B62-Conversion!$B$15,2020,2050),Report_Scenarios!$A$7:$A$13,1)))*(MEDIAN($B62-Conversion!$B$15,2020,2050)-INDEX(Report_Scenarios!$A$7:$A$13,MATCH(MEDIAN($B62-Conversion!$B$15,2020,2050),Report_Scenarios!$A$7:$A$13,1)))/(INDEX(Report_Scenarios!$A$7:$A$13,MIN(MATCH(MEDIAN($B62-Conversion!$B$15,2020,2050),Report_Scenarios!$A$7:$A$13,1)+1,7))-INDEX(Report_Scenarios!$A$7:$A$13,MATCH(MEDIAN($B62-Conversion!$B$15,2020,2050),Report_Scenarios!$A$7:$A$13,1)))),IF($D62="Central",IF(INDEX(Report_Scenarios!$A$18:$A$24,MIN(MATCH(MEDIAN($B62-Conversion!$B$15,2020,2050),Report_Scenarios!$A$18:$A$24,1)+1,7))=INDEX(Report_Scenarios!$A$18:$A$24,MATCH(MEDIAN($B62-Conversion!$B$15,2020,2050),Report_Scenarios!$A$18:$A$24,1)),INDEX(Report_Scenarios!$C$18:$C$24,MATCH(MEDIAN($B62-Conversion!$B$15,2020,2050),Report_Scenarios!$A$18:$A$24,1)),INDEX(Report_Scenarios!$C$18:$C$24,MATCH(MEDIAN($B62-Conversion!$B$15,2020,2050),Report_Scenarios!$A$18:$A$24,1))+(INDEX(Report_Scenarios!$C$18:$C$24,MIN(MATCH(MEDIAN($B62-Conversion!$B$15,2020,2050),Report_Scenarios!$A$18:$A$24,1)+1,7))-INDEX(Report_Scenarios!$C$18:$C$24,MATCH(MEDIAN($B62-Conversion!$B$15,2020,2050),Report_Scenarios!$A$18:$A$24,1)))*(MEDIAN($B62-Conversion!$B$15,2020,2050)-INDEX(Report_Scenarios!$A$18:$A$24,MATCH(MEDIAN($B62-Conversion!$B$15,2020,2050),Report_Scenarios!$A$18:$A$24,1)))/(INDEX(Report_Scenarios!$A$18:$A$24,MIN(MATCH(MEDIAN($B62-Conversion!$B$15,2020,2050),Report_Scenarios!$A$18:$A$24,1)+1,7))-INDEX(Report_Scenarios!$A$18:$A$24,MATCH(MEDIAN($B62-Conversion!$B$15,2020,2050),Report_Scenarios!$A$18:$A$24,1)))),IF(INDEX(Report_Scenarios!$A$29:$A$35,MIN(MATCH(MEDIAN($B62-Conversion!$B$15,2020,2050),Report_Scenarios!$A$29:$A$35,1)+1,7))=INDEX(Report_Scenarios!$A$29:$A$35,MATCH(MEDIAN($B62-Conversion!$B$15,2020,2050),Report_Scenarios!$A$29:$A$35,1)),INDEX(Report_Scenarios!$C$29:$C$35,MATCH(MEDIAN($B62-Conversion!$B$15,2020,2050),Report_Scenarios!$A$29:$A$35,1)),INDEX(Report_Scenarios!$C$29:$C$35,MATCH(MEDIAN($B62-Conversion!$B$15,2020,2050),Report_Scenarios!$A$29:$A$35,1))+(INDEX(Report_Scenarios!$C$29:$C$35,MIN(MATCH(MEDIAN($B62-Conversion!$B$15,2020,2050),Report_Scenarios!$A$29:$A$35,1)+1,7))-INDEX(Report_Scenarios!$C$29:$C$35,MATCH(MEDIAN($B62-Conversion!$B$15,2020,2050),Report_Scenarios!$A$29:$A$35,1)))*(MEDIAN($B62-Conversion!$B$15,2020,2050)-INDEX(Report_Scenarios!$A$29:$A$35,MATCH(MEDIAN($B62-Conversion!$B$15,2020,2050),Report_Scenarios!$A$29:$A$35,1)))/(INDEX(Report_Scenarios!$A$29:$A$35,MIN(MATCH(MEDIAN($B62-Conversion!$B$15,2020,2050),Report_Scenarios!$A$29:$A$35,1)+1,7))-INDEX(Report_Scenarios!$A$29:$A$35,MATCH(MEDIAN($B62-Conversion!$B$15,2020,2050),Report_Scenarios!$A$29:$A$35,1))))))</f>
        <v/>
      </c>
      <c r="G62" s="23">
        <f>IF($D62="Conservative",IF(INDEX(Report_Scenarios!$A$7:$A$13,MIN(MATCH(MEDIAN($B62-Conversion!$B$15,2020,2050),Report_Scenarios!$A$7:$A$13,1)+1,7))=INDEX(Report_Scenarios!$A$7:$A$13,MATCH(MEDIAN($B62-Conversion!$B$15,2020,2050),Report_Scenarios!$A$7:$A$13,1)),INDEX(Report_Scenarios!$D$7:$D$13,MATCH(MEDIAN($B62-Conversion!$B$15,2020,2050),Report_Scenarios!$A$7:$A$13,1)),INDEX(Report_Scenarios!$D$7:$D$13,MATCH(MEDIAN($B62-Conversion!$B$15,2020,2050),Report_Scenarios!$A$7:$A$13,1))+(INDEX(Report_Scenarios!$D$7:$D$13,MIN(MATCH(MEDIAN($B62-Conversion!$B$15,2020,2050),Report_Scenarios!$A$7:$A$13,1)+1,7))-INDEX(Report_Scenarios!$D$7:$D$13,MATCH(MEDIAN($B62-Conversion!$B$15,2020,2050),Report_Scenarios!$A$7:$A$13,1)))*(MEDIAN($B62-Conversion!$B$15,2020,2050)-INDEX(Report_Scenarios!$A$7:$A$13,MATCH(MEDIAN($B62-Conversion!$B$15,2020,2050),Report_Scenarios!$A$7:$A$13,1)))/(INDEX(Report_Scenarios!$A$7:$A$13,MIN(MATCH(MEDIAN($B62-Conversion!$B$15,2020,2050),Report_Scenarios!$A$7:$A$13,1)+1,7))-INDEX(Report_Scenarios!$A$7:$A$13,MATCH(MEDIAN($B62-Conversion!$B$15,2020,2050),Report_Scenarios!$A$7:$A$13,1)))),IF($D62="Central",IF(INDEX(Report_Scenarios!$A$18:$A$24,MIN(MATCH(MEDIAN($B62-Conversion!$B$15,2020,2050),Report_Scenarios!$A$18:$A$24,1)+1,7))=INDEX(Report_Scenarios!$A$18:$A$24,MATCH(MEDIAN($B62-Conversion!$B$15,2020,2050),Report_Scenarios!$A$18:$A$24,1)),INDEX(Report_Scenarios!$D$18:$D$24,MATCH(MEDIAN($B62-Conversion!$B$15,2020,2050),Report_Scenarios!$A$18:$A$24,1)),INDEX(Report_Scenarios!$D$18:$D$24,MATCH(MEDIAN($B62-Conversion!$B$15,2020,2050),Report_Scenarios!$A$18:$A$24,1))+(INDEX(Report_Scenarios!$D$18:$D$24,MIN(MATCH(MEDIAN($B62-Conversion!$B$15,2020,2050),Report_Scenarios!$A$18:$A$24,1)+1,7))-INDEX(Report_Scenarios!$D$18:$D$24,MATCH(MEDIAN($B62-Conversion!$B$15,2020,2050),Report_Scenarios!$A$18:$A$24,1)))*(MEDIAN($B62-Conversion!$B$15,2020,2050)-INDEX(Report_Scenarios!$A$18:$A$24,MATCH(MEDIAN($B62-Conversion!$B$15,2020,2050),Report_Scenarios!$A$18:$A$24,1)))/(INDEX(Report_Scenarios!$A$18:$A$24,MIN(MATCH(MEDIAN($B62-Conversion!$B$15,2020,2050),Report_Scenarios!$A$18:$A$24,1)+1,7))-INDEX(Report_Scenarios!$A$18:$A$24,MATCH(MEDIAN($B62-Conversion!$B$15,2020,2050),Report_Scenarios!$A$18:$A$24,1)))),IF(INDEX(Report_Scenarios!$A$29:$A$35,MIN(MATCH(MEDIAN($B62-Conversion!$B$15,2020,2050),Report_Scenarios!$A$29:$A$35,1)+1,7))=INDEX(Report_Scenarios!$A$29:$A$35,MATCH(MEDIAN($B62-Conversion!$B$15,2020,2050),Report_Scenarios!$A$29:$A$35,1)),INDEX(Report_Scenarios!$D$29:$D$35,MATCH(MEDIAN($B62-Conversion!$B$15,2020,2050),Report_Scenarios!$A$29:$A$35,1)),INDEX(Report_Scenarios!$D$29:$D$35,MATCH(MEDIAN($B62-Conversion!$B$15,2020,2050),Report_Scenarios!$A$29:$A$35,1))+(INDEX(Report_Scenarios!$D$29:$D$35,MIN(MATCH(MEDIAN($B62-Conversion!$B$15,2020,2050),Report_Scenarios!$A$29:$A$35,1)+1,7))-INDEX(Report_Scenarios!$D$29:$D$35,MATCH(MEDIAN($B62-Conversion!$B$15,2020,2050),Report_Scenarios!$A$29:$A$35,1)))*(MEDIAN($B62-Conversion!$B$15,2020,2050)-INDEX(Report_Scenarios!$A$29:$A$35,MATCH(MEDIAN($B62-Conversion!$B$15,2020,2050),Report_Scenarios!$A$29:$A$35,1)))/(INDEX(Report_Scenarios!$A$29:$A$35,MIN(MATCH(MEDIAN($B62-Conversion!$B$15,2020,2050),Report_Scenarios!$A$29:$A$35,1)+1,7))-INDEX(Report_Scenarios!$A$29:$A$35,MATCH(MEDIAN($B62-Conversion!$B$15,2020,2050),Report_Scenarios!$A$29:$A$35,1))))))</f>
        <v/>
      </c>
      <c r="H62" s="23">
        <f>IF($D62="Conservative",IF(INDEX(Report_Scenarios!$A$7:$A$13,MIN(MATCH(MEDIAN($B62-Conversion!$B$15,2020,2050),Report_Scenarios!$A$7:$A$13,1)+1,7))=INDEX(Report_Scenarios!$A$7:$A$13,MATCH(MEDIAN($B62-Conversion!$B$15,2020,2050),Report_Scenarios!$A$7:$A$13,1)),INDEX(Report_Scenarios!$E$7:$E$13,MATCH(MEDIAN($B62-Conversion!$B$15,2020,2050),Report_Scenarios!$A$7:$A$13,1)),INDEX(Report_Scenarios!$E$7:$E$13,MATCH(MEDIAN($B62-Conversion!$B$15,2020,2050),Report_Scenarios!$A$7:$A$13,1))+(INDEX(Report_Scenarios!$E$7:$E$13,MIN(MATCH(MEDIAN($B62-Conversion!$B$15,2020,2050),Report_Scenarios!$A$7:$A$13,1)+1,7))-INDEX(Report_Scenarios!$E$7:$E$13,MATCH(MEDIAN($B62-Conversion!$B$15,2020,2050),Report_Scenarios!$A$7:$A$13,1)))*(MEDIAN($B62-Conversion!$B$15,2020,2050)-INDEX(Report_Scenarios!$A$7:$A$13,MATCH(MEDIAN($B62-Conversion!$B$15,2020,2050),Report_Scenarios!$A$7:$A$13,1)))/(INDEX(Report_Scenarios!$A$7:$A$13,MIN(MATCH(MEDIAN($B62-Conversion!$B$15,2020,2050),Report_Scenarios!$A$7:$A$13,1)+1,7))-INDEX(Report_Scenarios!$A$7:$A$13,MATCH(MEDIAN($B62-Conversion!$B$15,2020,2050),Report_Scenarios!$A$7:$A$13,1)))),IF($D62="Central",IF(INDEX(Report_Scenarios!$A$18:$A$24,MIN(MATCH(MEDIAN($B62-Conversion!$B$15,2020,2050),Report_Scenarios!$A$18:$A$24,1)+1,7))=INDEX(Report_Scenarios!$A$18:$A$24,MATCH(MEDIAN($B62-Conversion!$B$15,2020,2050),Report_Scenarios!$A$18:$A$24,1)),INDEX(Report_Scenarios!$E$18:$E$24,MATCH(MEDIAN($B62-Conversion!$B$15,2020,2050),Report_Scenarios!$A$18:$A$24,1)),INDEX(Report_Scenarios!$E$18:$E$24,MATCH(MEDIAN($B62-Conversion!$B$15,2020,2050),Report_Scenarios!$A$18:$A$24,1))+(INDEX(Report_Scenarios!$E$18:$E$24,MIN(MATCH(MEDIAN($B62-Conversion!$B$15,2020,2050),Report_Scenarios!$A$18:$A$24,1)+1,7))-INDEX(Report_Scenarios!$E$18:$E$24,MATCH(MEDIAN($B62-Conversion!$B$15,2020,2050),Report_Scenarios!$A$18:$A$24,1)))*(MEDIAN($B62-Conversion!$B$15,2020,2050)-INDEX(Report_Scenarios!$A$18:$A$24,MATCH(MEDIAN($B62-Conversion!$B$15,2020,2050),Report_Scenarios!$A$18:$A$24,1)))/(INDEX(Report_Scenarios!$A$18:$A$24,MIN(MATCH(MEDIAN($B62-Conversion!$B$15,2020,2050),Report_Scenarios!$A$18:$A$24,1)+1,7))-INDEX(Report_Scenarios!$A$18:$A$24,MATCH(MEDIAN($B62-Conversion!$B$15,2020,2050),Report_Scenarios!$A$18:$A$24,1)))),IF(INDEX(Report_Scenarios!$A$29:$A$35,MIN(MATCH(MEDIAN($B62-Conversion!$B$15,2020,2050),Report_Scenarios!$A$29:$A$35,1)+1,7))=INDEX(Report_Scenarios!$A$29:$A$35,MATCH(MEDIAN($B62-Conversion!$B$15,2020,2050),Report_Scenarios!$A$29:$A$35,1)),INDEX(Report_Scenarios!$E$29:$E$35,MATCH(MEDIAN($B62-Conversion!$B$15,2020,2050),Report_Scenarios!$A$29:$A$35,1)),INDEX(Report_Scenarios!$E$29:$E$35,MATCH(MEDIAN($B62-Conversion!$B$15,2020,2050),Report_Scenarios!$A$29:$A$35,1))+(INDEX(Report_Scenarios!$E$29:$E$35,MIN(MATCH(MEDIAN($B62-Conversion!$B$15,2020,2050),Report_Scenarios!$A$29:$A$35,1)+1,7))-INDEX(Report_Scenarios!$E$29:$E$35,MATCH(MEDIAN($B62-Conversion!$B$15,2020,2050),Report_Scenarios!$A$29:$A$35,1)))*(MEDIAN($B62-Conversion!$B$15,2020,2050)-INDEX(Report_Scenarios!$A$29:$A$35,MATCH(MEDIAN($B62-Conversion!$B$15,2020,2050),Report_Scenarios!$A$29:$A$35,1)))/(INDEX(Report_Scenarios!$A$29:$A$35,MIN(MATCH(MEDIAN($B62-Conversion!$B$15,2020,2050),Report_Scenarios!$A$29:$A$35,1)+1,7))-INDEX(Report_Scenarios!$A$29:$A$35,MATCH(MEDIAN($B62-Conversion!$B$15,2020,2050),Report_Scenarios!$A$29:$A$35,1))))))</f>
        <v/>
      </c>
      <c r="I62" s="23">
        <f>IF($D62="Conservative",IF(INDEX(Report_Scenarios!$A$7:$A$13,MIN(MATCH(MEDIAN($B62-Conversion!$B$15,2020,2050),Report_Scenarios!$A$7:$A$13,1)+1,7))=INDEX(Report_Scenarios!$A$7:$A$13,MATCH(MEDIAN($B62-Conversion!$B$15,2020,2050),Report_Scenarios!$A$7:$A$13,1)),INDEX(Report_Scenarios!$F$7:$F$13,MATCH(MEDIAN($B62-Conversion!$B$15,2020,2050),Report_Scenarios!$A$7:$A$13,1)),INDEX(Report_Scenarios!$F$7:$F$13,MATCH(MEDIAN($B62-Conversion!$B$15,2020,2050),Report_Scenarios!$A$7:$A$13,1))+(INDEX(Report_Scenarios!$F$7:$F$13,MIN(MATCH(MEDIAN($B62-Conversion!$B$15,2020,2050),Report_Scenarios!$A$7:$A$13,1)+1,7))-INDEX(Report_Scenarios!$F$7:$F$13,MATCH(MEDIAN($B62-Conversion!$B$15,2020,2050),Report_Scenarios!$A$7:$A$13,1)))*(MEDIAN($B62-Conversion!$B$15,2020,2050)-INDEX(Report_Scenarios!$A$7:$A$13,MATCH(MEDIAN($B62-Conversion!$B$15,2020,2050),Report_Scenarios!$A$7:$A$13,1)))/(INDEX(Report_Scenarios!$A$7:$A$13,MIN(MATCH(MEDIAN($B62-Conversion!$B$15,2020,2050),Report_Scenarios!$A$7:$A$13,1)+1,7))-INDEX(Report_Scenarios!$A$7:$A$13,MATCH(MEDIAN($B62-Conversion!$B$15,2020,2050),Report_Scenarios!$A$7:$A$13,1)))),IF($D62="Central",IF(INDEX(Report_Scenarios!$A$18:$A$24,MIN(MATCH(MEDIAN($B62-Conversion!$B$15,2020,2050),Report_Scenarios!$A$18:$A$24,1)+1,7))=INDEX(Report_Scenarios!$A$18:$A$24,MATCH(MEDIAN($B62-Conversion!$B$15,2020,2050),Report_Scenarios!$A$18:$A$24,1)),INDEX(Report_Scenarios!$F$18:$F$24,MATCH(MEDIAN($B62-Conversion!$B$15,2020,2050),Report_Scenarios!$A$18:$A$24,1)),INDEX(Report_Scenarios!$F$18:$F$24,MATCH(MEDIAN($B62-Conversion!$B$15,2020,2050),Report_Scenarios!$A$18:$A$24,1))+(INDEX(Report_Scenarios!$F$18:$F$24,MIN(MATCH(MEDIAN($B62-Conversion!$B$15,2020,2050),Report_Scenarios!$A$18:$A$24,1)+1,7))-INDEX(Report_Scenarios!$F$18:$F$24,MATCH(MEDIAN($B62-Conversion!$B$15,2020,2050),Report_Scenarios!$A$18:$A$24,1)))*(MEDIAN($B62-Conversion!$B$15,2020,2050)-INDEX(Report_Scenarios!$A$18:$A$24,MATCH(MEDIAN($B62-Conversion!$B$15,2020,2050),Report_Scenarios!$A$18:$A$24,1)))/(INDEX(Report_Scenarios!$A$18:$A$24,MIN(MATCH(MEDIAN($B62-Conversion!$B$15,2020,2050),Report_Scenarios!$A$18:$A$24,1)+1,7))-INDEX(Report_Scenarios!$A$18:$A$24,MATCH(MEDIAN($B62-Conversion!$B$15,2020,2050),Report_Scenarios!$A$18:$A$24,1)))),IF(INDEX(Report_Scenarios!$A$29:$A$35,MIN(MATCH(MEDIAN($B62-Conversion!$B$15,2020,2050),Report_Scenarios!$A$29:$A$35,1)+1,7))=INDEX(Report_Scenarios!$A$29:$A$35,MATCH(MEDIAN($B62-Conversion!$B$15,2020,2050),Report_Scenarios!$A$29:$A$35,1)),INDEX(Report_Scenarios!$F$29:$F$35,MATCH(MEDIAN($B62-Conversion!$B$15,2020,2050),Report_Scenarios!$A$29:$A$35,1)),INDEX(Report_Scenarios!$F$29:$F$35,MATCH(MEDIAN($B62-Conversion!$B$15,2020,2050),Report_Scenarios!$A$29:$A$35,1))+(INDEX(Report_Scenarios!$F$29:$F$35,MIN(MATCH(MEDIAN($B62-Conversion!$B$15,2020,2050),Report_Scenarios!$A$29:$A$35,1)+1,7))-INDEX(Report_Scenarios!$F$29:$F$35,MATCH(MEDIAN($B62-Conversion!$B$15,2020,2050),Report_Scenarios!$A$29:$A$35,1)))*(MEDIAN($B62-Conversion!$B$15,2020,2050)-INDEX(Report_Scenarios!$A$29:$A$35,MATCH(MEDIAN($B62-Conversion!$B$15,2020,2050),Report_Scenarios!$A$29:$A$35,1)))/(INDEX(Report_Scenarios!$A$29:$A$35,MIN(MATCH(MEDIAN($B62-Conversion!$B$15,2020,2050),Report_Scenarios!$A$29:$A$35,1)+1,7))-INDEX(Report_Scenarios!$A$29:$A$35,MATCH(MEDIAN($B62-Conversion!$B$15,2020,2050),Report_Scenarios!$A$29:$A$35,1))))))</f>
        <v/>
      </c>
      <c r="J62" s="23">
        <f>IF($D62="Conservative",IF(INDEX(Report_Scenarios!$A$7:$A$13,MIN(MATCH(MEDIAN($B62-Conversion!$B$15,2020,2050),Report_Scenarios!$A$7:$A$13,1)+1,7))=INDEX(Report_Scenarios!$A$7:$A$13,MATCH(MEDIAN($B62-Conversion!$B$15,2020,2050),Report_Scenarios!$A$7:$A$13,1)),INDEX(Report_Scenarios!$G$7:$G$13,MATCH(MEDIAN($B62-Conversion!$B$15,2020,2050),Report_Scenarios!$A$7:$A$13,1)),INDEX(Report_Scenarios!$G$7:$G$13,MATCH(MEDIAN($B62-Conversion!$B$15,2020,2050),Report_Scenarios!$A$7:$A$13,1))+(INDEX(Report_Scenarios!$G$7:$G$13,MIN(MATCH(MEDIAN($B62-Conversion!$B$15,2020,2050),Report_Scenarios!$A$7:$A$13,1)+1,7))-INDEX(Report_Scenarios!$G$7:$G$13,MATCH(MEDIAN($B62-Conversion!$B$15,2020,2050),Report_Scenarios!$A$7:$A$13,1)))*(MEDIAN($B62-Conversion!$B$15,2020,2050)-INDEX(Report_Scenarios!$A$7:$A$13,MATCH(MEDIAN($B62-Conversion!$B$15,2020,2050),Report_Scenarios!$A$7:$A$13,1)))/(INDEX(Report_Scenarios!$A$7:$A$13,MIN(MATCH(MEDIAN($B62-Conversion!$B$15,2020,2050),Report_Scenarios!$A$7:$A$13,1)+1,7))-INDEX(Report_Scenarios!$A$7:$A$13,MATCH(MEDIAN($B62-Conversion!$B$15,2020,2050),Report_Scenarios!$A$7:$A$13,1)))),IF($D62="Central",IF(INDEX(Report_Scenarios!$A$18:$A$24,MIN(MATCH(MEDIAN($B62-Conversion!$B$15,2020,2050),Report_Scenarios!$A$18:$A$24,1)+1,7))=INDEX(Report_Scenarios!$A$18:$A$24,MATCH(MEDIAN($B62-Conversion!$B$15,2020,2050),Report_Scenarios!$A$18:$A$24,1)),INDEX(Report_Scenarios!$G$18:$G$24,MATCH(MEDIAN($B62-Conversion!$B$15,2020,2050),Report_Scenarios!$A$18:$A$24,1)),INDEX(Report_Scenarios!$G$18:$G$24,MATCH(MEDIAN($B62-Conversion!$B$15,2020,2050),Report_Scenarios!$A$18:$A$24,1))+(INDEX(Report_Scenarios!$G$18:$G$24,MIN(MATCH(MEDIAN($B62-Conversion!$B$15,2020,2050),Report_Scenarios!$A$18:$A$24,1)+1,7))-INDEX(Report_Scenarios!$G$18:$G$24,MATCH(MEDIAN($B62-Conversion!$B$15,2020,2050),Report_Scenarios!$A$18:$A$24,1)))*(MEDIAN($B62-Conversion!$B$15,2020,2050)-INDEX(Report_Scenarios!$A$18:$A$24,MATCH(MEDIAN($B62-Conversion!$B$15,2020,2050),Report_Scenarios!$A$18:$A$24,1)))/(INDEX(Report_Scenarios!$A$18:$A$24,MIN(MATCH(MEDIAN($B62-Conversion!$B$15,2020,2050),Report_Scenarios!$A$18:$A$24,1)+1,7))-INDEX(Report_Scenarios!$A$18:$A$24,MATCH(MEDIAN($B62-Conversion!$B$15,2020,2050),Report_Scenarios!$A$18:$A$24,1)))),IF(INDEX(Report_Scenarios!$A$29:$A$35,MIN(MATCH(MEDIAN($B62-Conversion!$B$15,2020,2050),Report_Scenarios!$A$29:$A$35,1)+1,7))=INDEX(Report_Scenarios!$A$29:$A$35,MATCH(MEDIAN($B62-Conversion!$B$15,2020,2050),Report_Scenarios!$A$29:$A$35,1)),INDEX(Report_Scenarios!$G$29:$G$35,MATCH(MEDIAN($B62-Conversion!$B$15,2020,2050),Report_Scenarios!$A$29:$A$35,1)),INDEX(Report_Scenarios!$G$29:$G$35,MATCH(MEDIAN($B62-Conversion!$B$15,2020,2050),Report_Scenarios!$A$29:$A$35,1))+(INDEX(Report_Scenarios!$G$29:$G$35,MIN(MATCH(MEDIAN($B62-Conversion!$B$15,2020,2050),Report_Scenarios!$A$29:$A$35,1)+1,7))-INDEX(Report_Scenarios!$G$29:$G$35,MATCH(MEDIAN($B62-Conversion!$B$15,2020,2050),Report_Scenarios!$A$29:$A$35,1)))*(MEDIAN($B62-Conversion!$B$15,2020,2050)-INDEX(Report_Scenarios!$A$29:$A$35,MATCH(MEDIAN($B62-Conversion!$B$15,2020,2050),Report_Scenarios!$A$29:$A$35,1)))/(INDEX(Report_Scenarios!$A$29:$A$35,MIN(MATCH(MEDIAN($B62-Conversion!$B$15,2020,2050),Report_Scenarios!$A$29:$A$35,1)+1,7))-INDEX(Report_Scenarios!$A$29:$A$35,MATCH(MEDIAN($B62-Conversion!$B$15,2020,2050),Report_Scenarios!$A$29:$A$35,1))))))</f>
        <v/>
      </c>
      <c r="K62" s="23">
        <f>SUM(E62:J62)</f>
        <v/>
      </c>
      <c r="L62" s="23">
        <f>IF(R62&lt;&gt;"",R62,IF($K62=0,0,E62/$K62))</f>
        <v/>
      </c>
      <c r="M62" s="23">
        <f>IF(S62&lt;&gt;"",S62,IF($K62=0,0,F62/$K62))</f>
        <v/>
      </c>
      <c r="N62" s="23">
        <f>IF(T62&lt;&gt;"",T62,IF($K62=0,0,G62/$K62))</f>
        <v/>
      </c>
      <c r="O62" s="23">
        <f>IF(U62&lt;&gt;"",U62,IF($K62=0,0,H62/$K62))</f>
        <v/>
      </c>
      <c r="P62" s="23">
        <f>IF(V62&lt;&gt;"",V62,IF($K62=0,0,I62/$K62))</f>
        <v/>
      </c>
      <c r="Q62" s="23">
        <f>IF(W62&lt;&gt;"",W62,IF($K62=0,0,J62/$K62))</f>
        <v/>
      </c>
      <c r="R62" s="24" t="n"/>
      <c r="S62" s="24" t="n"/>
      <c r="T62" s="24" t="n"/>
      <c r="U62" s="24" t="n"/>
      <c r="V62" s="24" t="n"/>
      <c r="W62" s="24" t="n"/>
    </row>
    <row r="63">
      <c r="A63" s="4" t="inlineStr">
        <is>
          <t>CD</t>
        </is>
      </c>
      <c r="B63" s="4" t="n">
        <v>2070</v>
      </c>
      <c r="C63" s="4" t="inlineStr">
        <is>
          <t>Share_Mode</t>
        </is>
      </c>
      <c r="D63" s="4">
        <f>Conversion!$B$19</f>
        <v/>
      </c>
      <c r="E63" s="23">
        <f>IF($D63="Conservative",IF(INDEX(Report_Scenarios!$A$7:$A$13,MIN(MATCH(MEDIAN($B63-Conversion!$B$15,2020,2050),Report_Scenarios!$A$7:$A$13,1)+1,7))=INDEX(Report_Scenarios!$A$7:$A$13,MATCH(MEDIAN($B63-Conversion!$B$15,2020,2050),Report_Scenarios!$A$7:$A$13,1)),INDEX(Report_Scenarios!$B$7:$B$13,MATCH(MEDIAN($B63-Conversion!$B$15,2020,2050),Report_Scenarios!$A$7:$A$13,1)),INDEX(Report_Scenarios!$B$7:$B$13,MATCH(MEDIAN($B63-Conversion!$B$15,2020,2050),Report_Scenarios!$A$7:$A$13,1))+(INDEX(Report_Scenarios!$B$7:$B$13,MIN(MATCH(MEDIAN($B63-Conversion!$B$15,2020,2050),Report_Scenarios!$A$7:$A$13,1)+1,7))-INDEX(Report_Scenarios!$B$7:$B$13,MATCH(MEDIAN($B63-Conversion!$B$15,2020,2050),Report_Scenarios!$A$7:$A$13,1)))*(MEDIAN($B63-Conversion!$B$15,2020,2050)-INDEX(Report_Scenarios!$A$7:$A$13,MATCH(MEDIAN($B63-Conversion!$B$15,2020,2050),Report_Scenarios!$A$7:$A$13,1)))/(INDEX(Report_Scenarios!$A$7:$A$13,MIN(MATCH(MEDIAN($B63-Conversion!$B$15,2020,2050),Report_Scenarios!$A$7:$A$13,1)+1,7))-INDEX(Report_Scenarios!$A$7:$A$13,MATCH(MEDIAN($B63-Conversion!$B$15,2020,2050),Report_Scenarios!$A$7:$A$13,1)))),IF($D63="Central",IF(INDEX(Report_Scenarios!$A$18:$A$24,MIN(MATCH(MEDIAN($B63-Conversion!$B$15,2020,2050),Report_Scenarios!$A$18:$A$24,1)+1,7))=INDEX(Report_Scenarios!$A$18:$A$24,MATCH(MEDIAN($B63-Conversion!$B$15,2020,2050),Report_Scenarios!$A$18:$A$24,1)),INDEX(Report_Scenarios!$B$18:$B$24,MATCH(MEDIAN($B63-Conversion!$B$15,2020,2050),Report_Scenarios!$A$18:$A$24,1)),INDEX(Report_Scenarios!$B$18:$B$24,MATCH(MEDIAN($B63-Conversion!$B$15,2020,2050),Report_Scenarios!$A$18:$A$24,1))+(INDEX(Report_Scenarios!$B$18:$B$24,MIN(MATCH(MEDIAN($B63-Conversion!$B$15,2020,2050),Report_Scenarios!$A$18:$A$24,1)+1,7))-INDEX(Report_Scenarios!$B$18:$B$24,MATCH(MEDIAN($B63-Conversion!$B$15,2020,2050),Report_Scenarios!$A$18:$A$24,1)))*(MEDIAN($B63-Conversion!$B$15,2020,2050)-INDEX(Report_Scenarios!$A$18:$A$24,MATCH(MEDIAN($B63-Conversion!$B$15,2020,2050),Report_Scenarios!$A$18:$A$24,1)))/(INDEX(Report_Scenarios!$A$18:$A$24,MIN(MATCH(MEDIAN($B63-Conversion!$B$15,2020,2050),Report_Scenarios!$A$18:$A$24,1)+1,7))-INDEX(Report_Scenarios!$A$18:$A$24,MATCH(MEDIAN($B63-Conversion!$B$15,2020,2050),Report_Scenarios!$A$18:$A$24,1)))),IF(INDEX(Report_Scenarios!$A$29:$A$35,MIN(MATCH(MEDIAN($B63-Conversion!$B$15,2020,2050),Report_Scenarios!$A$29:$A$35,1)+1,7))=INDEX(Report_Scenarios!$A$29:$A$35,MATCH(MEDIAN($B63-Conversion!$B$15,2020,2050),Report_Scenarios!$A$29:$A$35,1)),INDEX(Report_Scenarios!$B$29:$B$35,MATCH(MEDIAN($B63-Conversion!$B$15,2020,2050),Report_Scenarios!$A$29:$A$35,1)),INDEX(Report_Scenarios!$B$29:$B$35,MATCH(MEDIAN($B63-Conversion!$B$15,2020,2050),Report_Scenarios!$A$29:$A$35,1))+(INDEX(Report_Scenarios!$B$29:$B$35,MIN(MATCH(MEDIAN($B63-Conversion!$B$15,2020,2050),Report_Scenarios!$A$29:$A$35,1)+1,7))-INDEX(Report_Scenarios!$B$29:$B$35,MATCH(MEDIAN($B63-Conversion!$B$15,2020,2050),Report_Scenarios!$A$29:$A$35,1)))*(MEDIAN($B63-Conversion!$B$15,2020,2050)-INDEX(Report_Scenarios!$A$29:$A$35,MATCH(MEDIAN($B63-Conversion!$B$15,2020,2050),Report_Scenarios!$A$29:$A$35,1)))/(INDEX(Report_Scenarios!$A$29:$A$35,MIN(MATCH(MEDIAN($B63-Conversion!$B$15,2020,2050),Report_Scenarios!$A$29:$A$35,1)+1,7))-INDEX(Report_Scenarios!$A$29:$A$35,MATCH(MEDIAN($B63-Conversion!$B$15,2020,2050),Report_Scenarios!$A$29:$A$35,1))))))</f>
        <v/>
      </c>
      <c r="F63" s="23">
        <f>IF($D63="Conservative",IF(INDEX(Report_Scenarios!$A$7:$A$13,MIN(MATCH(MEDIAN($B63-Conversion!$B$15,2020,2050),Report_Scenarios!$A$7:$A$13,1)+1,7))=INDEX(Report_Scenarios!$A$7:$A$13,MATCH(MEDIAN($B63-Conversion!$B$15,2020,2050),Report_Scenarios!$A$7:$A$13,1)),INDEX(Report_Scenarios!$C$7:$C$13,MATCH(MEDIAN($B63-Conversion!$B$15,2020,2050),Report_Scenarios!$A$7:$A$13,1)),INDEX(Report_Scenarios!$C$7:$C$13,MATCH(MEDIAN($B63-Conversion!$B$15,2020,2050),Report_Scenarios!$A$7:$A$13,1))+(INDEX(Report_Scenarios!$C$7:$C$13,MIN(MATCH(MEDIAN($B63-Conversion!$B$15,2020,2050),Report_Scenarios!$A$7:$A$13,1)+1,7))-INDEX(Report_Scenarios!$C$7:$C$13,MATCH(MEDIAN($B63-Conversion!$B$15,2020,2050),Report_Scenarios!$A$7:$A$13,1)))*(MEDIAN($B63-Conversion!$B$15,2020,2050)-INDEX(Report_Scenarios!$A$7:$A$13,MATCH(MEDIAN($B63-Conversion!$B$15,2020,2050),Report_Scenarios!$A$7:$A$13,1)))/(INDEX(Report_Scenarios!$A$7:$A$13,MIN(MATCH(MEDIAN($B63-Conversion!$B$15,2020,2050),Report_Scenarios!$A$7:$A$13,1)+1,7))-INDEX(Report_Scenarios!$A$7:$A$13,MATCH(MEDIAN($B63-Conversion!$B$15,2020,2050),Report_Scenarios!$A$7:$A$13,1)))),IF($D63="Central",IF(INDEX(Report_Scenarios!$A$18:$A$24,MIN(MATCH(MEDIAN($B63-Conversion!$B$15,2020,2050),Report_Scenarios!$A$18:$A$24,1)+1,7))=INDEX(Report_Scenarios!$A$18:$A$24,MATCH(MEDIAN($B63-Conversion!$B$15,2020,2050),Report_Scenarios!$A$18:$A$24,1)),INDEX(Report_Scenarios!$C$18:$C$24,MATCH(MEDIAN($B63-Conversion!$B$15,2020,2050),Report_Scenarios!$A$18:$A$24,1)),INDEX(Report_Scenarios!$C$18:$C$24,MATCH(MEDIAN($B63-Conversion!$B$15,2020,2050),Report_Scenarios!$A$18:$A$24,1))+(INDEX(Report_Scenarios!$C$18:$C$24,MIN(MATCH(MEDIAN($B63-Conversion!$B$15,2020,2050),Report_Scenarios!$A$18:$A$24,1)+1,7))-INDEX(Report_Scenarios!$C$18:$C$24,MATCH(MEDIAN($B63-Conversion!$B$15,2020,2050),Report_Scenarios!$A$18:$A$24,1)))*(MEDIAN($B63-Conversion!$B$15,2020,2050)-INDEX(Report_Scenarios!$A$18:$A$24,MATCH(MEDIAN($B63-Conversion!$B$15,2020,2050),Report_Scenarios!$A$18:$A$24,1)))/(INDEX(Report_Scenarios!$A$18:$A$24,MIN(MATCH(MEDIAN($B63-Conversion!$B$15,2020,2050),Report_Scenarios!$A$18:$A$24,1)+1,7))-INDEX(Report_Scenarios!$A$18:$A$24,MATCH(MEDIAN($B63-Conversion!$B$15,2020,2050),Report_Scenarios!$A$18:$A$24,1)))),IF(INDEX(Report_Scenarios!$A$29:$A$35,MIN(MATCH(MEDIAN($B63-Conversion!$B$15,2020,2050),Report_Scenarios!$A$29:$A$35,1)+1,7))=INDEX(Report_Scenarios!$A$29:$A$35,MATCH(MEDIAN($B63-Conversion!$B$15,2020,2050),Report_Scenarios!$A$29:$A$35,1)),INDEX(Report_Scenarios!$C$29:$C$35,MATCH(MEDIAN($B63-Conversion!$B$15,2020,2050),Report_Scenarios!$A$29:$A$35,1)),INDEX(Report_Scenarios!$C$29:$C$35,MATCH(MEDIAN($B63-Conversion!$B$15,2020,2050),Report_Scenarios!$A$29:$A$35,1))+(INDEX(Report_Scenarios!$C$29:$C$35,MIN(MATCH(MEDIAN($B63-Conversion!$B$15,2020,2050),Report_Scenarios!$A$29:$A$35,1)+1,7))-INDEX(Report_Scenarios!$C$29:$C$35,MATCH(MEDIAN($B63-Conversion!$B$15,2020,2050),Report_Scenarios!$A$29:$A$35,1)))*(MEDIAN($B63-Conversion!$B$15,2020,2050)-INDEX(Report_Scenarios!$A$29:$A$35,MATCH(MEDIAN($B63-Conversion!$B$15,2020,2050),Report_Scenarios!$A$29:$A$35,1)))/(INDEX(Report_Scenarios!$A$29:$A$35,MIN(MATCH(MEDIAN($B63-Conversion!$B$15,2020,2050),Report_Scenarios!$A$29:$A$35,1)+1,7))-INDEX(Report_Scenarios!$A$29:$A$35,MATCH(MEDIAN($B63-Conversion!$B$15,2020,2050),Report_Scenarios!$A$29:$A$35,1))))))</f>
        <v/>
      </c>
      <c r="G63" s="23">
        <f>IF($D63="Conservative",IF(INDEX(Report_Scenarios!$A$7:$A$13,MIN(MATCH(MEDIAN($B63-Conversion!$B$15,2020,2050),Report_Scenarios!$A$7:$A$13,1)+1,7))=INDEX(Report_Scenarios!$A$7:$A$13,MATCH(MEDIAN($B63-Conversion!$B$15,2020,2050),Report_Scenarios!$A$7:$A$13,1)),INDEX(Report_Scenarios!$D$7:$D$13,MATCH(MEDIAN($B63-Conversion!$B$15,2020,2050),Report_Scenarios!$A$7:$A$13,1)),INDEX(Report_Scenarios!$D$7:$D$13,MATCH(MEDIAN($B63-Conversion!$B$15,2020,2050),Report_Scenarios!$A$7:$A$13,1))+(INDEX(Report_Scenarios!$D$7:$D$13,MIN(MATCH(MEDIAN($B63-Conversion!$B$15,2020,2050),Report_Scenarios!$A$7:$A$13,1)+1,7))-INDEX(Report_Scenarios!$D$7:$D$13,MATCH(MEDIAN($B63-Conversion!$B$15,2020,2050),Report_Scenarios!$A$7:$A$13,1)))*(MEDIAN($B63-Conversion!$B$15,2020,2050)-INDEX(Report_Scenarios!$A$7:$A$13,MATCH(MEDIAN($B63-Conversion!$B$15,2020,2050),Report_Scenarios!$A$7:$A$13,1)))/(INDEX(Report_Scenarios!$A$7:$A$13,MIN(MATCH(MEDIAN($B63-Conversion!$B$15,2020,2050),Report_Scenarios!$A$7:$A$13,1)+1,7))-INDEX(Report_Scenarios!$A$7:$A$13,MATCH(MEDIAN($B63-Conversion!$B$15,2020,2050),Report_Scenarios!$A$7:$A$13,1)))),IF($D63="Central",IF(INDEX(Report_Scenarios!$A$18:$A$24,MIN(MATCH(MEDIAN($B63-Conversion!$B$15,2020,2050),Report_Scenarios!$A$18:$A$24,1)+1,7))=INDEX(Report_Scenarios!$A$18:$A$24,MATCH(MEDIAN($B63-Conversion!$B$15,2020,2050),Report_Scenarios!$A$18:$A$24,1)),INDEX(Report_Scenarios!$D$18:$D$24,MATCH(MEDIAN($B63-Conversion!$B$15,2020,2050),Report_Scenarios!$A$18:$A$24,1)),INDEX(Report_Scenarios!$D$18:$D$24,MATCH(MEDIAN($B63-Conversion!$B$15,2020,2050),Report_Scenarios!$A$18:$A$24,1))+(INDEX(Report_Scenarios!$D$18:$D$24,MIN(MATCH(MEDIAN($B63-Conversion!$B$15,2020,2050),Report_Scenarios!$A$18:$A$24,1)+1,7))-INDEX(Report_Scenarios!$D$18:$D$24,MATCH(MEDIAN($B63-Conversion!$B$15,2020,2050),Report_Scenarios!$A$18:$A$24,1)))*(MEDIAN($B63-Conversion!$B$15,2020,2050)-INDEX(Report_Scenarios!$A$18:$A$24,MATCH(MEDIAN($B63-Conversion!$B$15,2020,2050),Report_Scenarios!$A$18:$A$24,1)))/(INDEX(Report_Scenarios!$A$18:$A$24,MIN(MATCH(MEDIAN($B63-Conversion!$B$15,2020,2050),Report_Scenarios!$A$18:$A$24,1)+1,7))-INDEX(Report_Scenarios!$A$18:$A$24,MATCH(MEDIAN($B63-Conversion!$B$15,2020,2050),Report_Scenarios!$A$18:$A$24,1)))),IF(INDEX(Report_Scenarios!$A$29:$A$35,MIN(MATCH(MEDIAN($B63-Conversion!$B$15,2020,2050),Report_Scenarios!$A$29:$A$35,1)+1,7))=INDEX(Report_Scenarios!$A$29:$A$35,MATCH(MEDIAN($B63-Conversion!$B$15,2020,2050),Report_Scenarios!$A$29:$A$35,1)),INDEX(Report_Scenarios!$D$29:$D$35,MATCH(MEDIAN($B63-Conversion!$B$15,2020,2050),Report_Scenarios!$A$29:$A$35,1)),INDEX(Report_Scenarios!$D$29:$D$35,MATCH(MEDIAN($B63-Conversion!$B$15,2020,2050),Report_Scenarios!$A$29:$A$35,1))+(INDEX(Report_Scenarios!$D$29:$D$35,MIN(MATCH(MEDIAN($B63-Conversion!$B$15,2020,2050),Report_Scenarios!$A$29:$A$35,1)+1,7))-INDEX(Report_Scenarios!$D$29:$D$35,MATCH(MEDIAN($B63-Conversion!$B$15,2020,2050),Report_Scenarios!$A$29:$A$35,1)))*(MEDIAN($B63-Conversion!$B$15,2020,2050)-INDEX(Report_Scenarios!$A$29:$A$35,MATCH(MEDIAN($B63-Conversion!$B$15,2020,2050),Report_Scenarios!$A$29:$A$35,1)))/(INDEX(Report_Scenarios!$A$29:$A$35,MIN(MATCH(MEDIAN($B63-Conversion!$B$15,2020,2050),Report_Scenarios!$A$29:$A$35,1)+1,7))-INDEX(Report_Scenarios!$A$29:$A$35,MATCH(MEDIAN($B63-Conversion!$B$15,2020,2050),Report_Scenarios!$A$29:$A$35,1))))))</f>
        <v/>
      </c>
      <c r="H63" s="23">
        <f>IF($D63="Conservative",IF(INDEX(Report_Scenarios!$A$7:$A$13,MIN(MATCH(MEDIAN($B63-Conversion!$B$15,2020,2050),Report_Scenarios!$A$7:$A$13,1)+1,7))=INDEX(Report_Scenarios!$A$7:$A$13,MATCH(MEDIAN($B63-Conversion!$B$15,2020,2050),Report_Scenarios!$A$7:$A$13,1)),INDEX(Report_Scenarios!$E$7:$E$13,MATCH(MEDIAN($B63-Conversion!$B$15,2020,2050),Report_Scenarios!$A$7:$A$13,1)),INDEX(Report_Scenarios!$E$7:$E$13,MATCH(MEDIAN($B63-Conversion!$B$15,2020,2050),Report_Scenarios!$A$7:$A$13,1))+(INDEX(Report_Scenarios!$E$7:$E$13,MIN(MATCH(MEDIAN($B63-Conversion!$B$15,2020,2050),Report_Scenarios!$A$7:$A$13,1)+1,7))-INDEX(Report_Scenarios!$E$7:$E$13,MATCH(MEDIAN($B63-Conversion!$B$15,2020,2050),Report_Scenarios!$A$7:$A$13,1)))*(MEDIAN($B63-Conversion!$B$15,2020,2050)-INDEX(Report_Scenarios!$A$7:$A$13,MATCH(MEDIAN($B63-Conversion!$B$15,2020,2050),Report_Scenarios!$A$7:$A$13,1)))/(INDEX(Report_Scenarios!$A$7:$A$13,MIN(MATCH(MEDIAN($B63-Conversion!$B$15,2020,2050),Report_Scenarios!$A$7:$A$13,1)+1,7))-INDEX(Report_Scenarios!$A$7:$A$13,MATCH(MEDIAN($B63-Conversion!$B$15,2020,2050),Report_Scenarios!$A$7:$A$13,1)))),IF($D63="Central",IF(INDEX(Report_Scenarios!$A$18:$A$24,MIN(MATCH(MEDIAN($B63-Conversion!$B$15,2020,2050),Report_Scenarios!$A$18:$A$24,1)+1,7))=INDEX(Report_Scenarios!$A$18:$A$24,MATCH(MEDIAN($B63-Conversion!$B$15,2020,2050),Report_Scenarios!$A$18:$A$24,1)),INDEX(Report_Scenarios!$E$18:$E$24,MATCH(MEDIAN($B63-Conversion!$B$15,2020,2050),Report_Scenarios!$A$18:$A$24,1)),INDEX(Report_Scenarios!$E$18:$E$24,MATCH(MEDIAN($B63-Conversion!$B$15,2020,2050),Report_Scenarios!$A$18:$A$24,1))+(INDEX(Report_Scenarios!$E$18:$E$24,MIN(MATCH(MEDIAN($B63-Conversion!$B$15,2020,2050),Report_Scenarios!$A$18:$A$24,1)+1,7))-INDEX(Report_Scenarios!$E$18:$E$24,MATCH(MEDIAN($B63-Conversion!$B$15,2020,2050),Report_Scenarios!$A$18:$A$24,1)))*(MEDIAN($B63-Conversion!$B$15,2020,2050)-INDEX(Report_Scenarios!$A$18:$A$24,MATCH(MEDIAN($B63-Conversion!$B$15,2020,2050),Report_Scenarios!$A$18:$A$24,1)))/(INDEX(Report_Scenarios!$A$18:$A$24,MIN(MATCH(MEDIAN($B63-Conversion!$B$15,2020,2050),Report_Scenarios!$A$18:$A$24,1)+1,7))-INDEX(Report_Scenarios!$A$18:$A$24,MATCH(MEDIAN($B63-Conversion!$B$15,2020,2050),Report_Scenarios!$A$18:$A$24,1)))),IF(INDEX(Report_Scenarios!$A$29:$A$35,MIN(MATCH(MEDIAN($B63-Conversion!$B$15,2020,2050),Report_Scenarios!$A$29:$A$35,1)+1,7))=INDEX(Report_Scenarios!$A$29:$A$35,MATCH(MEDIAN($B63-Conversion!$B$15,2020,2050),Report_Scenarios!$A$29:$A$35,1)),INDEX(Report_Scenarios!$E$29:$E$35,MATCH(MEDIAN($B63-Conversion!$B$15,2020,2050),Report_Scenarios!$A$29:$A$35,1)),INDEX(Report_Scenarios!$E$29:$E$35,MATCH(MEDIAN($B63-Conversion!$B$15,2020,2050),Report_Scenarios!$A$29:$A$35,1))+(INDEX(Report_Scenarios!$E$29:$E$35,MIN(MATCH(MEDIAN($B63-Conversion!$B$15,2020,2050),Report_Scenarios!$A$29:$A$35,1)+1,7))-INDEX(Report_Scenarios!$E$29:$E$35,MATCH(MEDIAN($B63-Conversion!$B$15,2020,2050),Report_Scenarios!$A$29:$A$35,1)))*(MEDIAN($B63-Conversion!$B$15,2020,2050)-INDEX(Report_Scenarios!$A$29:$A$35,MATCH(MEDIAN($B63-Conversion!$B$15,2020,2050),Report_Scenarios!$A$29:$A$35,1)))/(INDEX(Report_Scenarios!$A$29:$A$35,MIN(MATCH(MEDIAN($B63-Conversion!$B$15,2020,2050),Report_Scenarios!$A$29:$A$35,1)+1,7))-INDEX(Report_Scenarios!$A$29:$A$35,MATCH(MEDIAN($B63-Conversion!$B$15,2020,2050),Report_Scenarios!$A$29:$A$35,1))))))</f>
        <v/>
      </c>
      <c r="I63" s="23">
        <f>IF($D63="Conservative",IF(INDEX(Report_Scenarios!$A$7:$A$13,MIN(MATCH(MEDIAN($B63-Conversion!$B$15,2020,2050),Report_Scenarios!$A$7:$A$13,1)+1,7))=INDEX(Report_Scenarios!$A$7:$A$13,MATCH(MEDIAN($B63-Conversion!$B$15,2020,2050),Report_Scenarios!$A$7:$A$13,1)),INDEX(Report_Scenarios!$F$7:$F$13,MATCH(MEDIAN($B63-Conversion!$B$15,2020,2050),Report_Scenarios!$A$7:$A$13,1)),INDEX(Report_Scenarios!$F$7:$F$13,MATCH(MEDIAN($B63-Conversion!$B$15,2020,2050),Report_Scenarios!$A$7:$A$13,1))+(INDEX(Report_Scenarios!$F$7:$F$13,MIN(MATCH(MEDIAN($B63-Conversion!$B$15,2020,2050),Report_Scenarios!$A$7:$A$13,1)+1,7))-INDEX(Report_Scenarios!$F$7:$F$13,MATCH(MEDIAN($B63-Conversion!$B$15,2020,2050),Report_Scenarios!$A$7:$A$13,1)))*(MEDIAN($B63-Conversion!$B$15,2020,2050)-INDEX(Report_Scenarios!$A$7:$A$13,MATCH(MEDIAN($B63-Conversion!$B$15,2020,2050),Report_Scenarios!$A$7:$A$13,1)))/(INDEX(Report_Scenarios!$A$7:$A$13,MIN(MATCH(MEDIAN($B63-Conversion!$B$15,2020,2050),Report_Scenarios!$A$7:$A$13,1)+1,7))-INDEX(Report_Scenarios!$A$7:$A$13,MATCH(MEDIAN($B63-Conversion!$B$15,2020,2050),Report_Scenarios!$A$7:$A$13,1)))),IF($D63="Central",IF(INDEX(Report_Scenarios!$A$18:$A$24,MIN(MATCH(MEDIAN($B63-Conversion!$B$15,2020,2050),Report_Scenarios!$A$18:$A$24,1)+1,7))=INDEX(Report_Scenarios!$A$18:$A$24,MATCH(MEDIAN($B63-Conversion!$B$15,2020,2050),Report_Scenarios!$A$18:$A$24,1)),INDEX(Report_Scenarios!$F$18:$F$24,MATCH(MEDIAN($B63-Conversion!$B$15,2020,2050),Report_Scenarios!$A$18:$A$24,1)),INDEX(Report_Scenarios!$F$18:$F$24,MATCH(MEDIAN($B63-Conversion!$B$15,2020,2050),Report_Scenarios!$A$18:$A$24,1))+(INDEX(Report_Scenarios!$F$18:$F$24,MIN(MATCH(MEDIAN($B63-Conversion!$B$15,2020,2050),Report_Scenarios!$A$18:$A$24,1)+1,7))-INDEX(Report_Scenarios!$F$18:$F$24,MATCH(MEDIAN($B63-Conversion!$B$15,2020,2050),Report_Scenarios!$A$18:$A$24,1)))*(MEDIAN($B63-Conversion!$B$15,2020,2050)-INDEX(Report_Scenarios!$A$18:$A$24,MATCH(MEDIAN($B63-Conversion!$B$15,2020,2050),Report_Scenarios!$A$18:$A$24,1)))/(INDEX(Report_Scenarios!$A$18:$A$24,MIN(MATCH(MEDIAN($B63-Conversion!$B$15,2020,2050),Report_Scenarios!$A$18:$A$24,1)+1,7))-INDEX(Report_Scenarios!$A$18:$A$24,MATCH(MEDIAN($B63-Conversion!$B$15,2020,2050),Report_Scenarios!$A$18:$A$24,1)))),IF(INDEX(Report_Scenarios!$A$29:$A$35,MIN(MATCH(MEDIAN($B63-Conversion!$B$15,2020,2050),Report_Scenarios!$A$29:$A$35,1)+1,7))=INDEX(Report_Scenarios!$A$29:$A$35,MATCH(MEDIAN($B63-Conversion!$B$15,2020,2050),Report_Scenarios!$A$29:$A$35,1)),INDEX(Report_Scenarios!$F$29:$F$35,MATCH(MEDIAN($B63-Conversion!$B$15,2020,2050),Report_Scenarios!$A$29:$A$35,1)),INDEX(Report_Scenarios!$F$29:$F$35,MATCH(MEDIAN($B63-Conversion!$B$15,2020,2050),Report_Scenarios!$A$29:$A$35,1))+(INDEX(Report_Scenarios!$F$29:$F$35,MIN(MATCH(MEDIAN($B63-Conversion!$B$15,2020,2050),Report_Scenarios!$A$29:$A$35,1)+1,7))-INDEX(Report_Scenarios!$F$29:$F$35,MATCH(MEDIAN($B63-Conversion!$B$15,2020,2050),Report_Scenarios!$A$29:$A$35,1)))*(MEDIAN($B63-Conversion!$B$15,2020,2050)-INDEX(Report_Scenarios!$A$29:$A$35,MATCH(MEDIAN($B63-Conversion!$B$15,2020,2050),Report_Scenarios!$A$29:$A$35,1)))/(INDEX(Report_Scenarios!$A$29:$A$35,MIN(MATCH(MEDIAN($B63-Conversion!$B$15,2020,2050),Report_Scenarios!$A$29:$A$35,1)+1,7))-INDEX(Report_Scenarios!$A$29:$A$35,MATCH(MEDIAN($B63-Conversion!$B$15,2020,2050),Report_Scenarios!$A$29:$A$35,1))))))</f>
        <v/>
      </c>
      <c r="J63" s="23">
        <f>IF($D63="Conservative",IF(INDEX(Report_Scenarios!$A$7:$A$13,MIN(MATCH(MEDIAN($B63-Conversion!$B$15,2020,2050),Report_Scenarios!$A$7:$A$13,1)+1,7))=INDEX(Report_Scenarios!$A$7:$A$13,MATCH(MEDIAN($B63-Conversion!$B$15,2020,2050),Report_Scenarios!$A$7:$A$13,1)),INDEX(Report_Scenarios!$G$7:$G$13,MATCH(MEDIAN($B63-Conversion!$B$15,2020,2050),Report_Scenarios!$A$7:$A$13,1)),INDEX(Report_Scenarios!$G$7:$G$13,MATCH(MEDIAN($B63-Conversion!$B$15,2020,2050),Report_Scenarios!$A$7:$A$13,1))+(INDEX(Report_Scenarios!$G$7:$G$13,MIN(MATCH(MEDIAN($B63-Conversion!$B$15,2020,2050),Report_Scenarios!$A$7:$A$13,1)+1,7))-INDEX(Report_Scenarios!$G$7:$G$13,MATCH(MEDIAN($B63-Conversion!$B$15,2020,2050),Report_Scenarios!$A$7:$A$13,1)))*(MEDIAN($B63-Conversion!$B$15,2020,2050)-INDEX(Report_Scenarios!$A$7:$A$13,MATCH(MEDIAN($B63-Conversion!$B$15,2020,2050),Report_Scenarios!$A$7:$A$13,1)))/(INDEX(Report_Scenarios!$A$7:$A$13,MIN(MATCH(MEDIAN($B63-Conversion!$B$15,2020,2050),Report_Scenarios!$A$7:$A$13,1)+1,7))-INDEX(Report_Scenarios!$A$7:$A$13,MATCH(MEDIAN($B63-Conversion!$B$15,2020,2050),Report_Scenarios!$A$7:$A$13,1)))),IF($D63="Central",IF(INDEX(Report_Scenarios!$A$18:$A$24,MIN(MATCH(MEDIAN($B63-Conversion!$B$15,2020,2050),Report_Scenarios!$A$18:$A$24,1)+1,7))=INDEX(Report_Scenarios!$A$18:$A$24,MATCH(MEDIAN($B63-Conversion!$B$15,2020,2050),Report_Scenarios!$A$18:$A$24,1)),INDEX(Report_Scenarios!$G$18:$G$24,MATCH(MEDIAN($B63-Conversion!$B$15,2020,2050),Report_Scenarios!$A$18:$A$24,1)),INDEX(Report_Scenarios!$G$18:$G$24,MATCH(MEDIAN($B63-Conversion!$B$15,2020,2050),Report_Scenarios!$A$18:$A$24,1))+(INDEX(Report_Scenarios!$G$18:$G$24,MIN(MATCH(MEDIAN($B63-Conversion!$B$15,2020,2050),Report_Scenarios!$A$18:$A$24,1)+1,7))-INDEX(Report_Scenarios!$G$18:$G$24,MATCH(MEDIAN($B63-Conversion!$B$15,2020,2050),Report_Scenarios!$A$18:$A$24,1)))*(MEDIAN($B63-Conversion!$B$15,2020,2050)-INDEX(Report_Scenarios!$A$18:$A$24,MATCH(MEDIAN($B63-Conversion!$B$15,2020,2050),Report_Scenarios!$A$18:$A$24,1)))/(INDEX(Report_Scenarios!$A$18:$A$24,MIN(MATCH(MEDIAN($B63-Conversion!$B$15,2020,2050),Report_Scenarios!$A$18:$A$24,1)+1,7))-INDEX(Report_Scenarios!$A$18:$A$24,MATCH(MEDIAN($B63-Conversion!$B$15,2020,2050),Report_Scenarios!$A$18:$A$24,1)))),IF(INDEX(Report_Scenarios!$A$29:$A$35,MIN(MATCH(MEDIAN($B63-Conversion!$B$15,2020,2050),Report_Scenarios!$A$29:$A$35,1)+1,7))=INDEX(Report_Scenarios!$A$29:$A$35,MATCH(MEDIAN($B63-Conversion!$B$15,2020,2050),Report_Scenarios!$A$29:$A$35,1)),INDEX(Report_Scenarios!$G$29:$G$35,MATCH(MEDIAN($B63-Conversion!$B$15,2020,2050),Report_Scenarios!$A$29:$A$35,1)),INDEX(Report_Scenarios!$G$29:$G$35,MATCH(MEDIAN($B63-Conversion!$B$15,2020,2050),Report_Scenarios!$A$29:$A$35,1))+(INDEX(Report_Scenarios!$G$29:$G$35,MIN(MATCH(MEDIAN($B63-Conversion!$B$15,2020,2050),Report_Scenarios!$A$29:$A$35,1)+1,7))-INDEX(Report_Scenarios!$G$29:$G$35,MATCH(MEDIAN($B63-Conversion!$B$15,2020,2050),Report_Scenarios!$A$29:$A$35,1)))*(MEDIAN($B63-Conversion!$B$15,2020,2050)-INDEX(Report_Scenarios!$A$29:$A$35,MATCH(MEDIAN($B63-Conversion!$B$15,2020,2050),Report_Scenarios!$A$29:$A$35,1)))/(INDEX(Report_Scenarios!$A$29:$A$35,MIN(MATCH(MEDIAN($B63-Conversion!$B$15,2020,2050),Report_Scenarios!$A$29:$A$35,1)+1,7))-INDEX(Report_Scenarios!$A$29:$A$35,MATCH(MEDIAN($B63-Conversion!$B$15,2020,2050),Report_Scenarios!$A$29:$A$35,1))))))</f>
        <v/>
      </c>
      <c r="K63" s="23">
        <f>SUM(E63:J63)</f>
        <v/>
      </c>
      <c r="L63" s="23">
        <f>IF(R63&lt;&gt;"",R63,IF($K63=0,0,E63/$K63))</f>
        <v/>
      </c>
      <c r="M63" s="23">
        <f>IF(S63&lt;&gt;"",S63,IF($K63=0,0,F63/$K63))</f>
        <v/>
      </c>
      <c r="N63" s="23">
        <f>IF(T63&lt;&gt;"",T63,IF($K63=0,0,G63/$K63))</f>
        <v/>
      </c>
      <c r="O63" s="23">
        <f>IF(U63&lt;&gt;"",U63,IF($K63=0,0,H63/$K63))</f>
        <v/>
      </c>
      <c r="P63" s="23">
        <f>IF(V63&lt;&gt;"",V63,IF($K63=0,0,I63/$K63))</f>
        <v/>
      </c>
      <c r="Q63" s="23">
        <f>IF(W63&lt;&gt;"",W63,IF($K63=0,0,J63/$K63))</f>
        <v/>
      </c>
      <c r="R63" s="24" t="n"/>
      <c r="S63" s="24" t="n"/>
      <c r="T63" s="24" t="n"/>
      <c r="U63" s="24" t="n"/>
      <c r="V63" s="24" t="n"/>
      <c r="W63" s="24" t="n"/>
    </row>
    <row r="64">
      <c r="A64" s="4" t="inlineStr">
        <is>
          <t>CD</t>
        </is>
      </c>
      <c r="B64" s="4" t="n">
        <v>2070</v>
      </c>
      <c r="C64" s="4" t="inlineStr">
        <is>
          <t>Share_Max</t>
        </is>
      </c>
      <c r="D64" s="4">
        <f>Conversion!$B$20</f>
        <v/>
      </c>
      <c r="E64" s="23">
        <f>IF($D64="Conservative",IF(INDEX(Report_Scenarios!$A$7:$A$13,MIN(MATCH(MEDIAN($B64-Conversion!$B$15,2020,2050),Report_Scenarios!$A$7:$A$13,1)+1,7))=INDEX(Report_Scenarios!$A$7:$A$13,MATCH(MEDIAN($B64-Conversion!$B$15,2020,2050),Report_Scenarios!$A$7:$A$13,1)),INDEX(Report_Scenarios!$B$7:$B$13,MATCH(MEDIAN($B64-Conversion!$B$15,2020,2050),Report_Scenarios!$A$7:$A$13,1)),INDEX(Report_Scenarios!$B$7:$B$13,MATCH(MEDIAN($B64-Conversion!$B$15,2020,2050),Report_Scenarios!$A$7:$A$13,1))+(INDEX(Report_Scenarios!$B$7:$B$13,MIN(MATCH(MEDIAN($B64-Conversion!$B$15,2020,2050),Report_Scenarios!$A$7:$A$13,1)+1,7))-INDEX(Report_Scenarios!$B$7:$B$13,MATCH(MEDIAN($B64-Conversion!$B$15,2020,2050),Report_Scenarios!$A$7:$A$13,1)))*(MEDIAN($B64-Conversion!$B$15,2020,2050)-INDEX(Report_Scenarios!$A$7:$A$13,MATCH(MEDIAN($B64-Conversion!$B$15,2020,2050),Report_Scenarios!$A$7:$A$13,1)))/(INDEX(Report_Scenarios!$A$7:$A$13,MIN(MATCH(MEDIAN($B64-Conversion!$B$15,2020,2050),Report_Scenarios!$A$7:$A$13,1)+1,7))-INDEX(Report_Scenarios!$A$7:$A$13,MATCH(MEDIAN($B64-Conversion!$B$15,2020,2050),Report_Scenarios!$A$7:$A$13,1)))),IF($D64="Central",IF(INDEX(Report_Scenarios!$A$18:$A$24,MIN(MATCH(MEDIAN($B64-Conversion!$B$15,2020,2050),Report_Scenarios!$A$18:$A$24,1)+1,7))=INDEX(Report_Scenarios!$A$18:$A$24,MATCH(MEDIAN($B64-Conversion!$B$15,2020,2050),Report_Scenarios!$A$18:$A$24,1)),INDEX(Report_Scenarios!$B$18:$B$24,MATCH(MEDIAN($B64-Conversion!$B$15,2020,2050),Report_Scenarios!$A$18:$A$24,1)),INDEX(Report_Scenarios!$B$18:$B$24,MATCH(MEDIAN($B64-Conversion!$B$15,2020,2050),Report_Scenarios!$A$18:$A$24,1))+(INDEX(Report_Scenarios!$B$18:$B$24,MIN(MATCH(MEDIAN($B64-Conversion!$B$15,2020,2050),Report_Scenarios!$A$18:$A$24,1)+1,7))-INDEX(Report_Scenarios!$B$18:$B$24,MATCH(MEDIAN($B64-Conversion!$B$15,2020,2050),Report_Scenarios!$A$18:$A$24,1)))*(MEDIAN($B64-Conversion!$B$15,2020,2050)-INDEX(Report_Scenarios!$A$18:$A$24,MATCH(MEDIAN($B64-Conversion!$B$15,2020,2050),Report_Scenarios!$A$18:$A$24,1)))/(INDEX(Report_Scenarios!$A$18:$A$24,MIN(MATCH(MEDIAN($B64-Conversion!$B$15,2020,2050),Report_Scenarios!$A$18:$A$24,1)+1,7))-INDEX(Report_Scenarios!$A$18:$A$24,MATCH(MEDIAN($B64-Conversion!$B$15,2020,2050),Report_Scenarios!$A$18:$A$24,1)))),IF(INDEX(Report_Scenarios!$A$29:$A$35,MIN(MATCH(MEDIAN($B64-Conversion!$B$15,2020,2050),Report_Scenarios!$A$29:$A$35,1)+1,7))=INDEX(Report_Scenarios!$A$29:$A$35,MATCH(MEDIAN($B64-Conversion!$B$15,2020,2050),Report_Scenarios!$A$29:$A$35,1)),INDEX(Report_Scenarios!$B$29:$B$35,MATCH(MEDIAN($B64-Conversion!$B$15,2020,2050),Report_Scenarios!$A$29:$A$35,1)),INDEX(Report_Scenarios!$B$29:$B$35,MATCH(MEDIAN($B64-Conversion!$B$15,2020,2050),Report_Scenarios!$A$29:$A$35,1))+(INDEX(Report_Scenarios!$B$29:$B$35,MIN(MATCH(MEDIAN($B64-Conversion!$B$15,2020,2050),Report_Scenarios!$A$29:$A$35,1)+1,7))-INDEX(Report_Scenarios!$B$29:$B$35,MATCH(MEDIAN($B64-Conversion!$B$15,2020,2050),Report_Scenarios!$A$29:$A$35,1)))*(MEDIAN($B64-Conversion!$B$15,2020,2050)-INDEX(Report_Scenarios!$A$29:$A$35,MATCH(MEDIAN($B64-Conversion!$B$15,2020,2050),Report_Scenarios!$A$29:$A$35,1)))/(INDEX(Report_Scenarios!$A$29:$A$35,MIN(MATCH(MEDIAN($B64-Conversion!$B$15,2020,2050),Report_Scenarios!$A$29:$A$35,1)+1,7))-INDEX(Report_Scenarios!$A$29:$A$35,MATCH(MEDIAN($B64-Conversion!$B$15,2020,2050),Report_Scenarios!$A$29:$A$35,1))))))</f>
        <v/>
      </c>
      <c r="F64" s="23">
        <f>IF($D64="Conservative",IF(INDEX(Report_Scenarios!$A$7:$A$13,MIN(MATCH(MEDIAN($B64-Conversion!$B$15,2020,2050),Report_Scenarios!$A$7:$A$13,1)+1,7))=INDEX(Report_Scenarios!$A$7:$A$13,MATCH(MEDIAN($B64-Conversion!$B$15,2020,2050),Report_Scenarios!$A$7:$A$13,1)),INDEX(Report_Scenarios!$C$7:$C$13,MATCH(MEDIAN($B64-Conversion!$B$15,2020,2050),Report_Scenarios!$A$7:$A$13,1)),INDEX(Report_Scenarios!$C$7:$C$13,MATCH(MEDIAN($B64-Conversion!$B$15,2020,2050),Report_Scenarios!$A$7:$A$13,1))+(INDEX(Report_Scenarios!$C$7:$C$13,MIN(MATCH(MEDIAN($B64-Conversion!$B$15,2020,2050),Report_Scenarios!$A$7:$A$13,1)+1,7))-INDEX(Report_Scenarios!$C$7:$C$13,MATCH(MEDIAN($B64-Conversion!$B$15,2020,2050),Report_Scenarios!$A$7:$A$13,1)))*(MEDIAN($B64-Conversion!$B$15,2020,2050)-INDEX(Report_Scenarios!$A$7:$A$13,MATCH(MEDIAN($B64-Conversion!$B$15,2020,2050),Report_Scenarios!$A$7:$A$13,1)))/(INDEX(Report_Scenarios!$A$7:$A$13,MIN(MATCH(MEDIAN($B64-Conversion!$B$15,2020,2050),Report_Scenarios!$A$7:$A$13,1)+1,7))-INDEX(Report_Scenarios!$A$7:$A$13,MATCH(MEDIAN($B64-Conversion!$B$15,2020,2050),Report_Scenarios!$A$7:$A$13,1)))),IF($D64="Central",IF(INDEX(Report_Scenarios!$A$18:$A$24,MIN(MATCH(MEDIAN($B64-Conversion!$B$15,2020,2050),Report_Scenarios!$A$18:$A$24,1)+1,7))=INDEX(Report_Scenarios!$A$18:$A$24,MATCH(MEDIAN($B64-Conversion!$B$15,2020,2050),Report_Scenarios!$A$18:$A$24,1)),INDEX(Report_Scenarios!$C$18:$C$24,MATCH(MEDIAN($B64-Conversion!$B$15,2020,2050),Report_Scenarios!$A$18:$A$24,1)),INDEX(Report_Scenarios!$C$18:$C$24,MATCH(MEDIAN($B64-Conversion!$B$15,2020,2050),Report_Scenarios!$A$18:$A$24,1))+(INDEX(Report_Scenarios!$C$18:$C$24,MIN(MATCH(MEDIAN($B64-Conversion!$B$15,2020,2050),Report_Scenarios!$A$18:$A$24,1)+1,7))-INDEX(Report_Scenarios!$C$18:$C$24,MATCH(MEDIAN($B64-Conversion!$B$15,2020,2050),Report_Scenarios!$A$18:$A$24,1)))*(MEDIAN($B64-Conversion!$B$15,2020,2050)-INDEX(Report_Scenarios!$A$18:$A$24,MATCH(MEDIAN($B64-Conversion!$B$15,2020,2050),Report_Scenarios!$A$18:$A$24,1)))/(INDEX(Report_Scenarios!$A$18:$A$24,MIN(MATCH(MEDIAN($B64-Conversion!$B$15,2020,2050),Report_Scenarios!$A$18:$A$24,1)+1,7))-INDEX(Report_Scenarios!$A$18:$A$24,MATCH(MEDIAN($B64-Conversion!$B$15,2020,2050),Report_Scenarios!$A$18:$A$24,1)))),IF(INDEX(Report_Scenarios!$A$29:$A$35,MIN(MATCH(MEDIAN($B64-Conversion!$B$15,2020,2050),Report_Scenarios!$A$29:$A$35,1)+1,7))=INDEX(Report_Scenarios!$A$29:$A$35,MATCH(MEDIAN($B64-Conversion!$B$15,2020,2050),Report_Scenarios!$A$29:$A$35,1)),INDEX(Report_Scenarios!$C$29:$C$35,MATCH(MEDIAN($B64-Conversion!$B$15,2020,2050),Report_Scenarios!$A$29:$A$35,1)),INDEX(Report_Scenarios!$C$29:$C$35,MATCH(MEDIAN($B64-Conversion!$B$15,2020,2050),Report_Scenarios!$A$29:$A$35,1))+(INDEX(Report_Scenarios!$C$29:$C$35,MIN(MATCH(MEDIAN($B64-Conversion!$B$15,2020,2050),Report_Scenarios!$A$29:$A$35,1)+1,7))-INDEX(Report_Scenarios!$C$29:$C$35,MATCH(MEDIAN($B64-Conversion!$B$15,2020,2050),Report_Scenarios!$A$29:$A$35,1)))*(MEDIAN($B64-Conversion!$B$15,2020,2050)-INDEX(Report_Scenarios!$A$29:$A$35,MATCH(MEDIAN($B64-Conversion!$B$15,2020,2050),Report_Scenarios!$A$29:$A$35,1)))/(INDEX(Report_Scenarios!$A$29:$A$35,MIN(MATCH(MEDIAN($B64-Conversion!$B$15,2020,2050),Report_Scenarios!$A$29:$A$35,1)+1,7))-INDEX(Report_Scenarios!$A$29:$A$35,MATCH(MEDIAN($B64-Conversion!$B$15,2020,2050),Report_Scenarios!$A$29:$A$35,1))))))</f>
        <v/>
      </c>
      <c r="G64" s="23">
        <f>IF($D64="Conservative",IF(INDEX(Report_Scenarios!$A$7:$A$13,MIN(MATCH(MEDIAN($B64-Conversion!$B$15,2020,2050),Report_Scenarios!$A$7:$A$13,1)+1,7))=INDEX(Report_Scenarios!$A$7:$A$13,MATCH(MEDIAN($B64-Conversion!$B$15,2020,2050),Report_Scenarios!$A$7:$A$13,1)),INDEX(Report_Scenarios!$D$7:$D$13,MATCH(MEDIAN($B64-Conversion!$B$15,2020,2050),Report_Scenarios!$A$7:$A$13,1)),INDEX(Report_Scenarios!$D$7:$D$13,MATCH(MEDIAN($B64-Conversion!$B$15,2020,2050),Report_Scenarios!$A$7:$A$13,1))+(INDEX(Report_Scenarios!$D$7:$D$13,MIN(MATCH(MEDIAN($B64-Conversion!$B$15,2020,2050),Report_Scenarios!$A$7:$A$13,1)+1,7))-INDEX(Report_Scenarios!$D$7:$D$13,MATCH(MEDIAN($B64-Conversion!$B$15,2020,2050),Report_Scenarios!$A$7:$A$13,1)))*(MEDIAN($B64-Conversion!$B$15,2020,2050)-INDEX(Report_Scenarios!$A$7:$A$13,MATCH(MEDIAN($B64-Conversion!$B$15,2020,2050),Report_Scenarios!$A$7:$A$13,1)))/(INDEX(Report_Scenarios!$A$7:$A$13,MIN(MATCH(MEDIAN($B64-Conversion!$B$15,2020,2050),Report_Scenarios!$A$7:$A$13,1)+1,7))-INDEX(Report_Scenarios!$A$7:$A$13,MATCH(MEDIAN($B64-Conversion!$B$15,2020,2050),Report_Scenarios!$A$7:$A$13,1)))),IF($D64="Central",IF(INDEX(Report_Scenarios!$A$18:$A$24,MIN(MATCH(MEDIAN($B64-Conversion!$B$15,2020,2050),Report_Scenarios!$A$18:$A$24,1)+1,7))=INDEX(Report_Scenarios!$A$18:$A$24,MATCH(MEDIAN($B64-Conversion!$B$15,2020,2050),Report_Scenarios!$A$18:$A$24,1)),INDEX(Report_Scenarios!$D$18:$D$24,MATCH(MEDIAN($B64-Conversion!$B$15,2020,2050),Report_Scenarios!$A$18:$A$24,1)),INDEX(Report_Scenarios!$D$18:$D$24,MATCH(MEDIAN($B64-Conversion!$B$15,2020,2050),Report_Scenarios!$A$18:$A$24,1))+(INDEX(Report_Scenarios!$D$18:$D$24,MIN(MATCH(MEDIAN($B64-Conversion!$B$15,2020,2050),Report_Scenarios!$A$18:$A$24,1)+1,7))-INDEX(Report_Scenarios!$D$18:$D$24,MATCH(MEDIAN($B64-Conversion!$B$15,2020,2050),Report_Scenarios!$A$18:$A$24,1)))*(MEDIAN($B64-Conversion!$B$15,2020,2050)-INDEX(Report_Scenarios!$A$18:$A$24,MATCH(MEDIAN($B64-Conversion!$B$15,2020,2050),Report_Scenarios!$A$18:$A$24,1)))/(INDEX(Report_Scenarios!$A$18:$A$24,MIN(MATCH(MEDIAN($B64-Conversion!$B$15,2020,2050),Report_Scenarios!$A$18:$A$24,1)+1,7))-INDEX(Report_Scenarios!$A$18:$A$24,MATCH(MEDIAN($B64-Conversion!$B$15,2020,2050),Report_Scenarios!$A$18:$A$24,1)))),IF(INDEX(Report_Scenarios!$A$29:$A$35,MIN(MATCH(MEDIAN($B64-Conversion!$B$15,2020,2050),Report_Scenarios!$A$29:$A$35,1)+1,7))=INDEX(Report_Scenarios!$A$29:$A$35,MATCH(MEDIAN($B64-Conversion!$B$15,2020,2050),Report_Scenarios!$A$29:$A$35,1)),INDEX(Report_Scenarios!$D$29:$D$35,MATCH(MEDIAN($B64-Conversion!$B$15,2020,2050),Report_Scenarios!$A$29:$A$35,1)),INDEX(Report_Scenarios!$D$29:$D$35,MATCH(MEDIAN($B64-Conversion!$B$15,2020,2050),Report_Scenarios!$A$29:$A$35,1))+(INDEX(Report_Scenarios!$D$29:$D$35,MIN(MATCH(MEDIAN($B64-Conversion!$B$15,2020,2050),Report_Scenarios!$A$29:$A$35,1)+1,7))-INDEX(Report_Scenarios!$D$29:$D$35,MATCH(MEDIAN($B64-Conversion!$B$15,2020,2050),Report_Scenarios!$A$29:$A$35,1)))*(MEDIAN($B64-Conversion!$B$15,2020,2050)-INDEX(Report_Scenarios!$A$29:$A$35,MATCH(MEDIAN($B64-Conversion!$B$15,2020,2050),Report_Scenarios!$A$29:$A$35,1)))/(INDEX(Report_Scenarios!$A$29:$A$35,MIN(MATCH(MEDIAN($B64-Conversion!$B$15,2020,2050),Report_Scenarios!$A$29:$A$35,1)+1,7))-INDEX(Report_Scenarios!$A$29:$A$35,MATCH(MEDIAN($B64-Conversion!$B$15,2020,2050),Report_Scenarios!$A$29:$A$35,1))))))</f>
        <v/>
      </c>
      <c r="H64" s="23">
        <f>IF($D64="Conservative",IF(INDEX(Report_Scenarios!$A$7:$A$13,MIN(MATCH(MEDIAN($B64-Conversion!$B$15,2020,2050),Report_Scenarios!$A$7:$A$13,1)+1,7))=INDEX(Report_Scenarios!$A$7:$A$13,MATCH(MEDIAN($B64-Conversion!$B$15,2020,2050),Report_Scenarios!$A$7:$A$13,1)),INDEX(Report_Scenarios!$E$7:$E$13,MATCH(MEDIAN($B64-Conversion!$B$15,2020,2050),Report_Scenarios!$A$7:$A$13,1)),INDEX(Report_Scenarios!$E$7:$E$13,MATCH(MEDIAN($B64-Conversion!$B$15,2020,2050),Report_Scenarios!$A$7:$A$13,1))+(INDEX(Report_Scenarios!$E$7:$E$13,MIN(MATCH(MEDIAN($B64-Conversion!$B$15,2020,2050),Report_Scenarios!$A$7:$A$13,1)+1,7))-INDEX(Report_Scenarios!$E$7:$E$13,MATCH(MEDIAN($B64-Conversion!$B$15,2020,2050),Report_Scenarios!$A$7:$A$13,1)))*(MEDIAN($B64-Conversion!$B$15,2020,2050)-INDEX(Report_Scenarios!$A$7:$A$13,MATCH(MEDIAN($B64-Conversion!$B$15,2020,2050),Report_Scenarios!$A$7:$A$13,1)))/(INDEX(Report_Scenarios!$A$7:$A$13,MIN(MATCH(MEDIAN($B64-Conversion!$B$15,2020,2050),Report_Scenarios!$A$7:$A$13,1)+1,7))-INDEX(Report_Scenarios!$A$7:$A$13,MATCH(MEDIAN($B64-Conversion!$B$15,2020,2050),Report_Scenarios!$A$7:$A$13,1)))),IF($D64="Central",IF(INDEX(Report_Scenarios!$A$18:$A$24,MIN(MATCH(MEDIAN($B64-Conversion!$B$15,2020,2050),Report_Scenarios!$A$18:$A$24,1)+1,7))=INDEX(Report_Scenarios!$A$18:$A$24,MATCH(MEDIAN($B64-Conversion!$B$15,2020,2050),Report_Scenarios!$A$18:$A$24,1)),INDEX(Report_Scenarios!$E$18:$E$24,MATCH(MEDIAN($B64-Conversion!$B$15,2020,2050),Report_Scenarios!$A$18:$A$24,1)),INDEX(Report_Scenarios!$E$18:$E$24,MATCH(MEDIAN($B64-Conversion!$B$15,2020,2050),Report_Scenarios!$A$18:$A$24,1))+(INDEX(Report_Scenarios!$E$18:$E$24,MIN(MATCH(MEDIAN($B64-Conversion!$B$15,2020,2050),Report_Scenarios!$A$18:$A$24,1)+1,7))-INDEX(Report_Scenarios!$E$18:$E$24,MATCH(MEDIAN($B64-Conversion!$B$15,2020,2050),Report_Scenarios!$A$18:$A$24,1)))*(MEDIAN($B64-Conversion!$B$15,2020,2050)-INDEX(Report_Scenarios!$A$18:$A$24,MATCH(MEDIAN($B64-Conversion!$B$15,2020,2050),Report_Scenarios!$A$18:$A$24,1)))/(INDEX(Report_Scenarios!$A$18:$A$24,MIN(MATCH(MEDIAN($B64-Conversion!$B$15,2020,2050),Report_Scenarios!$A$18:$A$24,1)+1,7))-INDEX(Report_Scenarios!$A$18:$A$24,MATCH(MEDIAN($B64-Conversion!$B$15,2020,2050),Report_Scenarios!$A$18:$A$24,1)))),IF(INDEX(Report_Scenarios!$A$29:$A$35,MIN(MATCH(MEDIAN($B64-Conversion!$B$15,2020,2050),Report_Scenarios!$A$29:$A$35,1)+1,7))=INDEX(Report_Scenarios!$A$29:$A$35,MATCH(MEDIAN($B64-Conversion!$B$15,2020,2050),Report_Scenarios!$A$29:$A$35,1)),INDEX(Report_Scenarios!$E$29:$E$35,MATCH(MEDIAN($B64-Conversion!$B$15,2020,2050),Report_Scenarios!$A$29:$A$35,1)),INDEX(Report_Scenarios!$E$29:$E$35,MATCH(MEDIAN($B64-Conversion!$B$15,2020,2050),Report_Scenarios!$A$29:$A$35,1))+(INDEX(Report_Scenarios!$E$29:$E$35,MIN(MATCH(MEDIAN($B64-Conversion!$B$15,2020,2050),Report_Scenarios!$A$29:$A$35,1)+1,7))-INDEX(Report_Scenarios!$E$29:$E$35,MATCH(MEDIAN($B64-Conversion!$B$15,2020,2050),Report_Scenarios!$A$29:$A$35,1)))*(MEDIAN($B64-Conversion!$B$15,2020,2050)-INDEX(Report_Scenarios!$A$29:$A$35,MATCH(MEDIAN($B64-Conversion!$B$15,2020,2050),Report_Scenarios!$A$29:$A$35,1)))/(INDEX(Report_Scenarios!$A$29:$A$35,MIN(MATCH(MEDIAN($B64-Conversion!$B$15,2020,2050),Report_Scenarios!$A$29:$A$35,1)+1,7))-INDEX(Report_Scenarios!$A$29:$A$35,MATCH(MEDIAN($B64-Conversion!$B$15,2020,2050),Report_Scenarios!$A$29:$A$35,1))))))</f>
        <v/>
      </c>
      <c r="I64" s="23">
        <f>IF($D64="Conservative",IF(INDEX(Report_Scenarios!$A$7:$A$13,MIN(MATCH(MEDIAN($B64-Conversion!$B$15,2020,2050),Report_Scenarios!$A$7:$A$13,1)+1,7))=INDEX(Report_Scenarios!$A$7:$A$13,MATCH(MEDIAN($B64-Conversion!$B$15,2020,2050),Report_Scenarios!$A$7:$A$13,1)),INDEX(Report_Scenarios!$F$7:$F$13,MATCH(MEDIAN($B64-Conversion!$B$15,2020,2050),Report_Scenarios!$A$7:$A$13,1)),INDEX(Report_Scenarios!$F$7:$F$13,MATCH(MEDIAN($B64-Conversion!$B$15,2020,2050),Report_Scenarios!$A$7:$A$13,1))+(INDEX(Report_Scenarios!$F$7:$F$13,MIN(MATCH(MEDIAN($B64-Conversion!$B$15,2020,2050),Report_Scenarios!$A$7:$A$13,1)+1,7))-INDEX(Report_Scenarios!$F$7:$F$13,MATCH(MEDIAN($B64-Conversion!$B$15,2020,2050),Report_Scenarios!$A$7:$A$13,1)))*(MEDIAN($B64-Conversion!$B$15,2020,2050)-INDEX(Report_Scenarios!$A$7:$A$13,MATCH(MEDIAN($B64-Conversion!$B$15,2020,2050),Report_Scenarios!$A$7:$A$13,1)))/(INDEX(Report_Scenarios!$A$7:$A$13,MIN(MATCH(MEDIAN($B64-Conversion!$B$15,2020,2050),Report_Scenarios!$A$7:$A$13,1)+1,7))-INDEX(Report_Scenarios!$A$7:$A$13,MATCH(MEDIAN($B64-Conversion!$B$15,2020,2050),Report_Scenarios!$A$7:$A$13,1)))),IF($D64="Central",IF(INDEX(Report_Scenarios!$A$18:$A$24,MIN(MATCH(MEDIAN($B64-Conversion!$B$15,2020,2050),Report_Scenarios!$A$18:$A$24,1)+1,7))=INDEX(Report_Scenarios!$A$18:$A$24,MATCH(MEDIAN($B64-Conversion!$B$15,2020,2050),Report_Scenarios!$A$18:$A$24,1)),INDEX(Report_Scenarios!$F$18:$F$24,MATCH(MEDIAN($B64-Conversion!$B$15,2020,2050),Report_Scenarios!$A$18:$A$24,1)),INDEX(Report_Scenarios!$F$18:$F$24,MATCH(MEDIAN($B64-Conversion!$B$15,2020,2050),Report_Scenarios!$A$18:$A$24,1))+(INDEX(Report_Scenarios!$F$18:$F$24,MIN(MATCH(MEDIAN($B64-Conversion!$B$15,2020,2050),Report_Scenarios!$A$18:$A$24,1)+1,7))-INDEX(Report_Scenarios!$F$18:$F$24,MATCH(MEDIAN($B64-Conversion!$B$15,2020,2050),Report_Scenarios!$A$18:$A$24,1)))*(MEDIAN($B64-Conversion!$B$15,2020,2050)-INDEX(Report_Scenarios!$A$18:$A$24,MATCH(MEDIAN($B64-Conversion!$B$15,2020,2050),Report_Scenarios!$A$18:$A$24,1)))/(INDEX(Report_Scenarios!$A$18:$A$24,MIN(MATCH(MEDIAN($B64-Conversion!$B$15,2020,2050),Report_Scenarios!$A$18:$A$24,1)+1,7))-INDEX(Report_Scenarios!$A$18:$A$24,MATCH(MEDIAN($B64-Conversion!$B$15,2020,2050),Report_Scenarios!$A$18:$A$24,1)))),IF(INDEX(Report_Scenarios!$A$29:$A$35,MIN(MATCH(MEDIAN($B64-Conversion!$B$15,2020,2050),Report_Scenarios!$A$29:$A$35,1)+1,7))=INDEX(Report_Scenarios!$A$29:$A$35,MATCH(MEDIAN($B64-Conversion!$B$15,2020,2050),Report_Scenarios!$A$29:$A$35,1)),INDEX(Report_Scenarios!$F$29:$F$35,MATCH(MEDIAN($B64-Conversion!$B$15,2020,2050),Report_Scenarios!$A$29:$A$35,1)),INDEX(Report_Scenarios!$F$29:$F$35,MATCH(MEDIAN($B64-Conversion!$B$15,2020,2050),Report_Scenarios!$A$29:$A$35,1))+(INDEX(Report_Scenarios!$F$29:$F$35,MIN(MATCH(MEDIAN($B64-Conversion!$B$15,2020,2050),Report_Scenarios!$A$29:$A$35,1)+1,7))-INDEX(Report_Scenarios!$F$29:$F$35,MATCH(MEDIAN($B64-Conversion!$B$15,2020,2050),Report_Scenarios!$A$29:$A$35,1)))*(MEDIAN($B64-Conversion!$B$15,2020,2050)-INDEX(Report_Scenarios!$A$29:$A$35,MATCH(MEDIAN($B64-Conversion!$B$15,2020,2050),Report_Scenarios!$A$29:$A$35,1)))/(INDEX(Report_Scenarios!$A$29:$A$35,MIN(MATCH(MEDIAN($B64-Conversion!$B$15,2020,2050),Report_Scenarios!$A$29:$A$35,1)+1,7))-INDEX(Report_Scenarios!$A$29:$A$35,MATCH(MEDIAN($B64-Conversion!$B$15,2020,2050),Report_Scenarios!$A$29:$A$35,1))))))</f>
        <v/>
      </c>
      <c r="J64" s="23">
        <f>IF($D64="Conservative",IF(INDEX(Report_Scenarios!$A$7:$A$13,MIN(MATCH(MEDIAN($B64-Conversion!$B$15,2020,2050),Report_Scenarios!$A$7:$A$13,1)+1,7))=INDEX(Report_Scenarios!$A$7:$A$13,MATCH(MEDIAN($B64-Conversion!$B$15,2020,2050),Report_Scenarios!$A$7:$A$13,1)),INDEX(Report_Scenarios!$G$7:$G$13,MATCH(MEDIAN($B64-Conversion!$B$15,2020,2050),Report_Scenarios!$A$7:$A$13,1)),INDEX(Report_Scenarios!$G$7:$G$13,MATCH(MEDIAN($B64-Conversion!$B$15,2020,2050),Report_Scenarios!$A$7:$A$13,1))+(INDEX(Report_Scenarios!$G$7:$G$13,MIN(MATCH(MEDIAN($B64-Conversion!$B$15,2020,2050),Report_Scenarios!$A$7:$A$13,1)+1,7))-INDEX(Report_Scenarios!$G$7:$G$13,MATCH(MEDIAN($B64-Conversion!$B$15,2020,2050),Report_Scenarios!$A$7:$A$13,1)))*(MEDIAN($B64-Conversion!$B$15,2020,2050)-INDEX(Report_Scenarios!$A$7:$A$13,MATCH(MEDIAN($B64-Conversion!$B$15,2020,2050),Report_Scenarios!$A$7:$A$13,1)))/(INDEX(Report_Scenarios!$A$7:$A$13,MIN(MATCH(MEDIAN($B64-Conversion!$B$15,2020,2050),Report_Scenarios!$A$7:$A$13,1)+1,7))-INDEX(Report_Scenarios!$A$7:$A$13,MATCH(MEDIAN($B64-Conversion!$B$15,2020,2050),Report_Scenarios!$A$7:$A$13,1)))),IF($D64="Central",IF(INDEX(Report_Scenarios!$A$18:$A$24,MIN(MATCH(MEDIAN($B64-Conversion!$B$15,2020,2050),Report_Scenarios!$A$18:$A$24,1)+1,7))=INDEX(Report_Scenarios!$A$18:$A$24,MATCH(MEDIAN($B64-Conversion!$B$15,2020,2050),Report_Scenarios!$A$18:$A$24,1)),INDEX(Report_Scenarios!$G$18:$G$24,MATCH(MEDIAN($B64-Conversion!$B$15,2020,2050),Report_Scenarios!$A$18:$A$24,1)),INDEX(Report_Scenarios!$G$18:$G$24,MATCH(MEDIAN($B64-Conversion!$B$15,2020,2050),Report_Scenarios!$A$18:$A$24,1))+(INDEX(Report_Scenarios!$G$18:$G$24,MIN(MATCH(MEDIAN($B64-Conversion!$B$15,2020,2050),Report_Scenarios!$A$18:$A$24,1)+1,7))-INDEX(Report_Scenarios!$G$18:$G$24,MATCH(MEDIAN($B64-Conversion!$B$15,2020,2050),Report_Scenarios!$A$18:$A$24,1)))*(MEDIAN($B64-Conversion!$B$15,2020,2050)-INDEX(Report_Scenarios!$A$18:$A$24,MATCH(MEDIAN($B64-Conversion!$B$15,2020,2050),Report_Scenarios!$A$18:$A$24,1)))/(INDEX(Report_Scenarios!$A$18:$A$24,MIN(MATCH(MEDIAN($B64-Conversion!$B$15,2020,2050),Report_Scenarios!$A$18:$A$24,1)+1,7))-INDEX(Report_Scenarios!$A$18:$A$24,MATCH(MEDIAN($B64-Conversion!$B$15,2020,2050),Report_Scenarios!$A$18:$A$24,1)))),IF(INDEX(Report_Scenarios!$A$29:$A$35,MIN(MATCH(MEDIAN($B64-Conversion!$B$15,2020,2050),Report_Scenarios!$A$29:$A$35,1)+1,7))=INDEX(Report_Scenarios!$A$29:$A$35,MATCH(MEDIAN($B64-Conversion!$B$15,2020,2050),Report_Scenarios!$A$29:$A$35,1)),INDEX(Report_Scenarios!$G$29:$G$35,MATCH(MEDIAN($B64-Conversion!$B$15,2020,2050),Report_Scenarios!$A$29:$A$35,1)),INDEX(Report_Scenarios!$G$29:$G$35,MATCH(MEDIAN($B64-Conversion!$B$15,2020,2050),Report_Scenarios!$A$29:$A$35,1))+(INDEX(Report_Scenarios!$G$29:$G$35,MIN(MATCH(MEDIAN($B64-Conversion!$B$15,2020,2050),Report_Scenarios!$A$29:$A$35,1)+1,7))-INDEX(Report_Scenarios!$G$29:$G$35,MATCH(MEDIAN($B64-Conversion!$B$15,2020,2050),Report_Scenarios!$A$29:$A$35,1)))*(MEDIAN($B64-Conversion!$B$15,2020,2050)-INDEX(Report_Scenarios!$A$29:$A$35,MATCH(MEDIAN($B64-Conversion!$B$15,2020,2050),Report_Scenarios!$A$29:$A$35,1)))/(INDEX(Report_Scenarios!$A$29:$A$35,MIN(MATCH(MEDIAN($B64-Conversion!$B$15,2020,2050),Report_Scenarios!$A$29:$A$35,1)+1,7))-INDEX(Report_Scenarios!$A$29:$A$35,MATCH(MEDIAN($B64-Conversion!$B$15,2020,2050),Report_Scenarios!$A$29:$A$35,1))))))</f>
        <v/>
      </c>
      <c r="K64" s="23">
        <f>SUM(E64:J64)</f>
        <v/>
      </c>
      <c r="L64" s="23">
        <f>IF(R64&lt;&gt;"",R64,IF($K64=0,0,E64/$K64))</f>
        <v/>
      </c>
      <c r="M64" s="23">
        <f>IF(S64&lt;&gt;"",S64,IF($K64=0,0,F64/$K64))</f>
        <v/>
      </c>
      <c r="N64" s="23">
        <f>IF(T64&lt;&gt;"",T64,IF($K64=0,0,G64/$K64))</f>
        <v/>
      </c>
      <c r="O64" s="23">
        <f>IF(U64&lt;&gt;"",U64,IF($K64=0,0,H64/$K64))</f>
        <v/>
      </c>
      <c r="P64" s="23">
        <f>IF(V64&lt;&gt;"",V64,IF($K64=0,0,I64/$K64))</f>
        <v/>
      </c>
      <c r="Q64" s="23">
        <f>IF(W64&lt;&gt;"",W64,IF($K64=0,0,J64/$K64))</f>
        <v/>
      </c>
      <c r="R64" s="24" t="n"/>
      <c r="S64" s="24" t="n"/>
      <c r="T64" s="24" t="n"/>
      <c r="U64" s="24" t="n"/>
      <c r="V64" s="24" t="n"/>
      <c r="W64" s="24" t="n"/>
    </row>
    <row r="65">
      <c r="A65" s="4" t="inlineStr">
        <is>
          <t>EF</t>
        </is>
      </c>
      <c r="B65" s="4" t="n">
        <v>2020</v>
      </c>
      <c r="C65" s="4" t="inlineStr">
        <is>
          <t>Share_Min</t>
        </is>
      </c>
      <c r="D65" s="4">
        <f>Conversion!$B$18</f>
        <v/>
      </c>
      <c r="E65" s="23">
        <f>IF($D65="Conservative",IF(INDEX(Report_Scenarios!$A$7:$A$13,MIN(MATCH(MEDIAN($B65-Conversion!$B$14,2020,2050),Report_Scenarios!$A$7:$A$13,1)+1,7))=INDEX(Report_Scenarios!$A$7:$A$13,MATCH(MEDIAN($B65-Conversion!$B$14,2020,2050),Report_Scenarios!$A$7:$A$13,1)),INDEX(Report_Scenarios!$B$7:$B$13,MATCH(MEDIAN($B65-Conversion!$B$14,2020,2050),Report_Scenarios!$A$7:$A$13,1)),INDEX(Report_Scenarios!$B$7:$B$13,MATCH(MEDIAN($B65-Conversion!$B$14,2020,2050),Report_Scenarios!$A$7:$A$13,1))+(INDEX(Report_Scenarios!$B$7:$B$13,MIN(MATCH(MEDIAN($B65-Conversion!$B$14,2020,2050),Report_Scenarios!$A$7:$A$13,1)+1,7))-INDEX(Report_Scenarios!$B$7:$B$13,MATCH(MEDIAN($B65-Conversion!$B$14,2020,2050),Report_Scenarios!$A$7:$A$13,1)))*(MEDIAN($B65-Conversion!$B$14,2020,2050)-INDEX(Report_Scenarios!$A$7:$A$13,MATCH(MEDIAN($B65-Conversion!$B$14,2020,2050),Report_Scenarios!$A$7:$A$13,1)))/(INDEX(Report_Scenarios!$A$7:$A$13,MIN(MATCH(MEDIAN($B65-Conversion!$B$14,2020,2050),Report_Scenarios!$A$7:$A$13,1)+1,7))-INDEX(Report_Scenarios!$A$7:$A$13,MATCH(MEDIAN($B65-Conversion!$B$14,2020,2050),Report_Scenarios!$A$7:$A$13,1)))),IF($D65="Central",IF(INDEX(Report_Scenarios!$A$18:$A$24,MIN(MATCH(MEDIAN($B65-Conversion!$B$14,2020,2050),Report_Scenarios!$A$18:$A$24,1)+1,7))=INDEX(Report_Scenarios!$A$18:$A$24,MATCH(MEDIAN($B65-Conversion!$B$14,2020,2050),Report_Scenarios!$A$18:$A$24,1)),INDEX(Report_Scenarios!$B$18:$B$24,MATCH(MEDIAN($B65-Conversion!$B$14,2020,2050),Report_Scenarios!$A$18:$A$24,1)),INDEX(Report_Scenarios!$B$18:$B$24,MATCH(MEDIAN($B65-Conversion!$B$14,2020,2050),Report_Scenarios!$A$18:$A$24,1))+(INDEX(Report_Scenarios!$B$18:$B$24,MIN(MATCH(MEDIAN($B65-Conversion!$B$14,2020,2050),Report_Scenarios!$A$18:$A$24,1)+1,7))-INDEX(Report_Scenarios!$B$18:$B$24,MATCH(MEDIAN($B65-Conversion!$B$14,2020,2050),Report_Scenarios!$A$18:$A$24,1)))*(MEDIAN($B65-Conversion!$B$14,2020,2050)-INDEX(Report_Scenarios!$A$18:$A$24,MATCH(MEDIAN($B65-Conversion!$B$14,2020,2050),Report_Scenarios!$A$18:$A$24,1)))/(INDEX(Report_Scenarios!$A$18:$A$24,MIN(MATCH(MEDIAN($B65-Conversion!$B$14,2020,2050),Report_Scenarios!$A$18:$A$24,1)+1,7))-INDEX(Report_Scenarios!$A$18:$A$24,MATCH(MEDIAN($B65-Conversion!$B$14,2020,2050),Report_Scenarios!$A$18:$A$24,1)))),IF(INDEX(Report_Scenarios!$A$29:$A$35,MIN(MATCH(MEDIAN($B65-Conversion!$B$14,2020,2050),Report_Scenarios!$A$29:$A$35,1)+1,7))=INDEX(Report_Scenarios!$A$29:$A$35,MATCH(MEDIAN($B65-Conversion!$B$14,2020,2050),Report_Scenarios!$A$29:$A$35,1)),INDEX(Report_Scenarios!$B$29:$B$35,MATCH(MEDIAN($B65-Conversion!$B$14,2020,2050),Report_Scenarios!$A$29:$A$35,1)),INDEX(Report_Scenarios!$B$29:$B$35,MATCH(MEDIAN($B65-Conversion!$B$14,2020,2050),Report_Scenarios!$A$29:$A$35,1))+(INDEX(Report_Scenarios!$B$29:$B$35,MIN(MATCH(MEDIAN($B65-Conversion!$B$14,2020,2050),Report_Scenarios!$A$29:$A$35,1)+1,7))-INDEX(Report_Scenarios!$B$29:$B$35,MATCH(MEDIAN($B65-Conversion!$B$14,2020,2050),Report_Scenarios!$A$29:$A$35,1)))*(MEDIAN($B65-Conversion!$B$14,2020,2050)-INDEX(Report_Scenarios!$A$29:$A$35,MATCH(MEDIAN($B65-Conversion!$B$14,2020,2050),Report_Scenarios!$A$29:$A$35,1)))/(INDEX(Report_Scenarios!$A$29:$A$35,MIN(MATCH(MEDIAN($B65-Conversion!$B$14,2020,2050),Report_Scenarios!$A$29:$A$35,1)+1,7))-INDEX(Report_Scenarios!$A$29:$A$35,MATCH(MEDIAN($B65-Conversion!$B$14,2020,2050),Report_Scenarios!$A$29:$A$35,1))))))</f>
        <v/>
      </c>
      <c r="F65" s="23">
        <f>IF($D65="Conservative",IF(INDEX(Report_Scenarios!$A$7:$A$13,MIN(MATCH(MEDIAN($B65-Conversion!$B$14,2020,2050),Report_Scenarios!$A$7:$A$13,1)+1,7))=INDEX(Report_Scenarios!$A$7:$A$13,MATCH(MEDIAN($B65-Conversion!$B$14,2020,2050),Report_Scenarios!$A$7:$A$13,1)),INDEX(Report_Scenarios!$C$7:$C$13,MATCH(MEDIAN($B65-Conversion!$B$14,2020,2050),Report_Scenarios!$A$7:$A$13,1)),INDEX(Report_Scenarios!$C$7:$C$13,MATCH(MEDIAN($B65-Conversion!$B$14,2020,2050),Report_Scenarios!$A$7:$A$13,1))+(INDEX(Report_Scenarios!$C$7:$C$13,MIN(MATCH(MEDIAN($B65-Conversion!$B$14,2020,2050),Report_Scenarios!$A$7:$A$13,1)+1,7))-INDEX(Report_Scenarios!$C$7:$C$13,MATCH(MEDIAN($B65-Conversion!$B$14,2020,2050),Report_Scenarios!$A$7:$A$13,1)))*(MEDIAN($B65-Conversion!$B$14,2020,2050)-INDEX(Report_Scenarios!$A$7:$A$13,MATCH(MEDIAN($B65-Conversion!$B$14,2020,2050),Report_Scenarios!$A$7:$A$13,1)))/(INDEX(Report_Scenarios!$A$7:$A$13,MIN(MATCH(MEDIAN($B65-Conversion!$B$14,2020,2050),Report_Scenarios!$A$7:$A$13,1)+1,7))-INDEX(Report_Scenarios!$A$7:$A$13,MATCH(MEDIAN($B65-Conversion!$B$14,2020,2050),Report_Scenarios!$A$7:$A$13,1)))),IF($D65="Central",IF(INDEX(Report_Scenarios!$A$18:$A$24,MIN(MATCH(MEDIAN($B65-Conversion!$B$14,2020,2050),Report_Scenarios!$A$18:$A$24,1)+1,7))=INDEX(Report_Scenarios!$A$18:$A$24,MATCH(MEDIAN($B65-Conversion!$B$14,2020,2050),Report_Scenarios!$A$18:$A$24,1)),INDEX(Report_Scenarios!$C$18:$C$24,MATCH(MEDIAN($B65-Conversion!$B$14,2020,2050),Report_Scenarios!$A$18:$A$24,1)),INDEX(Report_Scenarios!$C$18:$C$24,MATCH(MEDIAN($B65-Conversion!$B$14,2020,2050),Report_Scenarios!$A$18:$A$24,1))+(INDEX(Report_Scenarios!$C$18:$C$24,MIN(MATCH(MEDIAN($B65-Conversion!$B$14,2020,2050),Report_Scenarios!$A$18:$A$24,1)+1,7))-INDEX(Report_Scenarios!$C$18:$C$24,MATCH(MEDIAN($B65-Conversion!$B$14,2020,2050),Report_Scenarios!$A$18:$A$24,1)))*(MEDIAN($B65-Conversion!$B$14,2020,2050)-INDEX(Report_Scenarios!$A$18:$A$24,MATCH(MEDIAN($B65-Conversion!$B$14,2020,2050),Report_Scenarios!$A$18:$A$24,1)))/(INDEX(Report_Scenarios!$A$18:$A$24,MIN(MATCH(MEDIAN($B65-Conversion!$B$14,2020,2050),Report_Scenarios!$A$18:$A$24,1)+1,7))-INDEX(Report_Scenarios!$A$18:$A$24,MATCH(MEDIAN($B65-Conversion!$B$14,2020,2050),Report_Scenarios!$A$18:$A$24,1)))),IF(INDEX(Report_Scenarios!$A$29:$A$35,MIN(MATCH(MEDIAN($B65-Conversion!$B$14,2020,2050),Report_Scenarios!$A$29:$A$35,1)+1,7))=INDEX(Report_Scenarios!$A$29:$A$35,MATCH(MEDIAN($B65-Conversion!$B$14,2020,2050),Report_Scenarios!$A$29:$A$35,1)),INDEX(Report_Scenarios!$C$29:$C$35,MATCH(MEDIAN($B65-Conversion!$B$14,2020,2050),Report_Scenarios!$A$29:$A$35,1)),INDEX(Report_Scenarios!$C$29:$C$35,MATCH(MEDIAN($B65-Conversion!$B$14,2020,2050),Report_Scenarios!$A$29:$A$35,1))+(INDEX(Report_Scenarios!$C$29:$C$35,MIN(MATCH(MEDIAN($B65-Conversion!$B$14,2020,2050),Report_Scenarios!$A$29:$A$35,1)+1,7))-INDEX(Report_Scenarios!$C$29:$C$35,MATCH(MEDIAN($B65-Conversion!$B$14,2020,2050),Report_Scenarios!$A$29:$A$35,1)))*(MEDIAN($B65-Conversion!$B$14,2020,2050)-INDEX(Report_Scenarios!$A$29:$A$35,MATCH(MEDIAN($B65-Conversion!$B$14,2020,2050),Report_Scenarios!$A$29:$A$35,1)))/(INDEX(Report_Scenarios!$A$29:$A$35,MIN(MATCH(MEDIAN($B65-Conversion!$B$14,2020,2050),Report_Scenarios!$A$29:$A$35,1)+1,7))-INDEX(Report_Scenarios!$A$29:$A$35,MATCH(MEDIAN($B65-Conversion!$B$14,2020,2050),Report_Scenarios!$A$29:$A$35,1))))))</f>
        <v/>
      </c>
      <c r="G65" s="23">
        <f>IF($D65="Conservative",IF(INDEX(Report_Scenarios!$A$7:$A$13,MIN(MATCH(MEDIAN($B65-Conversion!$B$14,2020,2050),Report_Scenarios!$A$7:$A$13,1)+1,7))=INDEX(Report_Scenarios!$A$7:$A$13,MATCH(MEDIAN($B65-Conversion!$B$14,2020,2050),Report_Scenarios!$A$7:$A$13,1)),INDEX(Report_Scenarios!$D$7:$D$13,MATCH(MEDIAN($B65-Conversion!$B$14,2020,2050),Report_Scenarios!$A$7:$A$13,1)),INDEX(Report_Scenarios!$D$7:$D$13,MATCH(MEDIAN($B65-Conversion!$B$14,2020,2050),Report_Scenarios!$A$7:$A$13,1))+(INDEX(Report_Scenarios!$D$7:$D$13,MIN(MATCH(MEDIAN($B65-Conversion!$B$14,2020,2050),Report_Scenarios!$A$7:$A$13,1)+1,7))-INDEX(Report_Scenarios!$D$7:$D$13,MATCH(MEDIAN($B65-Conversion!$B$14,2020,2050),Report_Scenarios!$A$7:$A$13,1)))*(MEDIAN($B65-Conversion!$B$14,2020,2050)-INDEX(Report_Scenarios!$A$7:$A$13,MATCH(MEDIAN($B65-Conversion!$B$14,2020,2050),Report_Scenarios!$A$7:$A$13,1)))/(INDEX(Report_Scenarios!$A$7:$A$13,MIN(MATCH(MEDIAN($B65-Conversion!$B$14,2020,2050),Report_Scenarios!$A$7:$A$13,1)+1,7))-INDEX(Report_Scenarios!$A$7:$A$13,MATCH(MEDIAN($B65-Conversion!$B$14,2020,2050),Report_Scenarios!$A$7:$A$13,1)))),IF($D65="Central",IF(INDEX(Report_Scenarios!$A$18:$A$24,MIN(MATCH(MEDIAN($B65-Conversion!$B$14,2020,2050),Report_Scenarios!$A$18:$A$24,1)+1,7))=INDEX(Report_Scenarios!$A$18:$A$24,MATCH(MEDIAN($B65-Conversion!$B$14,2020,2050),Report_Scenarios!$A$18:$A$24,1)),INDEX(Report_Scenarios!$D$18:$D$24,MATCH(MEDIAN($B65-Conversion!$B$14,2020,2050),Report_Scenarios!$A$18:$A$24,1)),INDEX(Report_Scenarios!$D$18:$D$24,MATCH(MEDIAN($B65-Conversion!$B$14,2020,2050),Report_Scenarios!$A$18:$A$24,1))+(INDEX(Report_Scenarios!$D$18:$D$24,MIN(MATCH(MEDIAN($B65-Conversion!$B$14,2020,2050),Report_Scenarios!$A$18:$A$24,1)+1,7))-INDEX(Report_Scenarios!$D$18:$D$24,MATCH(MEDIAN($B65-Conversion!$B$14,2020,2050),Report_Scenarios!$A$18:$A$24,1)))*(MEDIAN($B65-Conversion!$B$14,2020,2050)-INDEX(Report_Scenarios!$A$18:$A$24,MATCH(MEDIAN($B65-Conversion!$B$14,2020,2050),Report_Scenarios!$A$18:$A$24,1)))/(INDEX(Report_Scenarios!$A$18:$A$24,MIN(MATCH(MEDIAN($B65-Conversion!$B$14,2020,2050),Report_Scenarios!$A$18:$A$24,1)+1,7))-INDEX(Report_Scenarios!$A$18:$A$24,MATCH(MEDIAN($B65-Conversion!$B$14,2020,2050),Report_Scenarios!$A$18:$A$24,1)))),IF(INDEX(Report_Scenarios!$A$29:$A$35,MIN(MATCH(MEDIAN($B65-Conversion!$B$14,2020,2050),Report_Scenarios!$A$29:$A$35,1)+1,7))=INDEX(Report_Scenarios!$A$29:$A$35,MATCH(MEDIAN($B65-Conversion!$B$14,2020,2050),Report_Scenarios!$A$29:$A$35,1)),INDEX(Report_Scenarios!$D$29:$D$35,MATCH(MEDIAN($B65-Conversion!$B$14,2020,2050),Report_Scenarios!$A$29:$A$35,1)),INDEX(Report_Scenarios!$D$29:$D$35,MATCH(MEDIAN($B65-Conversion!$B$14,2020,2050),Report_Scenarios!$A$29:$A$35,1))+(INDEX(Report_Scenarios!$D$29:$D$35,MIN(MATCH(MEDIAN($B65-Conversion!$B$14,2020,2050),Report_Scenarios!$A$29:$A$35,1)+1,7))-INDEX(Report_Scenarios!$D$29:$D$35,MATCH(MEDIAN($B65-Conversion!$B$14,2020,2050),Report_Scenarios!$A$29:$A$35,1)))*(MEDIAN($B65-Conversion!$B$14,2020,2050)-INDEX(Report_Scenarios!$A$29:$A$35,MATCH(MEDIAN($B65-Conversion!$B$14,2020,2050),Report_Scenarios!$A$29:$A$35,1)))/(INDEX(Report_Scenarios!$A$29:$A$35,MIN(MATCH(MEDIAN($B65-Conversion!$B$14,2020,2050),Report_Scenarios!$A$29:$A$35,1)+1,7))-INDEX(Report_Scenarios!$A$29:$A$35,MATCH(MEDIAN($B65-Conversion!$B$14,2020,2050),Report_Scenarios!$A$29:$A$35,1))))))</f>
        <v/>
      </c>
      <c r="H65" s="23">
        <f>IF($D65="Conservative",IF(INDEX(Report_Scenarios!$A$7:$A$13,MIN(MATCH(MEDIAN($B65-Conversion!$B$14,2020,2050),Report_Scenarios!$A$7:$A$13,1)+1,7))=INDEX(Report_Scenarios!$A$7:$A$13,MATCH(MEDIAN($B65-Conversion!$B$14,2020,2050),Report_Scenarios!$A$7:$A$13,1)),INDEX(Report_Scenarios!$E$7:$E$13,MATCH(MEDIAN($B65-Conversion!$B$14,2020,2050),Report_Scenarios!$A$7:$A$13,1)),INDEX(Report_Scenarios!$E$7:$E$13,MATCH(MEDIAN($B65-Conversion!$B$14,2020,2050),Report_Scenarios!$A$7:$A$13,1))+(INDEX(Report_Scenarios!$E$7:$E$13,MIN(MATCH(MEDIAN($B65-Conversion!$B$14,2020,2050),Report_Scenarios!$A$7:$A$13,1)+1,7))-INDEX(Report_Scenarios!$E$7:$E$13,MATCH(MEDIAN($B65-Conversion!$B$14,2020,2050),Report_Scenarios!$A$7:$A$13,1)))*(MEDIAN($B65-Conversion!$B$14,2020,2050)-INDEX(Report_Scenarios!$A$7:$A$13,MATCH(MEDIAN($B65-Conversion!$B$14,2020,2050),Report_Scenarios!$A$7:$A$13,1)))/(INDEX(Report_Scenarios!$A$7:$A$13,MIN(MATCH(MEDIAN($B65-Conversion!$B$14,2020,2050),Report_Scenarios!$A$7:$A$13,1)+1,7))-INDEX(Report_Scenarios!$A$7:$A$13,MATCH(MEDIAN($B65-Conversion!$B$14,2020,2050),Report_Scenarios!$A$7:$A$13,1)))),IF($D65="Central",IF(INDEX(Report_Scenarios!$A$18:$A$24,MIN(MATCH(MEDIAN($B65-Conversion!$B$14,2020,2050),Report_Scenarios!$A$18:$A$24,1)+1,7))=INDEX(Report_Scenarios!$A$18:$A$24,MATCH(MEDIAN($B65-Conversion!$B$14,2020,2050),Report_Scenarios!$A$18:$A$24,1)),INDEX(Report_Scenarios!$E$18:$E$24,MATCH(MEDIAN($B65-Conversion!$B$14,2020,2050),Report_Scenarios!$A$18:$A$24,1)),INDEX(Report_Scenarios!$E$18:$E$24,MATCH(MEDIAN($B65-Conversion!$B$14,2020,2050),Report_Scenarios!$A$18:$A$24,1))+(INDEX(Report_Scenarios!$E$18:$E$24,MIN(MATCH(MEDIAN($B65-Conversion!$B$14,2020,2050),Report_Scenarios!$A$18:$A$24,1)+1,7))-INDEX(Report_Scenarios!$E$18:$E$24,MATCH(MEDIAN($B65-Conversion!$B$14,2020,2050),Report_Scenarios!$A$18:$A$24,1)))*(MEDIAN($B65-Conversion!$B$14,2020,2050)-INDEX(Report_Scenarios!$A$18:$A$24,MATCH(MEDIAN($B65-Conversion!$B$14,2020,2050),Report_Scenarios!$A$18:$A$24,1)))/(INDEX(Report_Scenarios!$A$18:$A$24,MIN(MATCH(MEDIAN($B65-Conversion!$B$14,2020,2050),Report_Scenarios!$A$18:$A$24,1)+1,7))-INDEX(Report_Scenarios!$A$18:$A$24,MATCH(MEDIAN($B65-Conversion!$B$14,2020,2050),Report_Scenarios!$A$18:$A$24,1)))),IF(INDEX(Report_Scenarios!$A$29:$A$35,MIN(MATCH(MEDIAN($B65-Conversion!$B$14,2020,2050),Report_Scenarios!$A$29:$A$35,1)+1,7))=INDEX(Report_Scenarios!$A$29:$A$35,MATCH(MEDIAN($B65-Conversion!$B$14,2020,2050),Report_Scenarios!$A$29:$A$35,1)),INDEX(Report_Scenarios!$E$29:$E$35,MATCH(MEDIAN($B65-Conversion!$B$14,2020,2050),Report_Scenarios!$A$29:$A$35,1)),INDEX(Report_Scenarios!$E$29:$E$35,MATCH(MEDIAN($B65-Conversion!$B$14,2020,2050),Report_Scenarios!$A$29:$A$35,1))+(INDEX(Report_Scenarios!$E$29:$E$35,MIN(MATCH(MEDIAN($B65-Conversion!$B$14,2020,2050),Report_Scenarios!$A$29:$A$35,1)+1,7))-INDEX(Report_Scenarios!$E$29:$E$35,MATCH(MEDIAN($B65-Conversion!$B$14,2020,2050),Report_Scenarios!$A$29:$A$35,1)))*(MEDIAN($B65-Conversion!$B$14,2020,2050)-INDEX(Report_Scenarios!$A$29:$A$35,MATCH(MEDIAN($B65-Conversion!$B$14,2020,2050),Report_Scenarios!$A$29:$A$35,1)))/(INDEX(Report_Scenarios!$A$29:$A$35,MIN(MATCH(MEDIAN($B65-Conversion!$B$14,2020,2050),Report_Scenarios!$A$29:$A$35,1)+1,7))-INDEX(Report_Scenarios!$A$29:$A$35,MATCH(MEDIAN($B65-Conversion!$B$14,2020,2050),Report_Scenarios!$A$29:$A$35,1))))))</f>
        <v/>
      </c>
      <c r="I65" s="23">
        <f>IF($D65="Conservative",IF(INDEX(Report_Scenarios!$A$7:$A$13,MIN(MATCH(MEDIAN($B65-Conversion!$B$14,2020,2050),Report_Scenarios!$A$7:$A$13,1)+1,7))=INDEX(Report_Scenarios!$A$7:$A$13,MATCH(MEDIAN($B65-Conversion!$B$14,2020,2050),Report_Scenarios!$A$7:$A$13,1)),INDEX(Report_Scenarios!$F$7:$F$13,MATCH(MEDIAN($B65-Conversion!$B$14,2020,2050),Report_Scenarios!$A$7:$A$13,1)),INDEX(Report_Scenarios!$F$7:$F$13,MATCH(MEDIAN($B65-Conversion!$B$14,2020,2050),Report_Scenarios!$A$7:$A$13,1))+(INDEX(Report_Scenarios!$F$7:$F$13,MIN(MATCH(MEDIAN($B65-Conversion!$B$14,2020,2050),Report_Scenarios!$A$7:$A$13,1)+1,7))-INDEX(Report_Scenarios!$F$7:$F$13,MATCH(MEDIAN($B65-Conversion!$B$14,2020,2050),Report_Scenarios!$A$7:$A$13,1)))*(MEDIAN($B65-Conversion!$B$14,2020,2050)-INDEX(Report_Scenarios!$A$7:$A$13,MATCH(MEDIAN($B65-Conversion!$B$14,2020,2050),Report_Scenarios!$A$7:$A$13,1)))/(INDEX(Report_Scenarios!$A$7:$A$13,MIN(MATCH(MEDIAN($B65-Conversion!$B$14,2020,2050),Report_Scenarios!$A$7:$A$13,1)+1,7))-INDEX(Report_Scenarios!$A$7:$A$13,MATCH(MEDIAN($B65-Conversion!$B$14,2020,2050),Report_Scenarios!$A$7:$A$13,1)))),IF($D65="Central",IF(INDEX(Report_Scenarios!$A$18:$A$24,MIN(MATCH(MEDIAN($B65-Conversion!$B$14,2020,2050),Report_Scenarios!$A$18:$A$24,1)+1,7))=INDEX(Report_Scenarios!$A$18:$A$24,MATCH(MEDIAN($B65-Conversion!$B$14,2020,2050),Report_Scenarios!$A$18:$A$24,1)),INDEX(Report_Scenarios!$F$18:$F$24,MATCH(MEDIAN($B65-Conversion!$B$14,2020,2050),Report_Scenarios!$A$18:$A$24,1)),INDEX(Report_Scenarios!$F$18:$F$24,MATCH(MEDIAN($B65-Conversion!$B$14,2020,2050),Report_Scenarios!$A$18:$A$24,1))+(INDEX(Report_Scenarios!$F$18:$F$24,MIN(MATCH(MEDIAN($B65-Conversion!$B$14,2020,2050),Report_Scenarios!$A$18:$A$24,1)+1,7))-INDEX(Report_Scenarios!$F$18:$F$24,MATCH(MEDIAN($B65-Conversion!$B$14,2020,2050),Report_Scenarios!$A$18:$A$24,1)))*(MEDIAN($B65-Conversion!$B$14,2020,2050)-INDEX(Report_Scenarios!$A$18:$A$24,MATCH(MEDIAN($B65-Conversion!$B$14,2020,2050),Report_Scenarios!$A$18:$A$24,1)))/(INDEX(Report_Scenarios!$A$18:$A$24,MIN(MATCH(MEDIAN($B65-Conversion!$B$14,2020,2050),Report_Scenarios!$A$18:$A$24,1)+1,7))-INDEX(Report_Scenarios!$A$18:$A$24,MATCH(MEDIAN($B65-Conversion!$B$14,2020,2050),Report_Scenarios!$A$18:$A$24,1)))),IF(INDEX(Report_Scenarios!$A$29:$A$35,MIN(MATCH(MEDIAN($B65-Conversion!$B$14,2020,2050),Report_Scenarios!$A$29:$A$35,1)+1,7))=INDEX(Report_Scenarios!$A$29:$A$35,MATCH(MEDIAN($B65-Conversion!$B$14,2020,2050),Report_Scenarios!$A$29:$A$35,1)),INDEX(Report_Scenarios!$F$29:$F$35,MATCH(MEDIAN($B65-Conversion!$B$14,2020,2050),Report_Scenarios!$A$29:$A$35,1)),INDEX(Report_Scenarios!$F$29:$F$35,MATCH(MEDIAN($B65-Conversion!$B$14,2020,2050),Report_Scenarios!$A$29:$A$35,1))+(INDEX(Report_Scenarios!$F$29:$F$35,MIN(MATCH(MEDIAN($B65-Conversion!$B$14,2020,2050),Report_Scenarios!$A$29:$A$35,1)+1,7))-INDEX(Report_Scenarios!$F$29:$F$35,MATCH(MEDIAN($B65-Conversion!$B$14,2020,2050),Report_Scenarios!$A$29:$A$35,1)))*(MEDIAN($B65-Conversion!$B$14,2020,2050)-INDEX(Report_Scenarios!$A$29:$A$35,MATCH(MEDIAN($B65-Conversion!$B$14,2020,2050),Report_Scenarios!$A$29:$A$35,1)))/(INDEX(Report_Scenarios!$A$29:$A$35,MIN(MATCH(MEDIAN($B65-Conversion!$B$14,2020,2050),Report_Scenarios!$A$29:$A$35,1)+1,7))-INDEX(Report_Scenarios!$A$29:$A$35,MATCH(MEDIAN($B65-Conversion!$B$14,2020,2050),Report_Scenarios!$A$29:$A$35,1))))))</f>
        <v/>
      </c>
      <c r="J65" s="23">
        <f>IF($D65="Conservative",IF(INDEX(Report_Scenarios!$A$7:$A$13,MIN(MATCH(MEDIAN($B65-Conversion!$B$14,2020,2050),Report_Scenarios!$A$7:$A$13,1)+1,7))=INDEX(Report_Scenarios!$A$7:$A$13,MATCH(MEDIAN($B65-Conversion!$B$14,2020,2050),Report_Scenarios!$A$7:$A$13,1)),INDEX(Report_Scenarios!$G$7:$G$13,MATCH(MEDIAN($B65-Conversion!$B$14,2020,2050),Report_Scenarios!$A$7:$A$13,1)),INDEX(Report_Scenarios!$G$7:$G$13,MATCH(MEDIAN($B65-Conversion!$B$14,2020,2050),Report_Scenarios!$A$7:$A$13,1))+(INDEX(Report_Scenarios!$G$7:$G$13,MIN(MATCH(MEDIAN($B65-Conversion!$B$14,2020,2050),Report_Scenarios!$A$7:$A$13,1)+1,7))-INDEX(Report_Scenarios!$G$7:$G$13,MATCH(MEDIAN($B65-Conversion!$B$14,2020,2050),Report_Scenarios!$A$7:$A$13,1)))*(MEDIAN($B65-Conversion!$B$14,2020,2050)-INDEX(Report_Scenarios!$A$7:$A$13,MATCH(MEDIAN($B65-Conversion!$B$14,2020,2050),Report_Scenarios!$A$7:$A$13,1)))/(INDEX(Report_Scenarios!$A$7:$A$13,MIN(MATCH(MEDIAN($B65-Conversion!$B$14,2020,2050),Report_Scenarios!$A$7:$A$13,1)+1,7))-INDEX(Report_Scenarios!$A$7:$A$13,MATCH(MEDIAN($B65-Conversion!$B$14,2020,2050),Report_Scenarios!$A$7:$A$13,1)))),IF($D65="Central",IF(INDEX(Report_Scenarios!$A$18:$A$24,MIN(MATCH(MEDIAN($B65-Conversion!$B$14,2020,2050),Report_Scenarios!$A$18:$A$24,1)+1,7))=INDEX(Report_Scenarios!$A$18:$A$24,MATCH(MEDIAN($B65-Conversion!$B$14,2020,2050),Report_Scenarios!$A$18:$A$24,1)),INDEX(Report_Scenarios!$G$18:$G$24,MATCH(MEDIAN($B65-Conversion!$B$14,2020,2050),Report_Scenarios!$A$18:$A$24,1)),INDEX(Report_Scenarios!$G$18:$G$24,MATCH(MEDIAN($B65-Conversion!$B$14,2020,2050),Report_Scenarios!$A$18:$A$24,1))+(INDEX(Report_Scenarios!$G$18:$G$24,MIN(MATCH(MEDIAN($B65-Conversion!$B$14,2020,2050),Report_Scenarios!$A$18:$A$24,1)+1,7))-INDEX(Report_Scenarios!$G$18:$G$24,MATCH(MEDIAN($B65-Conversion!$B$14,2020,2050),Report_Scenarios!$A$18:$A$24,1)))*(MEDIAN($B65-Conversion!$B$14,2020,2050)-INDEX(Report_Scenarios!$A$18:$A$24,MATCH(MEDIAN($B65-Conversion!$B$14,2020,2050),Report_Scenarios!$A$18:$A$24,1)))/(INDEX(Report_Scenarios!$A$18:$A$24,MIN(MATCH(MEDIAN($B65-Conversion!$B$14,2020,2050),Report_Scenarios!$A$18:$A$24,1)+1,7))-INDEX(Report_Scenarios!$A$18:$A$24,MATCH(MEDIAN($B65-Conversion!$B$14,2020,2050),Report_Scenarios!$A$18:$A$24,1)))),IF(INDEX(Report_Scenarios!$A$29:$A$35,MIN(MATCH(MEDIAN($B65-Conversion!$B$14,2020,2050),Report_Scenarios!$A$29:$A$35,1)+1,7))=INDEX(Report_Scenarios!$A$29:$A$35,MATCH(MEDIAN($B65-Conversion!$B$14,2020,2050),Report_Scenarios!$A$29:$A$35,1)),INDEX(Report_Scenarios!$G$29:$G$35,MATCH(MEDIAN($B65-Conversion!$B$14,2020,2050),Report_Scenarios!$A$29:$A$35,1)),INDEX(Report_Scenarios!$G$29:$G$35,MATCH(MEDIAN($B65-Conversion!$B$14,2020,2050),Report_Scenarios!$A$29:$A$35,1))+(INDEX(Report_Scenarios!$G$29:$G$35,MIN(MATCH(MEDIAN($B65-Conversion!$B$14,2020,2050),Report_Scenarios!$A$29:$A$35,1)+1,7))-INDEX(Report_Scenarios!$G$29:$G$35,MATCH(MEDIAN($B65-Conversion!$B$14,2020,2050),Report_Scenarios!$A$29:$A$35,1)))*(MEDIAN($B65-Conversion!$B$14,2020,2050)-INDEX(Report_Scenarios!$A$29:$A$35,MATCH(MEDIAN($B65-Conversion!$B$14,2020,2050),Report_Scenarios!$A$29:$A$35,1)))/(INDEX(Report_Scenarios!$A$29:$A$35,MIN(MATCH(MEDIAN($B65-Conversion!$B$14,2020,2050),Report_Scenarios!$A$29:$A$35,1)+1,7))-INDEX(Report_Scenarios!$A$29:$A$35,MATCH(MEDIAN($B65-Conversion!$B$14,2020,2050),Report_Scenarios!$A$29:$A$35,1))))))</f>
        <v/>
      </c>
      <c r="K65" s="23">
        <f>SUM(E65:J65)</f>
        <v/>
      </c>
      <c r="L65" s="23">
        <f>IF(R65&lt;&gt;"",R65,IF($K65=0,0,E65/$K65))</f>
        <v/>
      </c>
      <c r="M65" s="23">
        <f>IF(S65&lt;&gt;"",S65,IF($K65=0,0,F65/$K65))</f>
        <v/>
      </c>
      <c r="N65" s="23">
        <f>IF(T65&lt;&gt;"",T65,IF($K65=0,0,G65/$K65))</f>
        <v/>
      </c>
      <c r="O65" s="23">
        <f>IF(U65&lt;&gt;"",U65,IF($K65=0,0,H65/$K65))</f>
        <v/>
      </c>
      <c r="P65" s="23">
        <f>IF(V65&lt;&gt;"",V65,IF($K65=0,0,I65/$K65))</f>
        <v/>
      </c>
      <c r="Q65" s="23">
        <f>IF(W65&lt;&gt;"",W65,IF($K65=0,0,J65/$K65))</f>
        <v/>
      </c>
      <c r="R65" s="24" t="n"/>
      <c r="S65" s="24" t="n"/>
      <c r="T65" s="24" t="n"/>
      <c r="U65" s="24" t="n"/>
      <c r="V65" s="24" t="n"/>
      <c r="W65" s="24" t="n"/>
    </row>
    <row r="66">
      <c r="A66" s="4" t="inlineStr">
        <is>
          <t>EF</t>
        </is>
      </c>
      <c r="B66" s="4" t="n">
        <v>2020</v>
      </c>
      <c r="C66" s="4" t="inlineStr">
        <is>
          <t>Share_Mode</t>
        </is>
      </c>
      <c r="D66" s="4">
        <f>Conversion!$B$19</f>
        <v/>
      </c>
      <c r="E66" s="23">
        <f>IF($D66="Conservative",IF(INDEX(Report_Scenarios!$A$7:$A$13,MIN(MATCH(MEDIAN($B66-Conversion!$B$14,2020,2050),Report_Scenarios!$A$7:$A$13,1)+1,7))=INDEX(Report_Scenarios!$A$7:$A$13,MATCH(MEDIAN($B66-Conversion!$B$14,2020,2050),Report_Scenarios!$A$7:$A$13,1)),INDEX(Report_Scenarios!$B$7:$B$13,MATCH(MEDIAN($B66-Conversion!$B$14,2020,2050),Report_Scenarios!$A$7:$A$13,1)),INDEX(Report_Scenarios!$B$7:$B$13,MATCH(MEDIAN($B66-Conversion!$B$14,2020,2050),Report_Scenarios!$A$7:$A$13,1))+(INDEX(Report_Scenarios!$B$7:$B$13,MIN(MATCH(MEDIAN($B66-Conversion!$B$14,2020,2050),Report_Scenarios!$A$7:$A$13,1)+1,7))-INDEX(Report_Scenarios!$B$7:$B$13,MATCH(MEDIAN($B66-Conversion!$B$14,2020,2050),Report_Scenarios!$A$7:$A$13,1)))*(MEDIAN($B66-Conversion!$B$14,2020,2050)-INDEX(Report_Scenarios!$A$7:$A$13,MATCH(MEDIAN($B66-Conversion!$B$14,2020,2050),Report_Scenarios!$A$7:$A$13,1)))/(INDEX(Report_Scenarios!$A$7:$A$13,MIN(MATCH(MEDIAN($B66-Conversion!$B$14,2020,2050),Report_Scenarios!$A$7:$A$13,1)+1,7))-INDEX(Report_Scenarios!$A$7:$A$13,MATCH(MEDIAN($B66-Conversion!$B$14,2020,2050),Report_Scenarios!$A$7:$A$13,1)))),IF($D66="Central",IF(INDEX(Report_Scenarios!$A$18:$A$24,MIN(MATCH(MEDIAN($B66-Conversion!$B$14,2020,2050),Report_Scenarios!$A$18:$A$24,1)+1,7))=INDEX(Report_Scenarios!$A$18:$A$24,MATCH(MEDIAN($B66-Conversion!$B$14,2020,2050),Report_Scenarios!$A$18:$A$24,1)),INDEX(Report_Scenarios!$B$18:$B$24,MATCH(MEDIAN($B66-Conversion!$B$14,2020,2050),Report_Scenarios!$A$18:$A$24,1)),INDEX(Report_Scenarios!$B$18:$B$24,MATCH(MEDIAN($B66-Conversion!$B$14,2020,2050),Report_Scenarios!$A$18:$A$24,1))+(INDEX(Report_Scenarios!$B$18:$B$24,MIN(MATCH(MEDIAN($B66-Conversion!$B$14,2020,2050),Report_Scenarios!$A$18:$A$24,1)+1,7))-INDEX(Report_Scenarios!$B$18:$B$24,MATCH(MEDIAN($B66-Conversion!$B$14,2020,2050),Report_Scenarios!$A$18:$A$24,1)))*(MEDIAN($B66-Conversion!$B$14,2020,2050)-INDEX(Report_Scenarios!$A$18:$A$24,MATCH(MEDIAN($B66-Conversion!$B$14,2020,2050),Report_Scenarios!$A$18:$A$24,1)))/(INDEX(Report_Scenarios!$A$18:$A$24,MIN(MATCH(MEDIAN($B66-Conversion!$B$14,2020,2050),Report_Scenarios!$A$18:$A$24,1)+1,7))-INDEX(Report_Scenarios!$A$18:$A$24,MATCH(MEDIAN($B66-Conversion!$B$14,2020,2050),Report_Scenarios!$A$18:$A$24,1)))),IF(INDEX(Report_Scenarios!$A$29:$A$35,MIN(MATCH(MEDIAN($B66-Conversion!$B$14,2020,2050),Report_Scenarios!$A$29:$A$35,1)+1,7))=INDEX(Report_Scenarios!$A$29:$A$35,MATCH(MEDIAN($B66-Conversion!$B$14,2020,2050),Report_Scenarios!$A$29:$A$35,1)),INDEX(Report_Scenarios!$B$29:$B$35,MATCH(MEDIAN($B66-Conversion!$B$14,2020,2050),Report_Scenarios!$A$29:$A$35,1)),INDEX(Report_Scenarios!$B$29:$B$35,MATCH(MEDIAN($B66-Conversion!$B$14,2020,2050),Report_Scenarios!$A$29:$A$35,1))+(INDEX(Report_Scenarios!$B$29:$B$35,MIN(MATCH(MEDIAN($B66-Conversion!$B$14,2020,2050),Report_Scenarios!$A$29:$A$35,1)+1,7))-INDEX(Report_Scenarios!$B$29:$B$35,MATCH(MEDIAN($B66-Conversion!$B$14,2020,2050),Report_Scenarios!$A$29:$A$35,1)))*(MEDIAN($B66-Conversion!$B$14,2020,2050)-INDEX(Report_Scenarios!$A$29:$A$35,MATCH(MEDIAN($B66-Conversion!$B$14,2020,2050),Report_Scenarios!$A$29:$A$35,1)))/(INDEX(Report_Scenarios!$A$29:$A$35,MIN(MATCH(MEDIAN($B66-Conversion!$B$14,2020,2050),Report_Scenarios!$A$29:$A$35,1)+1,7))-INDEX(Report_Scenarios!$A$29:$A$35,MATCH(MEDIAN($B66-Conversion!$B$14,2020,2050),Report_Scenarios!$A$29:$A$35,1))))))</f>
        <v/>
      </c>
      <c r="F66" s="23">
        <f>IF($D66="Conservative",IF(INDEX(Report_Scenarios!$A$7:$A$13,MIN(MATCH(MEDIAN($B66-Conversion!$B$14,2020,2050),Report_Scenarios!$A$7:$A$13,1)+1,7))=INDEX(Report_Scenarios!$A$7:$A$13,MATCH(MEDIAN($B66-Conversion!$B$14,2020,2050),Report_Scenarios!$A$7:$A$13,1)),INDEX(Report_Scenarios!$C$7:$C$13,MATCH(MEDIAN($B66-Conversion!$B$14,2020,2050),Report_Scenarios!$A$7:$A$13,1)),INDEX(Report_Scenarios!$C$7:$C$13,MATCH(MEDIAN($B66-Conversion!$B$14,2020,2050),Report_Scenarios!$A$7:$A$13,1))+(INDEX(Report_Scenarios!$C$7:$C$13,MIN(MATCH(MEDIAN($B66-Conversion!$B$14,2020,2050),Report_Scenarios!$A$7:$A$13,1)+1,7))-INDEX(Report_Scenarios!$C$7:$C$13,MATCH(MEDIAN($B66-Conversion!$B$14,2020,2050),Report_Scenarios!$A$7:$A$13,1)))*(MEDIAN($B66-Conversion!$B$14,2020,2050)-INDEX(Report_Scenarios!$A$7:$A$13,MATCH(MEDIAN($B66-Conversion!$B$14,2020,2050),Report_Scenarios!$A$7:$A$13,1)))/(INDEX(Report_Scenarios!$A$7:$A$13,MIN(MATCH(MEDIAN($B66-Conversion!$B$14,2020,2050),Report_Scenarios!$A$7:$A$13,1)+1,7))-INDEX(Report_Scenarios!$A$7:$A$13,MATCH(MEDIAN($B66-Conversion!$B$14,2020,2050),Report_Scenarios!$A$7:$A$13,1)))),IF($D66="Central",IF(INDEX(Report_Scenarios!$A$18:$A$24,MIN(MATCH(MEDIAN($B66-Conversion!$B$14,2020,2050),Report_Scenarios!$A$18:$A$24,1)+1,7))=INDEX(Report_Scenarios!$A$18:$A$24,MATCH(MEDIAN($B66-Conversion!$B$14,2020,2050),Report_Scenarios!$A$18:$A$24,1)),INDEX(Report_Scenarios!$C$18:$C$24,MATCH(MEDIAN($B66-Conversion!$B$14,2020,2050),Report_Scenarios!$A$18:$A$24,1)),INDEX(Report_Scenarios!$C$18:$C$24,MATCH(MEDIAN($B66-Conversion!$B$14,2020,2050),Report_Scenarios!$A$18:$A$24,1))+(INDEX(Report_Scenarios!$C$18:$C$24,MIN(MATCH(MEDIAN($B66-Conversion!$B$14,2020,2050),Report_Scenarios!$A$18:$A$24,1)+1,7))-INDEX(Report_Scenarios!$C$18:$C$24,MATCH(MEDIAN($B66-Conversion!$B$14,2020,2050),Report_Scenarios!$A$18:$A$24,1)))*(MEDIAN($B66-Conversion!$B$14,2020,2050)-INDEX(Report_Scenarios!$A$18:$A$24,MATCH(MEDIAN($B66-Conversion!$B$14,2020,2050),Report_Scenarios!$A$18:$A$24,1)))/(INDEX(Report_Scenarios!$A$18:$A$24,MIN(MATCH(MEDIAN($B66-Conversion!$B$14,2020,2050),Report_Scenarios!$A$18:$A$24,1)+1,7))-INDEX(Report_Scenarios!$A$18:$A$24,MATCH(MEDIAN($B66-Conversion!$B$14,2020,2050),Report_Scenarios!$A$18:$A$24,1)))),IF(INDEX(Report_Scenarios!$A$29:$A$35,MIN(MATCH(MEDIAN($B66-Conversion!$B$14,2020,2050),Report_Scenarios!$A$29:$A$35,1)+1,7))=INDEX(Report_Scenarios!$A$29:$A$35,MATCH(MEDIAN($B66-Conversion!$B$14,2020,2050),Report_Scenarios!$A$29:$A$35,1)),INDEX(Report_Scenarios!$C$29:$C$35,MATCH(MEDIAN($B66-Conversion!$B$14,2020,2050),Report_Scenarios!$A$29:$A$35,1)),INDEX(Report_Scenarios!$C$29:$C$35,MATCH(MEDIAN($B66-Conversion!$B$14,2020,2050),Report_Scenarios!$A$29:$A$35,1))+(INDEX(Report_Scenarios!$C$29:$C$35,MIN(MATCH(MEDIAN($B66-Conversion!$B$14,2020,2050),Report_Scenarios!$A$29:$A$35,1)+1,7))-INDEX(Report_Scenarios!$C$29:$C$35,MATCH(MEDIAN($B66-Conversion!$B$14,2020,2050),Report_Scenarios!$A$29:$A$35,1)))*(MEDIAN($B66-Conversion!$B$14,2020,2050)-INDEX(Report_Scenarios!$A$29:$A$35,MATCH(MEDIAN($B66-Conversion!$B$14,2020,2050),Report_Scenarios!$A$29:$A$35,1)))/(INDEX(Report_Scenarios!$A$29:$A$35,MIN(MATCH(MEDIAN($B66-Conversion!$B$14,2020,2050),Report_Scenarios!$A$29:$A$35,1)+1,7))-INDEX(Report_Scenarios!$A$29:$A$35,MATCH(MEDIAN($B66-Conversion!$B$14,2020,2050),Report_Scenarios!$A$29:$A$35,1))))))</f>
        <v/>
      </c>
      <c r="G66" s="23">
        <f>IF($D66="Conservative",IF(INDEX(Report_Scenarios!$A$7:$A$13,MIN(MATCH(MEDIAN($B66-Conversion!$B$14,2020,2050),Report_Scenarios!$A$7:$A$13,1)+1,7))=INDEX(Report_Scenarios!$A$7:$A$13,MATCH(MEDIAN($B66-Conversion!$B$14,2020,2050),Report_Scenarios!$A$7:$A$13,1)),INDEX(Report_Scenarios!$D$7:$D$13,MATCH(MEDIAN($B66-Conversion!$B$14,2020,2050),Report_Scenarios!$A$7:$A$13,1)),INDEX(Report_Scenarios!$D$7:$D$13,MATCH(MEDIAN($B66-Conversion!$B$14,2020,2050),Report_Scenarios!$A$7:$A$13,1))+(INDEX(Report_Scenarios!$D$7:$D$13,MIN(MATCH(MEDIAN($B66-Conversion!$B$14,2020,2050),Report_Scenarios!$A$7:$A$13,1)+1,7))-INDEX(Report_Scenarios!$D$7:$D$13,MATCH(MEDIAN($B66-Conversion!$B$14,2020,2050),Report_Scenarios!$A$7:$A$13,1)))*(MEDIAN($B66-Conversion!$B$14,2020,2050)-INDEX(Report_Scenarios!$A$7:$A$13,MATCH(MEDIAN($B66-Conversion!$B$14,2020,2050),Report_Scenarios!$A$7:$A$13,1)))/(INDEX(Report_Scenarios!$A$7:$A$13,MIN(MATCH(MEDIAN($B66-Conversion!$B$14,2020,2050),Report_Scenarios!$A$7:$A$13,1)+1,7))-INDEX(Report_Scenarios!$A$7:$A$13,MATCH(MEDIAN($B66-Conversion!$B$14,2020,2050),Report_Scenarios!$A$7:$A$13,1)))),IF($D66="Central",IF(INDEX(Report_Scenarios!$A$18:$A$24,MIN(MATCH(MEDIAN($B66-Conversion!$B$14,2020,2050),Report_Scenarios!$A$18:$A$24,1)+1,7))=INDEX(Report_Scenarios!$A$18:$A$24,MATCH(MEDIAN($B66-Conversion!$B$14,2020,2050),Report_Scenarios!$A$18:$A$24,1)),INDEX(Report_Scenarios!$D$18:$D$24,MATCH(MEDIAN($B66-Conversion!$B$14,2020,2050),Report_Scenarios!$A$18:$A$24,1)),INDEX(Report_Scenarios!$D$18:$D$24,MATCH(MEDIAN($B66-Conversion!$B$14,2020,2050),Report_Scenarios!$A$18:$A$24,1))+(INDEX(Report_Scenarios!$D$18:$D$24,MIN(MATCH(MEDIAN($B66-Conversion!$B$14,2020,2050),Report_Scenarios!$A$18:$A$24,1)+1,7))-INDEX(Report_Scenarios!$D$18:$D$24,MATCH(MEDIAN($B66-Conversion!$B$14,2020,2050),Report_Scenarios!$A$18:$A$24,1)))*(MEDIAN($B66-Conversion!$B$14,2020,2050)-INDEX(Report_Scenarios!$A$18:$A$24,MATCH(MEDIAN($B66-Conversion!$B$14,2020,2050),Report_Scenarios!$A$18:$A$24,1)))/(INDEX(Report_Scenarios!$A$18:$A$24,MIN(MATCH(MEDIAN($B66-Conversion!$B$14,2020,2050),Report_Scenarios!$A$18:$A$24,1)+1,7))-INDEX(Report_Scenarios!$A$18:$A$24,MATCH(MEDIAN($B66-Conversion!$B$14,2020,2050),Report_Scenarios!$A$18:$A$24,1)))),IF(INDEX(Report_Scenarios!$A$29:$A$35,MIN(MATCH(MEDIAN($B66-Conversion!$B$14,2020,2050),Report_Scenarios!$A$29:$A$35,1)+1,7))=INDEX(Report_Scenarios!$A$29:$A$35,MATCH(MEDIAN($B66-Conversion!$B$14,2020,2050),Report_Scenarios!$A$29:$A$35,1)),INDEX(Report_Scenarios!$D$29:$D$35,MATCH(MEDIAN($B66-Conversion!$B$14,2020,2050),Report_Scenarios!$A$29:$A$35,1)),INDEX(Report_Scenarios!$D$29:$D$35,MATCH(MEDIAN($B66-Conversion!$B$14,2020,2050),Report_Scenarios!$A$29:$A$35,1))+(INDEX(Report_Scenarios!$D$29:$D$35,MIN(MATCH(MEDIAN($B66-Conversion!$B$14,2020,2050),Report_Scenarios!$A$29:$A$35,1)+1,7))-INDEX(Report_Scenarios!$D$29:$D$35,MATCH(MEDIAN($B66-Conversion!$B$14,2020,2050),Report_Scenarios!$A$29:$A$35,1)))*(MEDIAN($B66-Conversion!$B$14,2020,2050)-INDEX(Report_Scenarios!$A$29:$A$35,MATCH(MEDIAN($B66-Conversion!$B$14,2020,2050),Report_Scenarios!$A$29:$A$35,1)))/(INDEX(Report_Scenarios!$A$29:$A$35,MIN(MATCH(MEDIAN($B66-Conversion!$B$14,2020,2050),Report_Scenarios!$A$29:$A$35,1)+1,7))-INDEX(Report_Scenarios!$A$29:$A$35,MATCH(MEDIAN($B66-Conversion!$B$14,2020,2050),Report_Scenarios!$A$29:$A$35,1))))))</f>
        <v/>
      </c>
      <c r="H66" s="23">
        <f>IF($D66="Conservative",IF(INDEX(Report_Scenarios!$A$7:$A$13,MIN(MATCH(MEDIAN($B66-Conversion!$B$14,2020,2050),Report_Scenarios!$A$7:$A$13,1)+1,7))=INDEX(Report_Scenarios!$A$7:$A$13,MATCH(MEDIAN($B66-Conversion!$B$14,2020,2050),Report_Scenarios!$A$7:$A$13,1)),INDEX(Report_Scenarios!$E$7:$E$13,MATCH(MEDIAN($B66-Conversion!$B$14,2020,2050),Report_Scenarios!$A$7:$A$13,1)),INDEX(Report_Scenarios!$E$7:$E$13,MATCH(MEDIAN($B66-Conversion!$B$14,2020,2050),Report_Scenarios!$A$7:$A$13,1))+(INDEX(Report_Scenarios!$E$7:$E$13,MIN(MATCH(MEDIAN($B66-Conversion!$B$14,2020,2050),Report_Scenarios!$A$7:$A$13,1)+1,7))-INDEX(Report_Scenarios!$E$7:$E$13,MATCH(MEDIAN($B66-Conversion!$B$14,2020,2050),Report_Scenarios!$A$7:$A$13,1)))*(MEDIAN($B66-Conversion!$B$14,2020,2050)-INDEX(Report_Scenarios!$A$7:$A$13,MATCH(MEDIAN($B66-Conversion!$B$14,2020,2050),Report_Scenarios!$A$7:$A$13,1)))/(INDEX(Report_Scenarios!$A$7:$A$13,MIN(MATCH(MEDIAN($B66-Conversion!$B$14,2020,2050),Report_Scenarios!$A$7:$A$13,1)+1,7))-INDEX(Report_Scenarios!$A$7:$A$13,MATCH(MEDIAN($B66-Conversion!$B$14,2020,2050),Report_Scenarios!$A$7:$A$13,1)))),IF($D66="Central",IF(INDEX(Report_Scenarios!$A$18:$A$24,MIN(MATCH(MEDIAN($B66-Conversion!$B$14,2020,2050),Report_Scenarios!$A$18:$A$24,1)+1,7))=INDEX(Report_Scenarios!$A$18:$A$24,MATCH(MEDIAN($B66-Conversion!$B$14,2020,2050),Report_Scenarios!$A$18:$A$24,1)),INDEX(Report_Scenarios!$E$18:$E$24,MATCH(MEDIAN($B66-Conversion!$B$14,2020,2050),Report_Scenarios!$A$18:$A$24,1)),INDEX(Report_Scenarios!$E$18:$E$24,MATCH(MEDIAN($B66-Conversion!$B$14,2020,2050),Report_Scenarios!$A$18:$A$24,1))+(INDEX(Report_Scenarios!$E$18:$E$24,MIN(MATCH(MEDIAN($B66-Conversion!$B$14,2020,2050),Report_Scenarios!$A$18:$A$24,1)+1,7))-INDEX(Report_Scenarios!$E$18:$E$24,MATCH(MEDIAN($B66-Conversion!$B$14,2020,2050),Report_Scenarios!$A$18:$A$24,1)))*(MEDIAN($B66-Conversion!$B$14,2020,2050)-INDEX(Report_Scenarios!$A$18:$A$24,MATCH(MEDIAN($B66-Conversion!$B$14,2020,2050),Report_Scenarios!$A$18:$A$24,1)))/(INDEX(Report_Scenarios!$A$18:$A$24,MIN(MATCH(MEDIAN($B66-Conversion!$B$14,2020,2050),Report_Scenarios!$A$18:$A$24,1)+1,7))-INDEX(Report_Scenarios!$A$18:$A$24,MATCH(MEDIAN($B66-Conversion!$B$14,2020,2050),Report_Scenarios!$A$18:$A$24,1)))),IF(INDEX(Report_Scenarios!$A$29:$A$35,MIN(MATCH(MEDIAN($B66-Conversion!$B$14,2020,2050),Report_Scenarios!$A$29:$A$35,1)+1,7))=INDEX(Report_Scenarios!$A$29:$A$35,MATCH(MEDIAN($B66-Conversion!$B$14,2020,2050),Report_Scenarios!$A$29:$A$35,1)),INDEX(Report_Scenarios!$E$29:$E$35,MATCH(MEDIAN($B66-Conversion!$B$14,2020,2050),Report_Scenarios!$A$29:$A$35,1)),INDEX(Report_Scenarios!$E$29:$E$35,MATCH(MEDIAN($B66-Conversion!$B$14,2020,2050),Report_Scenarios!$A$29:$A$35,1))+(INDEX(Report_Scenarios!$E$29:$E$35,MIN(MATCH(MEDIAN($B66-Conversion!$B$14,2020,2050),Report_Scenarios!$A$29:$A$35,1)+1,7))-INDEX(Report_Scenarios!$E$29:$E$35,MATCH(MEDIAN($B66-Conversion!$B$14,2020,2050),Report_Scenarios!$A$29:$A$35,1)))*(MEDIAN($B66-Conversion!$B$14,2020,2050)-INDEX(Report_Scenarios!$A$29:$A$35,MATCH(MEDIAN($B66-Conversion!$B$14,2020,2050),Report_Scenarios!$A$29:$A$35,1)))/(INDEX(Report_Scenarios!$A$29:$A$35,MIN(MATCH(MEDIAN($B66-Conversion!$B$14,2020,2050),Report_Scenarios!$A$29:$A$35,1)+1,7))-INDEX(Report_Scenarios!$A$29:$A$35,MATCH(MEDIAN($B66-Conversion!$B$14,2020,2050),Report_Scenarios!$A$29:$A$35,1))))))</f>
        <v/>
      </c>
      <c r="I66" s="23">
        <f>IF($D66="Conservative",IF(INDEX(Report_Scenarios!$A$7:$A$13,MIN(MATCH(MEDIAN($B66-Conversion!$B$14,2020,2050),Report_Scenarios!$A$7:$A$13,1)+1,7))=INDEX(Report_Scenarios!$A$7:$A$13,MATCH(MEDIAN($B66-Conversion!$B$14,2020,2050),Report_Scenarios!$A$7:$A$13,1)),INDEX(Report_Scenarios!$F$7:$F$13,MATCH(MEDIAN($B66-Conversion!$B$14,2020,2050),Report_Scenarios!$A$7:$A$13,1)),INDEX(Report_Scenarios!$F$7:$F$13,MATCH(MEDIAN($B66-Conversion!$B$14,2020,2050),Report_Scenarios!$A$7:$A$13,1))+(INDEX(Report_Scenarios!$F$7:$F$13,MIN(MATCH(MEDIAN($B66-Conversion!$B$14,2020,2050),Report_Scenarios!$A$7:$A$13,1)+1,7))-INDEX(Report_Scenarios!$F$7:$F$13,MATCH(MEDIAN($B66-Conversion!$B$14,2020,2050),Report_Scenarios!$A$7:$A$13,1)))*(MEDIAN($B66-Conversion!$B$14,2020,2050)-INDEX(Report_Scenarios!$A$7:$A$13,MATCH(MEDIAN($B66-Conversion!$B$14,2020,2050),Report_Scenarios!$A$7:$A$13,1)))/(INDEX(Report_Scenarios!$A$7:$A$13,MIN(MATCH(MEDIAN($B66-Conversion!$B$14,2020,2050),Report_Scenarios!$A$7:$A$13,1)+1,7))-INDEX(Report_Scenarios!$A$7:$A$13,MATCH(MEDIAN($B66-Conversion!$B$14,2020,2050),Report_Scenarios!$A$7:$A$13,1)))),IF($D66="Central",IF(INDEX(Report_Scenarios!$A$18:$A$24,MIN(MATCH(MEDIAN($B66-Conversion!$B$14,2020,2050),Report_Scenarios!$A$18:$A$24,1)+1,7))=INDEX(Report_Scenarios!$A$18:$A$24,MATCH(MEDIAN($B66-Conversion!$B$14,2020,2050),Report_Scenarios!$A$18:$A$24,1)),INDEX(Report_Scenarios!$F$18:$F$24,MATCH(MEDIAN($B66-Conversion!$B$14,2020,2050),Report_Scenarios!$A$18:$A$24,1)),INDEX(Report_Scenarios!$F$18:$F$24,MATCH(MEDIAN($B66-Conversion!$B$14,2020,2050),Report_Scenarios!$A$18:$A$24,1))+(INDEX(Report_Scenarios!$F$18:$F$24,MIN(MATCH(MEDIAN($B66-Conversion!$B$14,2020,2050),Report_Scenarios!$A$18:$A$24,1)+1,7))-INDEX(Report_Scenarios!$F$18:$F$24,MATCH(MEDIAN($B66-Conversion!$B$14,2020,2050),Report_Scenarios!$A$18:$A$24,1)))*(MEDIAN($B66-Conversion!$B$14,2020,2050)-INDEX(Report_Scenarios!$A$18:$A$24,MATCH(MEDIAN($B66-Conversion!$B$14,2020,2050),Report_Scenarios!$A$18:$A$24,1)))/(INDEX(Report_Scenarios!$A$18:$A$24,MIN(MATCH(MEDIAN($B66-Conversion!$B$14,2020,2050),Report_Scenarios!$A$18:$A$24,1)+1,7))-INDEX(Report_Scenarios!$A$18:$A$24,MATCH(MEDIAN($B66-Conversion!$B$14,2020,2050),Report_Scenarios!$A$18:$A$24,1)))),IF(INDEX(Report_Scenarios!$A$29:$A$35,MIN(MATCH(MEDIAN($B66-Conversion!$B$14,2020,2050),Report_Scenarios!$A$29:$A$35,1)+1,7))=INDEX(Report_Scenarios!$A$29:$A$35,MATCH(MEDIAN($B66-Conversion!$B$14,2020,2050),Report_Scenarios!$A$29:$A$35,1)),INDEX(Report_Scenarios!$F$29:$F$35,MATCH(MEDIAN($B66-Conversion!$B$14,2020,2050),Report_Scenarios!$A$29:$A$35,1)),INDEX(Report_Scenarios!$F$29:$F$35,MATCH(MEDIAN($B66-Conversion!$B$14,2020,2050),Report_Scenarios!$A$29:$A$35,1))+(INDEX(Report_Scenarios!$F$29:$F$35,MIN(MATCH(MEDIAN($B66-Conversion!$B$14,2020,2050),Report_Scenarios!$A$29:$A$35,1)+1,7))-INDEX(Report_Scenarios!$F$29:$F$35,MATCH(MEDIAN($B66-Conversion!$B$14,2020,2050),Report_Scenarios!$A$29:$A$35,1)))*(MEDIAN($B66-Conversion!$B$14,2020,2050)-INDEX(Report_Scenarios!$A$29:$A$35,MATCH(MEDIAN($B66-Conversion!$B$14,2020,2050),Report_Scenarios!$A$29:$A$35,1)))/(INDEX(Report_Scenarios!$A$29:$A$35,MIN(MATCH(MEDIAN($B66-Conversion!$B$14,2020,2050),Report_Scenarios!$A$29:$A$35,1)+1,7))-INDEX(Report_Scenarios!$A$29:$A$35,MATCH(MEDIAN($B66-Conversion!$B$14,2020,2050),Report_Scenarios!$A$29:$A$35,1))))))</f>
        <v/>
      </c>
      <c r="J66" s="23">
        <f>IF($D66="Conservative",IF(INDEX(Report_Scenarios!$A$7:$A$13,MIN(MATCH(MEDIAN($B66-Conversion!$B$14,2020,2050),Report_Scenarios!$A$7:$A$13,1)+1,7))=INDEX(Report_Scenarios!$A$7:$A$13,MATCH(MEDIAN($B66-Conversion!$B$14,2020,2050),Report_Scenarios!$A$7:$A$13,1)),INDEX(Report_Scenarios!$G$7:$G$13,MATCH(MEDIAN($B66-Conversion!$B$14,2020,2050),Report_Scenarios!$A$7:$A$13,1)),INDEX(Report_Scenarios!$G$7:$G$13,MATCH(MEDIAN($B66-Conversion!$B$14,2020,2050),Report_Scenarios!$A$7:$A$13,1))+(INDEX(Report_Scenarios!$G$7:$G$13,MIN(MATCH(MEDIAN($B66-Conversion!$B$14,2020,2050),Report_Scenarios!$A$7:$A$13,1)+1,7))-INDEX(Report_Scenarios!$G$7:$G$13,MATCH(MEDIAN($B66-Conversion!$B$14,2020,2050),Report_Scenarios!$A$7:$A$13,1)))*(MEDIAN($B66-Conversion!$B$14,2020,2050)-INDEX(Report_Scenarios!$A$7:$A$13,MATCH(MEDIAN($B66-Conversion!$B$14,2020,2050),Report_Scenarios!$A$7:$A$13,1)))/(INDEX(Report_Scenarios!$A$7:$A$13,MIN(MATCH(MEDIAN($B66-Conversion!$B$14,2020,2050),Report_Scenarios!$A$7:$A$13,1)+1,7))-INDEX(Report_Scenarios!$A$7:$A$13,MATCH(MEDIAN($B66-Conversion!$B$14,2020,2050),Report_Scenarios!$A$7:$A$13,1)))),IF($D66="Central",IF(INDEX(Report_Scenarios!$A$18:$A$24,MIN(MATCH(MEDIAN($B66-Conversion!$B$14,2020,2050),Report_Scenarios!$A$18:$A$24,1)+1,7))=INDEX(Report_Scenarios!$A$18:$A$24,MATCH(MEDIAN($B66-Conversion!$B$14,2020,2050),Report_Scenarios!$A$18:$A$24,1)),INDEX(Report_Scenarios!$G$18:$G$24,MATCH(MEDIAN($B66-Conversion!$B$14,2020,2050),Report_Scenarios!$A$18:$A$24,1)),INDEX(Report_Scenarios!$G$18:$G$24,MATCH(MEDIAN($B66-Conversion!$B$14,2020,2050),Report_Scenarios!$A$18:$A$24,1))+(INDEX(Report_Scenarios!$G$18:$G$24,MIN(MATCH(MEDIAN($B66-Conversion!$B$14,2020,2050),Report_Scenarios!$A$18:$A$24,1)+1,7))-INDEX(Report_Scenarios!$G$18:$G$24,MATCH(MEDIAN($B66-Conversion!$B$14,2020,2050),Report_Scenarios!$A$18:$A$24,1)))*(MEDIAN($B66-Conversion!$B$14,2020,2050)-INDEX(Report_Scenarios!$A$18:$A$24,MATCH(MEDIAN($B66-Conversion!$B$14,2020,2050),Report_Scenarios!$A$18:$A$24,1)))/(INDEX(Report_Scenarios!$A$18:$A$24,MIN(MATCH(MEDIAN($B66-Conversion!$B$14,2020,2050),Report_Scenarios!$A$18:$A$24,1)+1,7))-INDEX(Report_Scenarios!$A$18:$A$24,MATCH(MEDIAN($B66-Conversion!$B$14,2020,2050),Report_Scenarios!$A$18:$A$24,1)))),IF(INDEX(Report_Scenarios!$A$29:$A$35,MIN(MATCH(MEDIAN($B66-Conversion!$B$14,2020,2050),Report_Scenarios!$A$29:$A$35,1)+1,7))=INDEX(Report_Scenarios!$A$29:$A$35,MATCH(MEDIAN($B66-Conversion!$B$14,2020,2050),Report_Scenarios!$A$29:$A$35,1)),INDEX(Report_Scenarios!$G$29:$G$35,MATCH(MEDIAN($B66-Conversion!$B$14,2020,2050),Report_Scenarios!$A$29:$A$35,1)),INDEX(Report_Scenarios!$G$29:$G$35,MATCH(MEDIAN($B66-Conversion!$B$14,2020,2050),Report_Scenarios!$A$29:$A$35,1))+(INDEX(Report_Scenarios!$G$29:$G$35,MIN(MATCH(MEDIAN($B66-Conversion!$B$14,2020,2050),Report_Scenarios!$A$29:$A$35,1)+1,7))-INDEX(Report_Scenarios!$G$29:$G$35,MATCH(MEDIAN($B66-Conversion!$B$14,2020,2050),Report_Scenarios!$A$29:$A$35,1)))*(MEDIAN($B66-Conversion!$B$14,2020,2050)-INDEX(Report_Scenarios!$A$29:$A$35,MATCH(MEDIAN($B66-Conversion!$B$14,2020,2050),Report_Scenarios!$A$29:$A$35,1)))/(INDEX(Report_Scenarios!$A$29:$A$35,MIN(MATCH(MEDIAN($B66-Conversion!$B$14,2020,2050),Report_Scenarios!$A$29:$A$35,1)+1,7))-INDEX(Report_Scenarios!$A$29:$A$35,MATCH(MEDIAN($B66-Conversion!$B$14,2020,2050),Report_Scenarios!$A$29:$A$35,1))))))</f>
        <v/>
      </c>
      <c r="K66" s="23">
        <f>SUM(E66:J66)</f>
        <v/>
      </c>
      <c r="L66" s="23">
        <f>IF(R66&lt;&gt;"",R66,IF($K66=0,0,E66/$K66))</f>
        <v/>
      </c>
      <c r="M66" s="23">
        <f>IF(S66&lt;&gt;"",S66,IF($K66=0,0,F66/$K66))</f>
        <v/>
      </c>
      <c r="N66" s="23">
        <f>IF(T66&lt;&gt;"",T66,IF($K66=0,0,G66/$K66))</f>
        <v/>
      </c>
      <c r="O66" s="23">
        <f>IF(U66&lt;&gt;"",U66,IF($K66=0,0,H66/$K66))</f>
        <v/>
      </c>
      <c r="P66" s="23">
        <f>IF(V66&lt;&gt;"",V66,IF($K66=0,0,I66/$K66))</f>
        <v/>
      </c>
      <c r="Q66" s="23">
        <f>IF(W66&lt;&gt;"",W66,IF($K66=0,0,J66/$K66))</f>
        <v/>
      </c>
      <c r="R66" s="24" t="n"/>
      <c r="S66" s="24" t="n"/>
      <c r="T66" s="24" t="n"/>
      <c r="U66" s="24" t="n"/>
      <c r="V66" s="24" t="n"/>
      <c r="W66" s="24" t="n"/>
    </row>
    <row r="67">
      <c r="A67" s="4" t="inlineStr">
        <is>
          <t>EF</t>
        </is>
      </c>
      <c r="B67" s="4" t="n">
        <v>2020</v>
      </c>
      <c r="C67" s="4" t="inlineStr">
        <is>
          <t>Share_Max</t>
        </is>
      </c>
      <c r="D67" s="4">
        <f>Conversion!$B$20</f>
        <v/>
      </c>
      <c r="E67" s="23">
        <f>IF($D67="Conservative",IF(INDEX(Report_Scenarios!$A$7:$A$13,MIN(MATCH(MEDIAN($B67-Conversion!$B$14,2020,2050),Report_Scenarios!$A$7:$A$13,1)+1,7))=INDEX(Report_Scenarios!$A$7:$A$13,MATCH(MEDIAN($B67-Conversion!$B$14,2020,2050),Report_Scenarios!$A$7:$A$13,1)),INDEX(Report_Scenarios!$B$7:$B$13,MATCH(MEDIAN($B67-Conversion!$B$14,2020,2050),Report_Scenarios!$A$7:$A$13,1)),INDEX(Report_Scenarios!$B$7:$B$13,MATCH(MEDIAN($B67-Conversion!$B$14,2020,2050),Report_Scenarios!$A$7:$A$13,1))+(INDEX(Report_Scenarios!$B$7:$B$13,MIN(MATCH(MEDIAN($B67-Conversion!$B$14,2020,2050),Report_Scenarios!$A$7:$A$13,1)+1,7))-INDEX(Report_Scenarios!$B$7:$B$13,MATCH(MEDIAN($B67-Conversion!$B$14,2020,2050),Report_Scenarios!$A$7:$A$13,1)))*(MEDIAN($B67-Conversion!$B$14,2020,2050)-INDEX(Report_Scenarios!$A$7:$A$13,MATCH(MEDIAN($B67-Conversion!$B$14,2020,2050),Report_Scenarios!$A$7:$A$13,1)))/(INDEX(Report_Scenarios!$A$7:$A$13,MIN(MATCH(MEDIAN($B67-Conversion!$B$14,2020,2050),Report_Scenarios!$A$7:$A$13,1)+1,7))-INDEX(Report_Scenarios!$A$7:$A$13,MATCH(MEDIAN($B67-Conversion!$B$14,2020,2050),Report_Scenarios!$A$7:$A$13,1)))),IF($D67="Central",IF(INDEX(Report_Scenarios!$A$18:$A$24,MIN(MATCH(MEDIAN($B67-Conversion!$B$14,2020,2050),Report_Scenarios!$A$18:$A$24,1)+1,7))=INDEX(Report_Scenarios!$A$18:$A$24,MATCH(MEDIAN($B67-Conversion!$B$14,2020,2050),Report_Scenarios!$A$18:$A$24,1)),INDEX(Report_Scenarios!$B$18:$B$24,MATCH(MEDIAN($B67-Conversion!$B$14,2020,2050),Report_Scenarios!$A$18:$A$24,1)),INDEX(Report_Scenarios!$B$18:$B$24,MATCH(MEDIAN($B67-Conversion!$B$14,2020,2050),Report_Scenarios!$A$18:$A$24,1))+(INDEX(Report_Scenarios!$B$18:$B$24,MIN(MATCH(MEDIAN($B67-Conversion!$B$14,2020,2050),Report_Scenarios!$A$18:$A$24,1)+1,7))-INDEX(Report_Scenarios!$B$18:$B$24,MATCH(MEDIAN($B67-Conversion!$B$14,2020,2050),Report_Scenarios!$A$18:$A$24,1)))*(MEDIAN($B67-Conversion!$B$14,2020,2050)-INDEX(Report_Scenarios!$A$18:$A$24,MATCH(MEDIAN($B67-Conversion!$B$14,2020,2050),Report_Scenarios!$A$18:$A$24,1)))/(INDEX(Report_Scenarios!$A$18:$A$24,MIN(MATCH(MEDIAN($B67-Conversion!$B$14,2020,2050),Report_Scenarios!$A$18:$A$24,1)+1,7))-INDEX(Report_Scenarios!$A$18:$A$24,MATCH(MEDIAN($B67-Conversion!$B$14,2020,2050),Report_Scenarios!$A$18:$A$24,1)))),IF(INDEX(Report_Scenarios!$A$29:$A$35,MIN(MATCH(MEDIAN($B67-Conversion!$B$14,2020,2050),Report_Scenarios!$A$29:$A$35,1)+1,7))=INDEX(Report_Scenarios!$A$29:$A$35,MATCH(MEDIAN($B67-Conversion!$B$14,2020,2050),Report_Scenarios!$A$29:$A$35,1)),INDEX(Report_Scenarios!$B$29:$B$35,MATCH(MEDIAN($B67-Conversion!$B$14,2020,2050),Report_Scenarios!$A$29:$A$35,1)),INDEX(Report_Scenarios!$B$29:$B$35,MATCH(MEDIAN($B67-Conversion!$B$14,2020,2050),Report_Scenarios!$A$29:$A$35,1))+(INDEX(Report_Scenarios!$B$29:$B$35,MIN(MATCH(MEDIAN($B67-Conversion!$B$14,2020,2050),Report_Scenarios!$A$29:$A$35,1)+1,7))-INDEX(Report_Scenarios!$B$29:$B$35,MATCH(MEDIAN($B67-Conversion!$B$14,2020,2050),Report_Scenarios!$A$29:$A$35,1)))*(MEDIAN($B67-Conversion!$B$14,2020,2050)-INDEX(Report_Scenarios!$A$29:$A$35,MATCH(MEDIAN($B67-Conversion!$B$14,2020,2050),Report_Scenarios!$A$29:$A$35,1)))/(INDEX(Report_Scenarios!$A$29:$A$35,MIN(MATCH(MEDIAN($B67-Conversion!$B$14,2020,2050),Report_Scenarios!$A$29:$A$35,1)+1,7))-INDEX(Report_Scenarios!$A$29:$A$35,MATCH(MEDIAN($B67-Conversion!$B$14,2020,2050),Report_Scenarios!$A$29:$A$35,1))))))</f>
        <v/>
      </c>
      <c r="F67" s="23">
        <f>IF($D67="Conservative",IF(INDEX(Report_Scenarios!$A$7:$A$13,MIN(MATCH(MEDIAN($B67-Conversion!$B$14,2020,2050),Report_Scenarios!$A$7:$A$13,1)+1,7))=INDEX(Report_Scenarios!$A$7:$A$13,MATCH(MEDIAN($B67-Conversion!$B$14,2020,2050),Report_Scenarios!$A$7:$A$13,1)),INDEX(Report_Scenarios!$C$7:$C$13,MATCH(MEDIAN($B67-Conversion!$B$14,2020,2050),Report_Scenarios!$A$7:$A$13,1)),INDEX(Report_Scenarios!$C$7:$C$13,MATCH(MEDIAN($B67-Conversion!$B$14,2020,2050),Report_Scenarios!$A$7:$A$13,1))+(INDEX(Report_Scenarios!$C$7:$C$13,MIN(MATCH(MEDIAN($B67-Conversion!$B$14,2020,2050),Report_Scenarios!$A$7:$A$13,1)+1,7))-INDEX(Report_Scenarios!$C$7:$C$13,MATCH(MEDIAN($B67-Conversion!$B$14,2020,2050),Report_Scenarios!$A$7:$A$13,1)))*(MEDIAN($B67-Conversion!$B$14,2020,2050)-INDEX(Report_Scenarios!$A$7:$A$13,MATCH(MEDIAN($B67-Conversion!$B$14,2020,2050),Report_Scenarios!$A$7:$A$13,1)))/(INDEX(Report_Scenarios!$A$7:$A$13,MIN(MATCH(MEDIAN($B67-Conversion!$B$14,2020,2050),Report_Scenarios!$A$7:$A$13,1)+1,7))-INDEX(Report_Scenarios!$A$7:$A$13,MATCH(MEDIAN($B67-Conversion!$B$14,2020,2050),Report_Scenarios!$A$7:$A$13,1)))),IF($D67="Central",IF(INDEX(Report_Scenarios!$A$18:$A$24,MIN(MATCH(MEDIAN($B67-Conversion!$B$14,2020,2050),Report_Scenarios!$A$18:$A$24,1)+1,7))=INDEX(Report_Scenarios!$A$18:$A$24,MATCH(MEDIAN($B67-Conversion!$B$14,2020,2050),Report_Scenarios!$A$18:$A$24,1)),INDEX(Report_Scenarios!$C$18:$C$24,MATCH(MEDIAN($B67-Conversion!$B$14,2020,2050),Report_Scenarios!$A$18:$A$24,1)),INDEX(Report_Scenarios!$C$18:$C$24,MATCH(MEDIAN($B67-Conversion!$B$14,2020,2050),Report_Scenarios!$A$18:$A$24,1))+(INDEX(Report_Scenarios!$C$18:$C$24,MIN(MATCH(MEDIAN($B67-Conversion!$B$14,2020,2050),Report_Scenarios!$A$18:$A$24,1)+1,7))-INDEX(Report_Scenarios!$C$18:$C$24,MATCH(MEDIAN($B67-Conversion!$B$14,2020,2050),Report_Scenarios!$A$18:$A$24,1)))*(MEDIAN($B67-Conversion!$B$14,2020,2050)-INDEX(Report_Scenarios!$A$18:$A$24,MATCH(MEDIAN($B67-Conversion!$B$14,2020,2050),Report_Scenarios!$A$18:$A$24,1)))/(INDEX(Report_Scenarios!$A$18:$A$24,MIN(MATCH(MEDIAN($B67-Conversion!$B$14,2020,2050),Report_Scenarios!$A$18:$A$24,1)+1,7))-INDEX(Report_Scenarios!$A$18:$A$24,MATCH(MEDIAN($B67-Conversion!$B$14,2020,2050),Report_Scenarios!$A$18:$A$24,1)))),IF(INDEX(Report_Scenarios!$A$29:$A$35,MIN(MATCH(MEDIAN($B67-Conversion!$B$14,2020,2050),Report_Scenarios!$A$29:$A$35,1)+1,7))=INDEX(Report_Scenarios!$A$29:$A$35,MATCH(MEDIAN($B67-Conversion!$B$14,2020,2050),Report_Scenarios!$A$29:$A$35,1)),INDEX(Report_Scenarios!$C$29:$C$35,MATCH(MEDIAN($B67-Conversion!$B$14,2020,2050),Report_Scenarios!$A$29:$A$35,1)),INDEX(Report_Scenarios!$C$29:$C$35,MATCH(MEDIAN($B67-Conversion!$B$14,2020,2050),Report_Scenarios!$A$29:$A$35,1))+(INDEX(Report_Scenarios!$C$29:$C$35,MIN(MATCH(MEDIAN($B67-Conversion!$B$14,2020,2050),Report_Scenarios!$A$29:$A$35,1)+1,7))-INDEX(Report_Scenarios!$C$29:$C$35,MATCH(MEDIAN($B67-Conversion!$B$14,2020,2050),Report_Scenarios!$A$29:$A$35,1)))*(MEDIAN($B67-Conversion!$B$14,2020,2050)-INDEX(Report_Scenarios!$A$29:$A$35,MATCH(MEDIAN($B67-Conversion!$B$14,2020,2050),Report_Scenarios!$A$29:$A$35,1)))/(INDEX(Report_Scenarios!$A$29:$A$35,MIN(MATCH(MEDIAN($B67-Conversion!$B$14,2020,2050),Report_Scenarios!$A$29:$A$35,1)+1,7))-INDEX(Report_Scenarios!$A$29:$A$35,MATCH(MEDIAN($B67-Conversion!$B$14,2020,2050),Report_Scenarios!$A$29:$A$35,1))))))</f>
        <v/>
      </c>
      <c r="G67" s="23">
        <f>IF($D67="Conservative",IF(INDEX(Report_Scenarios!$A$7:$A$13,MIN(MATCH(MEDIAN($B67-Conversion!$B$14,2020,2050),Report_Scenarios!$A$7:$A$13,1)+1,7))=INDEX(Report_Scenarios!$A$7:$A$13,MATCH(MEDIAN($B67-Conversion!$B$14,2020,2050),Report_Scenarios!$A$7:$A$13,1)),INDEX(Report_Scenarios!$D$7:$D$13,MATCH(MEDIAN($B67-Conversion!$B$14,2020,2050),Report_Scenarios!$A$7:$A$13,1)),INDEX(Report_Scenarios!$D$7:$D$13,MATCH(MEDIAN($B67-Conversion!$B$14,2020,2050),Report_Scenarios!$A$7:$A$13,1))+(INDEX(Report_Scenarios!$D$7:$D$13,MIN(MATCH(MEDIAN($B67-Conversion!$B$14,2020,2050),Report_Scenarios!$A$7:$A$13,1)+1,7))-INDEX(Report_Scenarios!$D$7:$D$13,MATCH(MEDIAN($B67-Conversion!$B$14,2020,2050),Report_Scenarios!$A$7:$A$13,1)))*(MEDIAN($B67-Conversion!$B$14,2020,2050)-INDEX(Report_Scenarios!$A$7:$A$13,MATCH(MEDIAN($B67-Conversion!$B$14,2020,2050),Report_Scenarios!$A$7:$A$13,1)))/(INDEX(Report_Scenarios!$A$7:$A$13,MIN(MATCH(MEDIAN($B67-Conversion!$B$14,2020,2050),Report_Scenarios!$A$7:$A$13,1)+1,7))-INDEX(Report_Scenarios!$A$7:$A$13,MATCH(MEDIAN($B67-Conversion!$B$14,2020,2050),Report_Scenarios!$A$7:$A$13,1)))),IF($D67="Central",IF(INDEX(Report_Scenarios!$A$18:$A$24,MIN(MATCH(MEDIAN($B67-Conversion!$B$14,2020,2050),Report_Scenarios!$A$18:$A$24,1)+1,7))=INDEX(Report_Scenarios!$A$18:$A$24,MATCH(MEDIAN($B67-Conversion!$B$14,2020,2050),Report_Scenarios!$A$18:$A$24,1)),INDEX(Report_Scenarios!$D$18:$D$24,MATCH(MEDIAN($B67-Conversion!$B$14,2020,2050),Report_Scenarios!$A$18:$A$24,1)),INDEX(Report_Scenarios!$D$18:$D$24,MATCH(MEDIAN($B67-Conversion!$B$14,2020,2050),Report_Scenarios!$A$18:$A$24,1))+(INDEX(Report_Scenarios!$D$18:$D$24,MIN(MATCH(MEDIAN($B67-Conversion!$B$14,2020,2050),Report_Scenarios!$A$18:$A$24,1)+1,7))-INDEX(Report_Scenarios!$D$18:$D$24,MATCH(MEDIAN($B67-Conversion!$B$14,2020,2050),Report_Scenarios!$A$18:$A$24,1)))*(MEDIAN($B67-Conversion!$B$14,2020,2050)-INDEX(Report_Scenarios!$A$18:$A$24,MATCH(MEDIAN($B67-Conversion!$B$14,2020,2050),Report_Scenarios!$A$18:$A$24,1)))/(INDEX(Report_Scenarios!$A$18:$A$24,MIN(MATCH(MEDIAN($B67-Conversion!$B$14,2020,2050),Report_Scenarios!$A$18:$A$24,1)+1,7))-INDEX(Report_Scenarios!$A$18:$A$24,MATCH(MEDIAN($B67-Conversion!$B$14,2020,2050),Report_Scenarios!$A$18:$A$24,1)))),IF(INDEX(Report_Scenarios!$A$29:$A$35,MIN(MATCH(MEDIAN($B67-Conversion!$B$14,2020,2050),Report_Scenarios!$A$29:$A$35,1)+1,7))=INDEX(Report_Scenarios!$A$29:$A$35,MATCH(MEDIAN($B67-Conversion!$B$14,2020,2050),Report_Scenarios!$A$29:$A$35,1)),INDEX(Report_Scenarios!$D$29:$D$35,MATCH(MEDIAN($B67-Conversion!$B$14,2020,2050),Report_Scenarios!$A$29:$A$35,1)),INDEX(Report_Scenarios!$D$29:$D$35,MATCH(MEDIAN($B67-Conversion!$B$14,2020,2050),Report_Scenarios!$A$29:$A$35,1))+(INDEX(Report_Scenarios!$D$29:$D$35,MIN(MATCH(MEDIAN($B67-Conversion!$B$14,2020,2050),Report_Scenarios!$A$29:$A$35,1)+1,7))-INDEX(Report_Scenarios!$D$29:$D$35,MATCH(MEDIAN($B67-Conversion!$B$14,2020,2050),Report_Scenarios!$A$29:$A$35,1)))*(MEDIAN($B67-Conversion!$B$14,2020,2050)-INDEX(Report_Scenarios!$A$29:$A$35,MATCH(MEDIAN($B67-Conversion!$B$14,2020,2050),Report_Scenarios!$A$29:$A$35,1)))/(INDEX(Report_Scenarios!$A$29:$A$35,MIN(MATCH(MEDIAN($B67-Conversion!$B$14,2020,2050),Report_Scenarios!$A$29:$A$35,1)+1,7))-INDEX(Report_Scenarios!$A$29:$A$35,MATCH(MEDIAN($B67-Conversion!$B$14,2020,2050),Report_Scenarios!$A$29:$A$35,1))))))</f>
        <v/>
      </c>
      <c r="H67" s="23">
        <f>IF($D67="Conservative",IF(INDEX(Report_Scenarios!$A$7:$A$13,MIN(MATCH(MEDIAN($B67-Conversion!$B$14,2020,2050),Report_Scenarios!$A$7:$A$13,1)+1,7))=INDEX(Report_Scenarios!$A$7:$A$13,MATCH(MEDIAN($B67-Conversion!$B$14,2020,2050),Report_Scenarios!$A$7:$A$13,1)),INDEX(Report_Scenarios!$E$7:$E$13,MATCH(MEDIAN($B67-Conversion!$B$14,2020,2050),Report_Scenarios!$A$7:$A$13,1)),INDEX(Report_Scenarios!$E$7:$E$13,MATCH(MEDIAN($B67-Conversion!$B$14,2020,2050),Report_Scenarios!$A$7:$A$13,1))+(INDEX(Report_Scenarios!$E$7:$E$13,MIN(MATCH(MEDIAN($B67-Conversion!$B$14,2020,2050),Report_Scenarios!$A$7:$A$13,1)+1,7))-INDEX(Report_Scenarios!$E$7:$E$13,MATCH(MEDIAN($B67-Conversion!$B$14,2020,2050),Report_Scenarios!$A$7:$A$13,1)))*(MEDIAN($B67-Conversion!$B$14,2020,2050)-INDEX(Report_Scenarios!$A$7:$A$13,MATCH(MEDIAN($B67-Conversion!$B$14,2020,2050),Report_Scenarios!$A$7:$A$13,1)))/(INDEX(Report_Scenarios!$A$7:$A$13,MIN(MATCH(MEDIAN($B67-Conversion!$B$14,2020,2050),Report_Scenarios!$A$7:$A$13,1)+1,7))-INDEX(Report_Scenarios!$A$7:$A$13,MATCH(MEDIAN($B67-Conversion!$B$14,2020,2050),Report_Scenarios!$A$7:$A$13,1)))),IF($D67="Central",IF(INDEX(Report_Scenarios!$A$18:$A$24,MIN(MATCH(MEDIAN($B67-Conversion!$B$14,2020,2050),Report_Scenarios!$A$18:$A$24,1)+1,7))=INDEX(Report_Scenarios!$A$18:$A$24,MATCH(MEDIAN($B67-Conversion!$B$14,2020,2050),Report_Scenarios!$A$18:$A$24,1)),INDEX(Report_Scenarios!$E$18:$E$24,MATCH(MEDIAN($B67-Conversion!$B$14,2020,2050),Report_Scenarios!$A$18:$A$24,1)),INDEX(Report_Scenarios!$E$18:$E$24,MATCH(MEDIAN($B67-Conversion!$B$14,2020,2050),Report_Scenarios!$A$18:$A$24,1))+(INDEX(Report_Scenarios!$E$18:$E$24,MIN(MATCH(MEDIAN($B67-Conversion!$B$14,2020,2050),Report_Scenarios!$A$18:$A$24,1)+1,7))-INDEX(Report_Scenarios!$E$18:$E$24,MATCH(MEDIAN($B67-Conversion!$B$14,2020,2050),Report_Scenarios!$A$18:$A$24,1)))*(MEDIAN($B67-Conversion!$B$14,2020,2050)-INDEX(Report_Scenarios!$A$18:$A$24,MATCH(MEDIAN($B67-Conversion!$B$14,2020,2050),Report_Scenarios!$A$18:$A$24,1)))/(INDEX(Report_Scenarios!$A$18:$A$24,MIN(MATCH(MEDIAN($B67-Conversion!$B$14,2020,2050),Report_Scenarios!$A$18:$A$24,1)+1,7))-INDEX(Report_Scenarios!$A$18:$A$24,MATCH(MEDIAN($B67-Conversion!$B$14,2020,2050),Report_Scenarios!$A$18:$A$24,1)))),IF(INDEX(Report_Scenarios!$A$29:$A$35,MIN(MATCH(MEDIAN($B67-Conversion!$B$14,2020,2050),Report_Scenarios!$A$29:$A$35,1)+1,7))=INDEX(Report_Scenarios!$A$29:$A$35,MATCH(MEDIAN($B67-Conversion!$B$14,2020,2050),Report_Scenarios!$A$29:$A$35,1)),INDEX(Report_Scenarios!$E$29:$E$35,MATCH(MEDIAN($B67-Conversion!$B$14,2020,2050),Report_Scenarios!$A$29:$A$35,1)),INDEX(Report_Scenarios!$E$29:$E$35,MATCH(MEDIAN($B67-Conversion!$B$14,2020,2050),Report_Scenarios!$A$29:$A$35,1))+(INDEX(Report_Scenarios!$E$29:$E$35,MIN(MATCH(MEDIAN($B67-Conversion!$B$14,2020,2050),Report_Scenarios!$A$29:$A$35,1)+1,7))-INDEX(Report_Scenarios!$E$29:$E$35,MATCH(MEDIAN($B67-Conversion!$B$14,2020,2050),Report_Scenarios!$A$29:$A$35,1)))*(MEDIAN($B67-Conversion!$B$14,2020,2050)-INDEX(Report_Scenarios!$A$29:$A$35,MATCH(MEDIAN($B67-Conversion!$B$14,2020,2050),Report_Scenarios!$A$29:$A$35,1)))/(INDEX(Report_Scenarios!$A$29:$A$35,MIN(MATCH(MEDIAN($B67-Conversion!$B$14,2020,2050),Report_Scenarios!$A$29:$A$35,1)+1,7))-INDEX(Report_Scenarios!$A$29:$A$35,MATCH(MEDIAN($B67-Conversion!$B$14,2020,2050),Report_Scenarios!$A$29:$A$35,1))))))</f>
        <v/>
      </c>
      <c r="I67" s="23">
        <f>IF($D67="Conservative",IF(INDEX(Report_Scenarios!$A$7:$A$13,MIN(MATCH(MEDIAN($B67-Conversion!$B$14,2020,2050),Report_Scenarios!$A$7:$A$13,1)+1,7))=INDEX(Report_Scenarios!$A$7:$A$13,MATCH(MEDIAN($B67-Conversion!$B$14,2020,2050),Report_Scenarios!$A$7:$A$13,1)),INDEX(Report_Scenarios!$F$7:$F$13,MATCH(MEDIAN($B67-Conversion!$B$14,2020,2050),Report_Scenarios!$A$7:$A$13,1)),INDEX(Report_Scenarios!$F$7:$F$13,MATCH(MEDIAN($B67-Conversion!$B$14,2020,2050),Report_Scenarios!$A$7:$A$13,1))+(INDEX(Report_Scenarios!$F$7:$F$13,MIN(MATCH(MEDIAN($B67-Conversion!$B$14,2020,2050),Report_Scenarios!$A$7:$A$13,1)+1,7))-INDEX(Report_Scenarios!$F$7:$F$13,MATCH(MEDIAN($B67-Conversion!$B$14,2020,2050),Report_Scenarios!$A$7:$A$13,1)))*(MEDIAN($B67-Conversion!$B$14,2020,2050)-INDEX(Report_Scenarios!$A$7:$A$13,MATCH(MEDIAN($B67-Conversion!$B$14,2020,2050),Report_Scenarios!$A$7:$A$13,1)))/(INDEX(Report_Scenarios!$A$7:$A$13,MIN(MATCH(MEDIAN($B67-Conversion!$B$14,2020,2050),Report_Scenarios!$A$7:$A$13,1)+1,7))-INDEX(Report_Scenarios!$A$7:$A$13,MATCH(MEDIAN($B67-Conversion!$B$14,2020,2050),Report_Scenarios!$A$7:$A$13,1)))),IF($D67="Central",IF(INDEX(Report_Scenarios!$A$18:$A$24,MIN(MATCH(MEDIAN($B67-Conversion!$B$14,2020,2050),Report_Scenarios!$A$18:$A$24,1)+1,7))=INDEX(Report_Scenarios!$A$18:$A$24,MATCH(MEDIAN($B67-Conversion!$B$14,2020,2050),Report_Scenarios!$A$18:$A$24,1)),INDEX(Report_Scenarios!$F$18:$F$24,MATCH(MEDIAN($B67-Conversion!$B$14,2020,2050),Report_Scenarios!$A$18:$A$24,1)),INDEX(Report_Scenarios!$F$18:$F$24,MATCH(MEDIAN($B67-Conversion!$B$14,2020,2050),Report_Scenarios!$A$18:$A$24,1))+(INDEX(Report_Scenarios!$F$18:$F$24,MIN(MATCH(MEDIAN($B67-Conversion!$B$14,2020,2050),Report_Scenarios!$A$18:$A$24,1)+1,7))-INDEX(Report_Scenarios!$F$18:$F$24,MATCH(MEDIAN($B67-Conversion!$B$14,2020,2050),Report_Scenarios!$A$18:$A$24,1)))*(MEDIAN($B67-Conversion!$B$14,2020,2050)-INDEX(Report_Scenarios!$A$18:$A$24,MATCH(MEDIAN($B67-Conversion!$B$14,2020,2050),Report_Scenarios!$A$18:$A$24,1)))/(INDEX(Report_Scenarios!$A$18:$A$24,MIN(MATCH(MEDIAN($B67-Conversion!$B$14,2020,2050),Report_Scenarios!$A$18:$A$24,1)+1,7))-INDEX(Report_Scenarios!$A$18:$A$24,MATCH(MEDIAN($B67-Conversion!$B$14,2020,2050),Report_Scenarios!$A$18:$A$24,1)))),IF(INDEX(Report_Scenarios!$A$29:$A$35,MIN(MATCH(MEDIAN($B67-Conversion!$B$14,2020,2050),Report_Scenarios!$A$29:$A$35,1)+1,7))=INDEX(Report_Scenarios!$A$29:$A$35,MATCH(MEDIAN($B67-Conversion!$B$14,2020,2050),Report_Scenarios!$A$29:$A$35,1)),INDEX(Report_Scenarios!$F$29:$F$35,MATCH(MEDIAN($B67-Conversion!$B$14,2020,2050),Report_Scenarios!$A$29:$A$35,1)),INDEX(Report_Scenarios!$F$29:$F$35,MATCH(MEDIAN($B67-Conversion!$B$14,2020,2050),Report_Scenarios!$A$29:$A$35,1))+(INDEX(Report_Scenarios!$F$29:$F$35,MIN(MATCH(MEDIAN($B67-Conversion!$B$14,2020,2050),Report_Scenarios!$A$29:$A$35,1)+1,7))-INDEX(Report_Scenarios!$F$29:$F$35,MATCH(MEDIAN($B67-Conversion!$B$14,2020,2050),Report_Scenarios!$A$29:$A$35,1)))*(MEDIAN($B67-Conversion!$B$14,2020,2050)-INDEX(Report_Scenarios!$A$29:$A$35,MATCH(MEDIAN($B67-Conversion!$B$14,2020,2050),Report_Scenarios!$A$29:$A$35,1)))/(INDEX(Report_Scenarios!$A$29:$A$35,MIN(MATCH(MEDIAN($B67-Conversion!$B$14,2020,2050),Report_Scenarios!$A$29:$A$35,1)+1,7))-INDEX(Report_Scenarios!$A$29:$A$35,MATCH(MEDIAN($B67-Conversion!$B$14,2020,2050),Report_Scenarios!$A$29:$A$35,1))))))</f>
        <v/>
      </c>
      <c r="J67" s="23">
        <f>IF($D67="Conservative",IF(INDEX(Report_Scenarios!$A$7:$A$13,MIN(MATCH(MEDIAN($B67-Conversion!$B$14,2020,2050),Report_Scenarios!$A$7:$A$13,1)+1,7))=INDEX(Report_Scenarios!$A$7:$A$13,MATCH(MEDIAN($B67-Conversion!$B$14,2020,2050),Report_Scenarios!$A$7:$A$13,1)),INDEX(Report_Scenarios!$G$7:$G$13,MATCH(MEDIAN($B67-Conversion!$B$14,2020,2050),Report_Scenarios!$A$7:$A$13,1)),INDEX(Report_Scenarios!$G$7:$G$13,MATCH(MEDIAN($B67-Conversion!$B$14,2020,2050),Report_Scenarios!$A$7:$A$13,1))+(INDEX(Report_Scenarios!$G$7:$G$13,MIN(MATCH(MEDIAN($B67-Conversion!$B$14,2020,2050),Report_Scenarios!$A$7:$A$13,1)+1,7))-INDEX(Report_Scenarios!$G$7:$G$13,MATCH(MEDIAN($B67-Conversion!$B$14,2020,2050),Report_Scenarios!$A$7:$A$13,1)))*(MEDIAN($B67-Conversion!$B$14,2020,2050)-INDEX(Report_Scenarios!$A$7:$A$13,MATCH(MEDIAN($B67-Conversion!$B$14,2020,2050),Report_Scenarios!$A$7:$A$13,1)))/(INDEX(Report_Scenarios!$A$7:$A$13,MIN(MATCH(MEDIAN($B67-Conversion!$B$14,2020,2050),Report_Scenarios!$A$7:$A$13,1)+1,7))-INDEX(Report_Scenarios!$A$7:$A$13,MATCH(MEDIAN($B67-Conversion!$B$14,2020,2050),Report_Scenarios!$A$7:$A$13,1)))),IF($D67="Central",IF(INDEX(Report_Scenarios!$A$18:$A$24,MIN(MATCH(MEDIAN($B67-Conversion!$B$14,2020,2050),Report_Scenarios!$A$18:$A$24,1)+1,7))=INDEX(Report_Scenarios!$A$18:$A$24,MATCH(MEDIAN($B67-Conversion!$B$14,2020,2050),Report_Scenarios!$A$18:$A$24,1)),INDEX(Report_Scenarios!$G$18:$G$24,MATCH(MEDIAN($B67-Conversion!$B$14,2020,2050),Report_Scenarios!$A$18:$A$24,1)),INDEX(Report_Scenarios!$G$18:$G$24,MATCH(MEDIAN($B67-Conversion!$B$14,2020,2050),Report_Scenarios!$A$18:$A$24,1))+(INDEX(Report_Scenarios!$G$18:$G$24,MIN(MATCH(MEDIAN($B67-Conversion!$B$14,2020,2050),Report_Scenarios!$A$18:$A$24,1)+1,7))-INDEX(Report_Scenarios!$G$18:$G$24,MATCH(MEDIAN($B67-Conversion!$B$14,2020,2050),Report_Scenarios!$A$18:$A$24,1)))*(MEDIAN($B67-Conversion!$B$14,2020,2050)-INDEX(Report_Scenarios!$A$18:$A$24,MATCH(MEDIAN($B67-Conversion!$B$14,2020,2050),Report_Scenarios!$A$18:$A$24,1)))/(INDEX(Report_Scenarios!$A$18:$A$24,MIN(MATCH(MEDIAN($B67-Conversion!$B$14,2020,2050),Report_Scenarios!$A$18:$A$24,1)+1,7))-INDEX(Report_Scenarios!$A$18:$A$24,MATCH(MEDIAN($B67-Conversion!$B$14,2020,2050),Report_Scenarios!$A$18:$A$24,1)))),IF(INDEX(Report_Scenarios!$A$29:$A$35,MIN(MATCH(MEDIAN($B67-Conversion!$B$14,2020,2050),Report_Scenarios!$A$29:$A$35,1)+1,7))=INDEX(Report_Scenarios!$A$29:$A$35,MATCH(MEDIAN($B67-Conversion!$B$14,2020,2050),Report_Scenarios!$A$29:$A$35,1)),INDEX(Report_Scenarios!$G$29:$G$35,MATCH(MEDIAN($B67-Conversion!$B$14,2020,2050),Report_Scenarios!$A$29:$A$35,1)),INDEX(Report_Scenarios!$G$29:$G$35,MATCH(MEDIAN($B67-Conversion!$B$14,2020,2050),Report_Scenarios!$A$29:$A$35,1))+(INDEX(Report_Scenarios!$G$29:$G$35,MIN(MATCH(MEDIAN($B67-Conversion!$B$14,2020,2050),Report_Scenarios!$A$29:$A$35,1)+1,7))-INDEX(Report_Scenarios!$G$29:$G$35,MATCH(MEDIAN($B67-Conversion!$B$14,2020,2050),Report_Scenarios!$A$29:$A$35,1)))*(MEDIAN($B67-Conversion!$B$14,2020,2050)-INDEX(Report_Scenarios!$A$29:$A$35,MATCH(MEDIAN($B67-Conversion!$B$14,2020,2050),Report_Scenarios!$A$29:$A$35,1)))/(INDEX(Report_Scenarios!$A$29:$A$35,MIN(MATCH(MEDIAN($B67-Conversion!$B$14,2020,2050),Report_Scenarios!$A$29:$A$35,1)+1,7))-INDEX(Report_Scenarios!$A$29:$A$35,MATCH(MEDIAN($B67-Conversion!$B$14,2020,2050),Report_Scenarios!$A$29:$A$35,1))))))</f>
        <v/>
      </c>
      <c r="K67" s="23">
        <f>SUM(E67:J67)</f>
        <v/>
      </c>
      <c r="L67" s="23">
        <f>IF(R67&lt;&gt;"",R67,IF($K67=0,0,E67/$K67))</f>
        <v/>
      </c>
      <c r="M67" s="23">
        <f>IF(S67&lt;&gt;"",S67,IF($K67=0,0,F67/$K67))</f>
        <v/>
      </c>
      <c r="N67" s="23">
        <f>IF(T67&lt;&gt;"",T67,IF($K67=0,0,G67/$K67))</f>
        <v/>
      </c>
      <c r="O67" s="23">
        <f>IF(U67&lt;&gt;"",U67,IF($K67=0,0,H67/$K67))</f>
        <v/>
      </c>
      <c r="P67" s="23">
        <f>IF(V67&lt;&gt;"",V67,IF($K67=0,0,I67/$K67))</f>
        <v/>
      </c>
      <c r="Q67" s="23">
        <f>IF(W67&lt;&gt;"",W67,IF($K67=0,0,J67/$K67))</f>
        <v/>
      </c>
      <c r="R67" s="24" t="n"/>
      <c r="S67" s="24" t="n"/>
      <c r="T67" s="24" t="n"/>
      <c r="U67" s="24" t="n"/>
      <c r="V67" s="24" t="n"/>
      <c r="W67" s="24" t="n"/>
    </row>
    <row r="68">
      <c r="A68" s="4" t="inlineStr">
        <is>
          <t>EF</t>
        </is>
      </c>
      <c r="B68" s="4" t="n">
        <v>2025</v>
      </c>
      <c r="C68" s="4" t="inlineStr">
        <is>
          <t>Share_Min</t>
        </is>
      </c>
      <c r="D68" s="4">
        <f>Conversion!$B$18</f>
        <v/>
      </c>
      <c r="E68" s="23">
        <f>IF($D68="Conservative",IF(INDEX(Report_Scenarios!$A$7:$A$13,MIN(MATCH(MEDIAN($B68-Conversion!$B$14,2020,2050),Report_Scenarios!$A$7:$A$13,1)+1,7))=INDEX(Report_Scenarios!$A$7:$A$13,MATCH(MEDIAN($B68-Conversion!$B$14,2020,2050),Report_Scenarios!$A$7:$A$13,1)),INDEX(Report_Scenarios!$B$7:$B$13,MATCH(MEDIAN($B68-Conversion!$B$14,2020,2050),Report_Scenarios!$A$7:$A$13,1)),INDEX(Report_Scenarios!$B$7:$B$13,MATCH(MEDIAN($B68-Conversion!$B$14,2020,2050),Report_Scenarios!$A$7:$A$13,1))+(INDEX(Report_Scenarios!$B$7:$B$13,MIN(MATCH(MEDIAN($B68-Conversion!$B$14,2020,2050),Report_Scenarios!$A$7:$A$13,1)+1,7))-INDEX(Report_Scenarios!$B$7:$B$13,MATCH(MEDIAN($B68-Conversion!$B$14,2020,2050),Report_Scenarios!$A$7:$A$13,1)))*(MEDIAN($B68-Conversion!$B$14,2020,2050)-INDEX(Report_Scenarios!$A$7:$A$13,MATCH(MEDIAN($B68-Conversion!$B$14,2020,2050),Report_Scenarios!$A$7:$A$13,1)))/(INDEX(Report_Scenarios!$A$7:$A$13,MIN(MATCH(MEDIAN($B68-Conversion!$B$14,2020,2050),Report_Scenarios!$A$7:$A$13,1)+1,7))-INDEX(Report_Scenarios!$A$7:$A$13,MATCH(MEDIAN($B68-Conversion!$B$14,2020,2050),Report_Scenarios!$A$7:$A$13,1)))),IF($D68="Central",IF(INDEX(Report_Scenarios!$A$18:$A$24,MIN(MATCH(MEDIAN($B68-Conversion!$B$14,2020,2050),Report_Scenarios!$A$18:$A$24,1)+1,7))=INDEX(Report_Scenarios!$A$18:$A$24,MATCH(MEDIAN($B68-Conversion!$B$14,2020,2050),Report_Scenarios!$A$18:$A$24,1)),INDEX(Report_Scenarios!$B$18:$B$24,MATCH(MEDIAN($B68-Conversion!$B$14,2020,2050),Report_Scenarios!$A$18:$A$24,1)),INDEX(Report_Scenarios!$B$18:$B$24,MATCH(MEDIAN($B68-Conversion!$B$14,2020,2050),Report_Scenarios!$A$18:$A$24,1))+(INDEX(Report_Scenarios!$B$18:$B$24,MIN(MATCH(MEDIAN($B68-Conversion!$B$14,2020,2050),Report_Scenarios!$A$18:$A$24,1)+1,7))-INDEX(Report_Scenarios!$B$18:$B$24,MATCH(MEDIAN($B68-Conversion!$B$14,2020,2050),Report_Scenarios!$A$18:$A$24,1)))*(MEDIAN($B68-Conversion!$B$14,2020,2050)-INDEX(Report_Scenarios!$A$18:$A$24,MATCH(MEDIAN($B68-Conversion!$B$14,2020,2050),Report_Scenarios!$A$18:$A$24,1)))/(INDEX(Report_Scenarios!$A$18:$A$24,MIN(MATCH(MEDIAN($B68-Conversion!$B$14,2020,2050),Report_Scenarios!$A$18:$A$24,1)+1,7))-INDEX(Report_Scenarios!$A$18:$A$24,MATCH(MEDIAN($B68-Conversion!$B$14,2020,2050),Report_Scenarios!$A$18:$A$24,1)))),IF(INDEX(Report_Scenarios!$A$29:$A$35,MIN(MATCH(MEDIAN($B68-Conversion!$B$14,2020,2050),Report_Scenarios!$A$29:$A$35,1)+1,7))=INDEX(Report_Scenarios!$A$29:$A$35,MATCH(MEDIAN($B68-Conversion!$B$14,2020,2050),Report_Scenarios!$A$29:$A$35,1)),INDEX(Report_Scenarios!$B$29:$B$35,MATCH(MEDIAN($B68-Conversion!$B$14,2020,2050),Report_Scenarios!$A$29:$A$35,1)),INDEX(Report_Scenarios!$B$29:$B$35,MATCH(MEDIAN($B68-Conversion!$B$14,2020,2050),Report_Scenarios!$A$29:$A$35,1))+(INDEX(Report_Scenarios!$B$29:$B$35,MIN(MATCH(MEDIAN($B68-Conversion!$B$14,2020,2050),Report_Scenarios!$A$29:$A$35,1)+1,7))-INDEX(Report_Scenarios!$B$29:$B$35,MATCH(MEDIAN($B68-Conversion!$B$14,2020,2050),Report_Scenarios!$A$29:$A$35,1)))*(MEDIAN($B68-Conversion!$B$14,2020,2050)-INDEX(Report_Scenarios!$A$29:$A$35,MATCH(MEDIAN($B68-Conversion!$B$14,2020,2050),Report_Scenarios!$A$29:$A$35,1)))/(INDEX(Report_Scenarios!$A$29:$A$35,MIN(MATCH(MEDIAN($B68-Conversion!$B$14,2020,2050),Report_Scenarios!$A$29:$A$35,1)+1,7))-INDEX(Report_Scenarios!$A$29:$A$35,MATCH(MEDIAN($B68-Conversion!$B$14,2020,2050),Report_Scenarios!$A$29:$A$35,1))))))</f>
        <v/>
      </c>
      <c r="F68" s="23">
        <f>IF($D68="Conservative",IF(INDEX(Report_Scenarios!$A$7:$A$13,MIN(MATCH(MEDIAN($B68-Conversion!$B$14,2020,2050),Report_Scenarios!$A$7:$A$13,1)+1,7))=INDEX(Report_Scenarios!$A$7:$A$13,MATCH(MEDIAN($B68-Conversion!$B$14,2020,2050),Report_Scenarios!$A$7:$A$13,1)),INDEX(Report_Scenarios!$C$7:$C$13,MATCH(MEDIAN($B68-Conversion!$B$14,2020,2050),Report_Scenarios!$A$7:$A$13,1)),INDEX(Report_Scenarios!$C$7:$C$13,MATCH(MEDIAN($B68-Conversion!$B$14,2020,2050),Report_Scenarios!$A$7:$A$13,1))+(INDEX(Report_Scenarios!$C$7:$C$13,MIN(MATCH(MEDIAN($B68-Conversion!$B$14,2020,2050),Report_Scenarios!$A$7:$A$13,1)+1,7))-INDEX(Report_Scenarios!$C$7:$C$13,MATCH(MEDIAN($B68-Conversion!$B$14,2020,2050),Report_Scenarios!$A$7:$A$13,1)))*(MEDIAN($B68-Conversion!$B$14,2020,2050)-INDEX(Report_Scenarios!$A$7:$A$13,MATCH(MEDIAN($B68-Conversion!$B$14,2020,2050),Report_Scenarios!$A$7:$A$13,1)))/(INDEX(Report_Scenarios!$A$7:$A$13,MIN(MATCH(MEDIAN($B68-Conversion!$B$14,2020,2050),Report_Scenarios!$A$7:$A$13,1)+1,7))-INDEX(Report_Scenarios!$A$7:$A$13,MATCH(MEDIAN($B68-Conversion!$B$14,2020,2050),Report_Scenarios!$A$7:$A$13,1)))),IF($D68="Central",IF(INDEX(Report_Scenarios!$A$18:$A$24,MIN(MATCH(MEDIAN($B68-Conversion!$B$14,2020,2050),Report_Scenarios!$A$18:$A$24,1)+1,7))=INDEX(Report_Scenarios!$A$18:$A$24,MATCH(MEDIAN($B68-Conversion!$B$14,2020,2050),Report_Scenarios!$A$18:$A$24,1)),INDEX(Report_Scenarios!$C$18:$C$24,MATCH(MEDIAN($B68-Conversion!$B$14,2020,2050),Report_Scenarios!$A$18:$A$24,1)),INDEX(Report_Scenarios!$C$18:$C$24,MATCH(MEDIAN($B68-Conversion!$B$14,2020,2050),Report_Scenarios!$A$18:$A$24,1))+(INDEX(Report_Scenarios!$C$18:$C$24,MIN(MATCH(MEDIAN($B68-Conversion!$B$14,2020,2050),Report_Scenarios!$A$18:$A$24,1)+1,7))-INDEX(Report_Scenarios!$C$18:$C$24,MATCH(MEDIAN($B68-Conversion!$B$14,2020,2050),Report_Scenarios!$A$18:$A$24,1)))*(MEDIAN($B68-Conversion!$B$14,2020,2050)-INDEX(Report_Scenarios!$A$18:$A$24,MATCH(MEDIAN($B68-Conversion!$B$14,2020,2050),Report_Scenarios!$A$18:$A$24,1)))/(INDEX(Report_Scenarios!$A$18:$A$24,MIN(MATCH(MEDIAN($B68-Conversion!$B$14,2020,2050),Report_Scenarios!$A$18:$A$24,1)+1,7))-INDEX(Report_Scenarios!$A$18:$A$24,MATCH(MEDIAN($B68-Conversion!$B$14,2020,2050),Report_Scenarios!$A$18:$A$24,1)))),IF(INDEX(Report_Scenarios!$A$29:$A$35,MIN(MATCH(MEDIAN($B68-Conversion!$B$14,2020,2050),Report_Scenarios!$A$29:$A$35,1)+1,7))=INDEX(Report_Scenarios!$A$29:$A$35,MATCH(MEDIAN($B68-Conversion!$B$14,2020,2050),Report_Scenarios!$A$29:$A$35,1)),INDEX(Report_Scenarios!$C$29:$C$35,MATCH(MEDIAN($B68-Conversion!$B$14,2020,2050),Report_Scenarios!$A$29:$A$35,1)),INDEX(Report_Scenarios!$C$29:$C$35,MATCH(MEDIAN($B68-Conversion!$B$14,2020,2050),Report_Scenarios!$A$29:$A$35,1))+(INDEX(Report_Scenarios!$C$29:$C$35,MIN(MATCH(MEDIAN($B68-Conversion!$B$14,2020,2050),Report_Scenarios!$A$29:$A$35,1)+1,7))-INDEX(Report_Scenarios!$C$29:$C$35,MATCH(MEDIAN($B68-Conversion!$B$14,2020,2050),Report_Scenarios!$A$29:$A$35,1)))*(MEDIAN($B68-Conversion!$B$14,2020,2050)-INDEX(Report_Scenarios!$A$29:$A$35,MATCH(MEDIAN($B68-Conversion!$B$14,2020,2050),Report_Scenarios!$A$29:$A$35,1)))/(INDEX(Report_Scenarios!$A$29:$A$35,MIN(MATCH(MEDIAN($B68-Conversion!$B$14,2020,2050),Report_Scenarios!$A$29:$A$35,1)+1,7))-INDEX(Report_Scenarios!$A$29:$A$35,MATCH(MEDIAN($B68-Conversion!$B$14,2020,2050),Report_Scenarios!$A$29:$A$35,1))))))</f>
        <v/>
      </c>
      <c r="G68" s="23">
        <f>IF($D68="Conservative",IF(INDEX(Report_Scenarios!$A$7:$A$13,MIN(MATCH(MEDIAN($B68-Conversion!$B$14,2020,2050),Report_Scenarios!$A$7:$A$13,1)+1,7))=INDEX(Report_Scenarios!$A$7:$A$13,MATCH(MEDIAN($B68-Conversion!$B$14,2020,2050),Report_Scenarios!$A$7:$A$13,1)),INDEX(Report_Scenarios!$D$7:$D$13,MATCH(MEDIAN($B68-Conversion!$B$14,2020,2050),Report_Scenarios!$A$7:$A$13,1)),INDEX(Report_Scenarios!$D$7:$D$13,MATCH(MEDIAN($B68-Conversion!$B$14,2020,2050),Report_Scenarios!$A$7:$A$13,1))+(INDEX(Report_Scenarios!$D$7:$D$13,MIN(MATCH(MEDIAN($B68-Conversion!$B$14,2020,2050),Report_Scenarios!$A$7:$A$13,1)+1,7))-INDEX(Report_Scenarios!$D$7:$D$13,MATCH(MEDIAN($B68-Conversion!$B$14,2020,2050),Report_Scenarios!$A$7:$A$13,1)))*(MEDIAN($B68-Conversion!$B$14,2020,2050)-INDEX(Report_Scenarios!$A$7:$A$13,MATCH(MEDIAN($B68-Conversion!$B$14,2020,2050),Report_Scenarios!$A$7:$A$13,1)))/(INDEX(Report_Scenarios!$A$7:$A$13,MIN(MATCH(MEDIAN($B68-Conversion!$B$14,2020,2050),Report_Scenarios!$A$7:$A$13,1)+1,7))-INDEX(Report_Scenarios!$A$7:$A$13,MATCH(MEDIAN($B68-Conversion!$B$14,2020,2050),Report_Scenarios!$A$7:$A$13,1)))),IF($D68="Central",IF(INDEX(Report_Scenarios!$A$18:$A$24,MIN(MATCH(MEDIAN($B68-Conversion!$B$14,2020,2050),Report_Scenarios!$A$18:$A$24,1)+1,7))=INDEX(Report_Scenarios!$A$18:$A$24,MATCH(MEDIAN($B68-Conversion!$B$14,2020,2050),Report_Scenarios!$A$18:$A$24,1)),INDEX(Report_Scenarios!$D$18:$D$24,MATCH(MEDIAN($B68-Conversion!$B$14,2020,2050),Report_Scenarios!$A$18:$A$24,1)),INDEX(Report_Scenarios!$D$18:$D$24,MATCH(MEDIAN($B68-Conversion!$B$14,2020,2050),Report_Scenarios!$A$18:$A$24,1))+(INDEX(Report_Scenarios!$D$18:$D$24,MIN(MATCH(MEDIAN($B68-Conversion!$B$14,2020,2050),Report_Scenarios!$A$18:$A$24,1)+1,7))-INDEX(Report_Scenarios!$D$18:$D$24,MATCH(MEDIAN($B68-Conversion!$B$14,2020,2050),Report_Scenarios!$A$18:$A$24,1)))*(MEDIAN($B68-Conversion!$B$14,2020,2050)-INDEX(Report_Scenarios!$A$18:$A$24,MATCH(MEDIAN($B68-Conversion!$B$14,2020,2050),Report_Scenarios!$A$18:$A$24,1)))/(INDEX(Report_Scenarios!$A$18:$A$24,MIN(MATCH(MEDIAN($B68-Conversion!$B$14,2020,2050),Report_Scenarios!$A$18:$A$24,1)+1,7))-INDEX(Report_Scenarios!$A$18:$A$24,MATCH(MEDIAN($B68-Conversion!$B$14,2020,2050),Report_Scenarios!$A$18:$A$24,1)))),IF(INDEX(Report_Scenarios!$A$29:$A$35,MIN(MATCH(MEDIAN($B68-Conversion!$B$14,2020,2050),Report_Scenarios!$A$29:$A$35,1)+1,7))=INDEX(Report_Scenarios!$A$29:$A$35,MATCH(MEDIAN($B68-Conversion!$B$14,2020,2050),Report_Scenarios!$A$29:$A$35,1)),INDEX(Report_Scenarios!$D$29:$D$35,MATCH(MEDIAN($B68-Conversion!$B$14,2020,2050),Report_Scenarios!$A$29:$A$35,1)),INDEX(Report_Scenarios!$D$29:$D$35,MATCH(MEDIAN($B68-Conversion!$B$14,2020,2050),Report_Scenarios!$A$29:$A$35,1))+(INDEX(Report_Scenarios!$D$29:$D$35,MIN(MATCH(MEDIAN($B68-Conversion!$B$14,2020,2050),Report_Scenarios!$A$29:$A$35,1)+1,7))-INDEX(Report_Scenarios!$D$29:$D$35,MATCH(MEDIAN($B68-Conversion!$B$14,2020,2050),Report_Scenarios!$A$29:$A$35,1)))*(MEDIAN($B68-Conversion!$B$14,2020,2050)-INDEX(Report_Scenarios!$A$29:$A$35,MATCH(MEDIAN($B68-Conversion!$B$14,2020,2050),Report_Scenarios!$A$29:$A$35,1)))/(INDEX(Report_Scenarios!$A$29:$A$35,MIN(MATCH(MEDIAN($B68-Conversion!$B$14,2020,2050),Report_Scenarios!$A$29:$A$35,1)+1,7))-INDEX(Report_Scenarios!$A$29:$A$35,MATCH(MEDIAN($B68-Conversion!$B$14,2020,2050),Report_Scenarios!$A$29:$A$35,1))))))</f>
        <v/>
      </c>
      <c r="H68" s="23">
        <f>IF($D68="Conservative",IF(INDEX(Report_Scenarios!$A$7:$A$13,MIN(MATCH(MEDIAN($B68-Conversion!$B$14,2020,2050),Report_Scenarios!$A$7:$A$13,1)+1,7))=INDEX(Report_Scenarios!$A$7:$A$13,MATCH(MEDIAN($B68-Conversion!$B$14,2020,2050),Report_Scenarios!$A$7:$A$13,1)),INDEX(Report_Scenarios!$E$7:$E$13,MATCH(MEDIAN($B68-Conversion!$B$14,2020,2050),Report_Scenarios!$A$7:$A$13,1)),INDEX(Report_Scenarios!$E$7:$E$13,MATCH(MEDIAN($B68-Conversion!$B$14,2020,2050),Report_Scenarios!$A$7:$A$13,1))+(INDEX(Report_Scenarios!$E$7:$E$13,MIN(MATCH(MEDIAN($B68-Conversion!$B$14,2020,2050),Report_Scenarios!$A$7:$A$13,1)+1,7))-INDEX(Report_Scenarios!$E$7:$E$13,MATCH(MEDIAN($B68-Conversion!$B$14,2020,2050),Report_Scenarios!$A$7:$A$13,1)))*(MEDIAN($B68-Conversion!$B$14,2020,2050)-INDEX(Report_Scenarios!$A$7:$A$13,MATCH(MEDIAN($B68-Conversion!$B$14,2020,2050),Report_Scenarios!$A$7:$A$13,1)))/(INDEX(Report_Scenarios!$A$7:$A$13,MIN(MATCH(MEDIAN($B68-Conversion!$B$14,2020,2050),Report_Scenarios!$A$7:$A$13,1)+1,7))-INDEX(Report_Scenarios!$A$7:$A$13,MATCH(MEDIAN($B68-Conversion!$B$14,2020,2050),Report_Scenarios!$A$7:$A$13,1)))),IF($D68="Central",IF(INDEX(Report_Scenarios!$A$18:$A$24,MIN(MATCH(MEDIAN($B68-Conversion!$B$14,2020,2050),Report_Scenarios!$A$18:$A$24,1)+1,7))=INDEX(Report_Scenarios!$A$18:$A$24,MATCH(MEDIAN($B68-Conversion!$B$14,2020,2050),Report_Scenarios!$A$18:$A$24,1)),INDEX(Report_Scenarios!$E$18:$E$24,MATCH(MEDIAN($B68-Conversion!$B$14,2020,2050),Report_Scenarios!$A$18:$A$24,1)),INDEX(Report_Scenarios!$E$18:$E$24,MATCH(MEDIAN($B68-Conversion!$B$14,2020,2050),Report_Scenarios!$A$18:$A$24,1))+(INDEX(Report_Scenarios!$E$18:$E$24,MIN(MATCH(MEDIAN($B68-Conversion!$B$14,2020,2050),Report_Scenarios!$A$18:$A$24,1)+1,7))-INDEX(Report_Scenarios!$E$18:$E$24,MATCH(MEDIAN($B68-Conversion!$B$14,2020,2050),Report_Scenarios!$A$18:$A$24,1)))*(MEDIAN($B68-Conversion!$B$14,2020,2050)-INDEX(Report_Scenarios!$A$18:$A$24,MATCH(MEDIAN($B68-Conversion!$B$14,2020,2050),Report_Scenarios!$A$18:$A$24,1)))/(INDEX(Report_Scenarios!$A$18:$A$24,MIN(MATCH(MEDIAN($B68-Conversion!$B$14,2020,2050),Report_Scenarios!$A$18:$A$24,1)+1,7))-INDEX(Report_Scenarios!$A$18:$A$24,MATCH(MEDIAN($B68-Conversion!$B$14,2020,2050),Report_Scenarios!$A$18:$A$24,1)))),IF(INDEX(Report_Scenarios!$A$29:$A$35,MIN(MATCH(MEDIAN($B68-Conversion!$B$14,2020,2050),Report_Scenarios!$A$29:$A$35,1)+1,7))=INDEX(Report_Scenarios!$A$29:$A$35,MATCH(MEDIAN($B68-Conversion!$B$14,2020,2050),Report_Scenarios!$A$29:$A$35,1)),INDEX(Report_Scenarios!$E$29:$E$35,MATCH(MEDIAN($B68-Conversion!$B$14,2020,2050),Report_Scenarios!$A$29:$A$35,1)),INDEX(Report_Scenarios!$E$29:$E$35,MATCH(MEDIAN($B68-Conversion!$B$14,2020,2050),Report_Scenarios!$A$29:$A$35,1))+(INDEX(Report_Scenarios!$E$29:$E$35,MIN(MATCH(MEDIAN($B68-Conversion!$B$14,2020,2050),Report_Scenarios!$A$29:$A$35,1)+1,7))-INDEX(Report_Scenarios!$E$29:$E$35,MATCH(MEDIAN($B68-Conversion!$B$14,2020,2050),Report_Scenarios!$A$29:$A$35,1)))*(MEDIAN($B68-Conversion!$B$14,2020,2050)-INDEX(Report_Scenarios!$A$29:$A$35,MATCH(MEDIAN($B68-Conversion!$B$14,2020,2050),Report_Scenarios!$A$29:$A$35,1)))/(INDEX(Report_Scenarios!$A$29:$A$35,MIN(MATCH(MEDIAN($B68-Conversion!$B$14,2020,2050),Report_Scenarios!$A$29:$A$35,1)+1,7))-INDEX(Report_Scenarios!$A$29:$A$35,MATCH(MEDIAN($B68-Conversion!$B$14,2020,2050),Report_Scenarios!$A$29:$A$35,1))))))</f>
        <v/>
      </c>
      <c r="I68" s="23">
        <f>IF($D68="Conservative",IF(INDEX(Report_Scenarios!$A$7:$A$13,MIN(MATCH(MEDIAN($B68-Conversion!$B$14,2020,2050),Report_Scenarios!$A$7:$A$13,1)+1,7))=INDEX(Report_Scenarios!$A$7:$A$13,MATCH(MEDIAN($B68-Conversion!$B$14,2020,2050),Report_Scenarios!$A$7:$A$13,1)),INDEX(Report_Scenarios!$F$7:$F$13,MATCH(MEDIAN($B68-Conversion!$B$14,2020,2050),Report_Scenarios!$A$7:$A$13,1)),INDEX(Report_Scenarios!$F$7:$F$13,MATCH(MEDIAN($B68-Conversion!$B$14,2020,2050),Report_Scenarios!$A$7:$A$13,1))+(INDEX(Report_Scenarios!$F$7:$F$13,MIN(MATCH(MEDIAN($B68-Conversion!$B$14,2020,2050),Report_Scenarios!$A$7:$A$13,1)+1,7))-INDEX(Report_Scenarios!$F$7:$F$13,MATCH(MEDIAN($B68-Conversion!$B$14,2020,2050),Report_Scenarios!$A$7:$A$13,1)))*(MEDIAN($B68-Conversion!$B$14,2020,2050)-INDEX(Report_Scenarios!$A$7:$A$13,MATCH(MEDIAN($B68-Conversion!$B$14,2020,2050),Report_Scenarios!$A$7:$A$13,1)))/(INDEX(Report_Scenarios!$A$7:$A$13,MIN(MATCH(MEDIAN($B68-Conversion!$B$14,2020,2050),Report_Scenarios!$A$7:$A$13,1)+1,7))-INDEX(Report_Scenarios!$A$7:$A$13,MATCH(MEDIAN($B68-Conversion!$B$14,2020,2050),Report_Scenarios!$A$7:$A$13,1)))),IF($D68="Central",IF(INDEX(Report_Scenarios!$A$18:$A$24,MIN(MATCH(MEDIAN($B68-Conversion!$B$14,2020,2050),Report_Scenarios!$A$18:$A$24,1)+1,7))=INDEX(Report_Scenarios!$A$18:$A$24,MATCH(MEDIAN($B68-Conversion!$B$14,2020,2050),Report_Scenarios!$A$18:$A$24,1)),INDEX(Report_Scenarios!$F$18:$F$24,MATCH(MEDIAN($B68-Conversion!$B$14,2020,2050),Report_Scenarios!$A$18:$A$24,1)),INDEX(Report_Scenarios!$F$18:$F$24,MATCH(MEDIAN($B68-Conversion!$B$14,2020,2050),Report_Scenarios!$A$18:$A$24,1))+(INDEX(Report_Scenarios!$F$18:$F$24,MIN(MATCH(MEDIAN($B68-Conversion!$B$14,2020,2050),Report_Scenarios!$A$18:$A$24,1)+1,7))-INDEX(Report_Scenarios!$F$18:$F$24,MATCH(MEDIAN($B68-Conversion!$B$14,2020,2050),Report_Scenarios!$A$18:$A$24,1)))*(MEDIAN($B68-Conversion!$B$14,2020,2050)-INDEX(Report_Scenarios!$A$18:$A$24,MATCH(MEDIAN($B68-Conversion!$B$14,2020,2050),Report_Scenarios!$A$18:$A$24,1)))/(INDEX(Report_Scenarios!$A$18:$A$24,MIN(MATCH(MEDIAN($B68-Conversion!$B$14,2020,2050),Report_Scenarios!$A$18:$A$24,1)+1,7))-INDEX(Report_Scenarios!$A$18:$A$24,MATCH(MEDIAN($B68-Conversion!$B$14,2020,2050),Report_Scenarios!$A$18:$A$24,1)))),IF(INDEX(Report_Scenarios!$A$29:$A$35,MIN(MATCH(MEDIAN($B68-Conversion!$B$14,2020,2050),Report_Scenarios!$A$29:$A$35,1)+1,7))=INDEX(Report_Scenarios!$A$29:$A$35,MATCH(MEDIAN($B68-Conversion!$B$14,2020,2050),Report_Scenarios!$A$29:$A$35,1)),INDEX(Report_Scenarios!$F$29:$F$35,MATCH(MEDIAN($B68-Conversion!$B$14,2020,2050),Report_Scenarios!$A$29:$A$35,1)),INDEX(Report_Scenarios!$F$29:$F$35,MATCH(MEDIAN($B68-Conversion!$B$14,2020,2050),Report_Scenarios!$A$29:$A$35,1))+(INDEX(Report_Scenarios!$F$29:$F$35,MIN(MATCH(MEDIAN($B68-Conversion!$B$14,2020,2050),Report_Scenarios!$A$29:$A$35,1)+1,7))-INDEX(Report_Scenarios!$F$29:$F$35,MATCH(MEDIAN($B68-Conversion!$B$14,2020,2050),Report_Scenarios!$A$29:$A$35,1)))*(MEDIAN($B68-Conversion!$B$14,2020,2050)-INDEX(Report_Scenarios!$A$29:$A$35,MATCH(MEDIAN($B68-Conversion!$B$14,2020,2050),Report_Scenarios!$A$29:$A$35,1)))/(INDEX(Report_Scenarios!$A$29:$A$35,MIN(MATCH(MEDIAN($B68-Conversion!$B$14,2020,2050),Report_Scenarios!$A$29:$A$35,1)+1,7))-INDEX(Report_Scenarios!$A$29:$A$35,MATCH(MEDIAN($B68-Conversion!$B$14,2020,2050),Report_Scenarios!$A$29:$A$35,1))))))</f>
        <v/>
      </c>
      <c r="J68" s="23">
        <f>IF($D68="Conservative",IF(INDEX(Report_Scenarios!$A$7:$A$13,MIN(MATCH(MEDIAN($B68-Conversion!$B$14,2020,2050),Report_Scenarios!$A$7:$A$13,1)+1,7))=INDEX(Report_Scenarios!$A$7:$A$13,MATCH(MEDIAN($B68-Conversion!$B$14,2020,2050),Report_Scenarios!$A$7:$A$13,1)),INDEX(Report_Scenarios!$G$7:$G$13,MATCH(MEDIAN($B68-Conversion!$B$14,2020,2050),Report_Scenarios!$A$7:$A$13,1)),INDEX(Report_Scenarios!$G$7:$G$13,MATCH(MEDIAN($B68-Conversion!$B$14,2020,2050),Report_Scenarios!$A$7:$A$13,1))+(INDEX(Report_Scenarios!$G$7:$G$13,MIN(MATCH(MEDIAN($B68-Conversion!$B$14,2020,2050),Report_Scenarios!$A$7:$A$13,1)+1,7))-INDEX(Report_Scenarios!$G$7:$G$13,MATCH(MEDIAN($B68-Conversion!$B$14,2020,2050),Report_Scenarios!$A$7:$A$13,1)))*(MEDIAN($B68-Conversion!$B$14,2020,2050)-INDEX(Report_Scenarios!$A$7:$A$13,MATCH(MEDIAN($B68-Conversion!$B$14,2020,2050),Report_Scenarios!$A$7:$A$13,1)))/(INDEX(Report_Scenarios!$A$7:$A$13,MIN(MATCH(MEDIAN($B68-Conversion!$B$14,2020,2050),Report_Scenarios!$A$7:$A$13,1)+1,7))-INDEX(Report_Scenarios!$A$7:$A$13,MATCH(MEDIAN($B68-Conversion!$B$14,2020,2050),Report_Scenarios!$A$7:$A$13,1)))),IF($D68="Central",IF(INDEX(Report_Scenarios!$A$18:$A$24,MIN(MATCH(MEDIAN($B68-Conversion!$B$14,2020,2050),Report_Scenarios!$A$18:$A$24,1)+1,7))=INDEX(Report_Scenarios!$A$18:$A$24,MATCH(MEDIAN($B68-Conversion!$B$14,2020,2050),Report_Scenarios!$A$18:$A$24,1)),INDEX(Report_Scenarios!$G$18:$G$24,MATCH(MEDIAN($B68-Conversion!$B$14,2020,2050),Report_Scenarios!$A$18:$A$24,1)),INDEX(Report_Scenarios!$G$18:$G$24,MATCH(MEDIAN($B68-Conversion!$B$14,2020,2050),Report_Scenarios!$A$18:$A$24,1))+(INDEX(Report_Scenarios!$G$18:$G$24,MIN(MATCH(MEDIAN($B68-Conversion!$B$14,2020,2050),Report_Scenarios!$A$18:$A$24,1)+1,7))-INDEX(Report_Scenarios!$G$18:$G$24,MATCH(MEDIAN($B68-Conversion!$B$14,2020,2050),Report_Scenarios!$A$18:$A$24,1)))*(MEDIAN($B68-Conversion!$B$14,2020,2050)-INDEX(Report_Scenarios!$A$18:$A$24,MATCH(MEDIAN($B68-Conversion!$B$14,2020,2050),Report_Scenarios!$A$18:$A$24,1)))/(INDEX(Report_Scenarios!$A$18:$A$24,MIN(MATCH(MEDIAN($B68-Conversion!$B$14,2020,2050),Report_Scenarios!$A$18:$A$24,1)+1,7))-INDEX(Report_Scenarios!$A$18:$A$24,MATCH(MEDIAN($B68-Conversion!$B$14,2020,2050),Report_Scenarios!$A$18:$A$24,1)))),IF(INDEX(Report_Scenarios!$A$29:$A$35,MIN(MATCH(MEDIAN($B68-Conversion!$B$14,2020,2050),Report_Scenarios!$A$29:$A$35,1)+1,7))=INDEX(Report_Scenarios!$A$29:$A$35,MATCH(MEDIAN($B68-Conversion!$B$14,2020,2050),Report_Scenarios!$A$29:$A$35,1)),INDEX(Report_Scenarios!$G$29:$G$35,MATCH(MEDIAN($B68-Conversion!$B$14,2020,2050),Report_Scenarios!$A$29:$A$35,1)),INDEX(Report_Scenarios!$G$29:$G$35,MATCH(MEDIAN($B68-Conversion!$B$14,2020,2050),Report_Scenarios!$A$29:$A$35,1))+(INDEX(Report_Scenarios!$G$29:$G$35,MIN(MATCH(MEDIAN($B68-Conversion!$B$14,2020,2050),Report_Scenarios!$A$29:$A$35,1)+1,7))-INDEX(Report_Scenarios!$G$29:$G$35,MATCH(MEDIAN($B68-Conversion!$B$14,2020,2050),Report_Scenarios!$A$29:$A$35,1)))*(MEDIAN($B68-Conversion!$B$14,2020,2050)-INDEX(Report_Scenarios!$A$29:$A$35,MATCH(MEDIAN($B68-Conversion!$B$14,2020,2050),Report_Scenarios!$A$29:$A$35,1)))/(INDEX(Report_Scenarios!$A$29:$A$35,MIN(MATCH(MEDIAN($B68-Conversion!$B$14,2020,2050),Report_Scenarios!$A$29:$A$35,1)+1,7))-INDEX(Report_Scenarios!$A$29:$A$35,MATCH(MEDIAN($B68-Conversion!$B$14,2020,2050),Report_Scenarios!$A$29:$A$35,1))))))</f>
        <v/>
      </c>
      <c r="K68" s="23">
        <f>SUM(E68:J68)</f>
        <v/>
      </c>
      <c r="L68" s="23">
        <f>IF(R68&lt;&gt;"",R68,IF($K68=0,0,E68/$K68))</f>
        <v/>
      </c>
      <c r="M68" s="23">
        <f>IF(S68&lt;&gt;"",S68,IF($K68=0,0,F68/$K68))</f>
        <v/>
      </c>
      <c r="N68" s="23">
        <f>IF(T68&lt;&gt;"",T68,IF($K68=0,0,G68/$K68))</f>
        <v/>
      </c>
      <c r="O68" s="23">
        <f>IF(U68&lt;&gt;"",U68,IF($K68=0,0,H68/$K68))</f>
        <v/>
      </c>
      <c r="P68" s="23">
        <f>IF(V68&lt;&gt;"",V68,IF($K68=0,0,I68/$K68))</f>
        <v/>
      </c>
      <c r="Q68" s="23">
        <f>IF(W68&lt;&gt;"",W68,IF($K68=0,0,J68/$K68))</f>
        <v/>
      </c>
      <c r="R68" s="24" t="n"/>
      <c r="S68" s="24" t="n"/>
      <c r="T68" s="24" t="n"/>
      <c r="U68" s="24" t="n"/>
      <c r="V68" s="24" t="n"/>
      <c r="W68" s="24" t="n"/>
    </row>
    <row r="69">
      <c r="A69" s="4" t="inlineStr">
        <is>
          <t>EF</t>
        </is>
      </c>
      <c r="B69" s="4" t="n">
        <v>2025</v>
      </c>
      <c r="C69" s="4" t="inlineStr">
        <is>
          <t>Share_Mode</t>
        </is>
      </c>
      <c r="D69" s="4">
        <f>Conversion!$B$19</f>
        <v/>
      </c>
      <c r="E69" s="23">
        <f>IF($D69="Conservative",IF(INDEX(Report_Scenarios!$A$7:$A$13,MIN(MATCH(MEDIAN($B69-Conversion!$B$14,2020,2050),Report_Scenarios!$A$7:$A$13,1)+1,7))=INDEX(Report_Scenarios!$A$7:$A$13,MATCH(MEDIAN($B69-Conversion!$B$14,2020,2050),Report_Scenarios!$A$7:$A$13,1)),INDEX(Report_Scenarios!$B$7:$B$13,MATCH(MEDIAN($B69-Conversion!$B$14,2020,2050),Report_Scenarios!$A$7:$A$13,1)),INDEX(Report_Scenarios!$B$7:$B$13,MATCH(MEDIAN($B69-Conversion!$B$14,2020,2050),Report_Scenarios!$A$7:$A$13,1))+(INDEX(Report_Scenarios!$B$7:$B$13,MIN(MATCH(MEDIAN($B69-Conversion!$B$14,2020,2050),Report_Scenarios!$A$7:$A$13,1)+1,7))-INDEX(Report_Scenarios!$B$7:$B$13,MATCH(MEDIAN($B69-Conversion!$B$14,2020,2050),Report_Scenarios!$A$7:$A$13,1)))*(MEDIAN($B69-Conversion!$B$14,2020,2050)-INDEX(Report_Scenarios!$A$7:$A$13,MATCH(MEDIAN($B69-Conversion!$B$14,2020,2050),Report_Scenarios!$A$7:$A$13,1)))/(INDEX(Report_Scenarios!$A$7:$A$13,MIN(MATCH(MEDIAN($B69-Conversion!$B$14,2020,2050),Report_Scenarios!$A$7:$A$13,1)+1,7))-INDEX(Report_Scenarios!$A$7:$A$13,MATCH(MEDIAN($B69-Conversion!$B$14,2020,2050),Report_Scenarios!$A$7:$A$13,1)))),IF($D69="Central",IF(INDEX(Report_Scenarios!$A$18:$A$24,MIN(MATCH(MEDIAN($B69-Conversion!$B$14,2020,2050),Report_Scenarios!$A$18:$A$24,1)+1,7))=INDEX(Report_Scenarios!$A$18:$A$24,MATCH(MEDIAN($B69-Conversion!$B$14,2020,2050),Report_Scenarios!$A$18:$A$24,1)),INDEX(Report_Scenarios!$B$18:$B$24,MATCH(MEDIAN($B69-Conversion!$B$14,2020,2050),Report_Scenarios!$A$18:$A$24,1)),INDEX(Report_Scenarios!$B$18:$B$24,MATCH(MEDIAN($B69-Conversion!$B$14,2020,2050),Report_Scenarios!$A$18:$A$24,1))+(INDEX(Report_Scenarios!$B$18:$B$24,MIN(MATCH(MEDIAN($B69-Conversion!$B$14,2020,2050),Report_Scenarios!$A$18:$A$24,1)+1,7))-INDEX(Report_Scenarios!$B$18:$B$24,MATCH(MEDIAN($B69-Conversion!$B$14,2020,2050),Report_Scenarios!$A$18:$A$24,1)))*(MEDIAN($B69-Conversion!$B$14,2020,2050)-INDEX(Report_Scenarios!$A$18:$A$24,MATCH(MEDIAN($B69-Conversion!$B$14,2020,2050),Report_Scenarios!$A$18:$A$24,1)))/(INDEX(Report_Scenarios!$A$18:$A$24,MIN(MATCH(MEDIAN($B69-Conversion!$B$14,2020,2050),Report_Scenarios!$A$18:$A$24,1)+1,7))-INDEX(Report_Scenarios!$A$18:$A$24,MATCH(MEDIAN($B69-Conversion!$B$14,2020,2050),Report_Scenarios!$A$18:$A$24,1)))),IF(INDEX(Report_Scenarios!$A$29:$A$35,MIN(MATCH(MEDIAN($B69-Conversion!$B$14,2020,2050),Report_Scenarios!$A$29:$A$35,1)+1,7))=INDEX(Report_Scenarios!$A$29:$A$35,MATCH(MEDIAN($B69-Conversion!$B$14,2020,2050),Report_Scenarios!$A$29:$A$35,1)),INDEX(Report_Scenarios!$B$29:$B$35,MATCH(MEDIAN($B69-Conversion!$B$14,2020,2050),Report_Scenarios!$A$29:$A$35,1)),INDEX(Report_Scenarios!$B$29:$B$35,MATCH(MEDIAN($B69-Conversion!$B$14,2020,2050),Report_Scenarios!$A$29:$A$35,1))+(INDEX(Report_Scenarios!$B$29:$B$35,MIN(MATCH(MEDIAN($B69-Conversion!$B$14,2020,2050),Report_Scenarios!$A$29:$A$35,1)+1,7))-INDEX(Report_Scenarios!$B$29:$B$35,MATCH(MEDIAN($B69-Conversion!$B$14,2020,2050),Report_Scenarios!$A$29:$A$35,1)))*(MEDIAN($B69-Conversion!$B$14,2020,2050)-INDEX(Report_Scenarios!$A$29:$A$35,MATCH(MEDIAN($B69-Conversion!$B$14,2020,2050),Report_Scenarios!$A$29:$A$35,1)))/(INDEX(Report_Scenarios!$A$29:$A$35,MIN(MATCH(MEDIAN($B69-Conversion!$B$14,2020,2050),Report_Scenarios!$A$29:$A$35,1)+1,7))-INDEX(Report_Scenarios!$A$29:$A$35,MATCH(MEDIAN($B69-Conversion!$B$14,2020,2050),Report_Scenarios!$A$29:$A$35,1))))))</f>
        <v/>
      </c>
      <c r="F69" s="23">
        <f>IF($D69="Conservative",IF(INDEX(Report_Scenarios!$A$7:$A$13,MIN(MATCH(MEDIAN($B69-Conversion!$B$14,2020,2050),Report_Scenarios!$A$7:$A$13,1)+1,7))=INDEX(Report_Scenarios!$A$7:$A$13,MATCH(MEDIAN($B69-Conversion!$B$14,2020,2050),Report_Scenarios!$A$7:$A$13,1)),INDEX(Report_Scenarios!$C$7:$C$13,MATCH(MEDIAN($B69-Conversion!$B$14,2020,2050),Report_Scenarios!$A$7:$A$13,1)),INDEX(Report_Scenarios!$C$7:$C$13,MATCH(MEDIAN($B69-Conversion!$B$14,2020,2050),Report_Scenarios!$A$7:$A$13,1))+(INDEX(Report_Scenarios!$C$7:$C$13,MIN(MATCH(MEDIAN($B69-Conversion!$B$14,2020,2050),Report_Scenarios!$A$7:$A$13,1)+1,7))-INDEX(Report_Scenarios!$C$7:$C$13,MATCH(MEDIAN($B69-Conversion!$B$14,2020,2050),Report_Scenarios!$A$7:$A$13,1)))*(MEDIAN($B69-Conversion!$B$14,2020,2050)-INDEX(Report_Scenarios!$A$7:$A$13,MATCH(MEDIAN($B69-Conversion!$B$14,2020,2050),Report_Scenarios!$A$7:$A$13,1)))/(INDEX(Report_Scenarios!$A$7:$A$13,MIN(MATCH(MEDIAN($B69-Conversion!$B$14,2020,2050),Report_Scenarios!$A$7:$A$13,1)+1,7))-INDEX(Report_Scenarios!$A$7:$A$13,MATCH(MEDIAN($B69-Conversion!$B$14,2020,2050),Report_Scenarios!$A$7:$A$13,1)))),IF($D69="Central",IF(INDEX(Report_Scenarios!$A$18:$A$24,MIN(MATCH(MEDIAN($B69-Conversion!$B$14,2020,2050),Report_Scenarios!$A$18:$A$24,1)+1,7))=INDEX(Report_Scenarios!$A$18:$A$24,MATCH(MEDIAN($B69-Conversion!$B$14,2020,2050),Report_Scenarios!$A$18:$A$24,1)),INDEX(Report_Scenarios!$C$18:$C$24,MATCH(MEDIAN($B69-Conversion!$B$14,2020,2050),Report_Scenarios!$A$18:$A$24,1)),INDEX(Report_Scenarios!$C$18:$C$24,MATCH(MEDIAN($B69-Conversion!$B$14,2020,2050),Report_Scenarios!$A$18:$A$24,1))+(INDEX(Report_Scenarios!$C$18:$C$24,MIN(MATCH(MEDIAN($B69-Conversion!$B$14,2020,2050),Report_Scenarios!$A$18:$A$24,1)+1,7))-INDEX(Report_Scenarios!$C$18:$C$24,MATCH(MEDIAN($B69-Conversion!$B$14,2020,2050),Report_Scenarios!$A$18:$A$24,1)))*(MEDIAN($B69-Conversion!$B$14,2020,2050)-INDEX(Report_Scenarios!$A$18:$A$24,MATCH(MEDIAN($B69-Conversion!$B$14,2020,2050),Report_Scenarios!$A$18:$A$24,1)))/(INDEX(Report_Scenarios!$A$18:$A$24,MIN(MATCH(MEDIAN($B69-Conversion!$B$14,2020,2050),Report_Scenarios!$A$18:$A$24,1)+1,7))-INDEX(Report_Scenarios!$A$18:$A$24,MATCH(MEDIAN($B69-Conversion!$B$14,2020,2050),Report_Scenarios!$A$18:$A$24,1)))),IF(INDEX(Report_Scenarios!$A$29:$A$35,MIN(MATCH(MEDIAN($B69-Conversion!$B$14,2020,2050),Report_Scenarios!$A$29:$A$35,1)+1,7))=INDEX(Report_Scenarios!$A$29:$A$35,MATCH(MEDIAN($B69-Conversion!$B$14,2020,2050),Report_Scenarios!$A$29:$A$35,1)),INDEX(Report_Scenarios!$C$29:$C$35,MATCH(MEDIAN($B69-Conversion!$B$14,2020,2050),Report_Scenarios!$A$29:$A$35,1)),INDEX(Report_Scenarios!$C$29:$C$35,MATCH(MEDIAN($B69-Conversion!$B$14,2020,2050),Report_Scenarios!$A$29:$A$35,1))+(INDEX(Report_Scenarios!$C$29:$C$35,MIN(MATCH(MEDIAN($B69-Conversion!$B$14,2020,2050),Report_Scenarios!$A$29:$A$35,1)+1,7))-INDEX(Report_Scenarios!$C$29:$C$35,MATCH(MEDIAN($B69-Conversion!$B$14,2020,2050),Report_Scenarios!$A$29:$A$35,1)))*(MEDIAN($B69-Conversion!$B$14,2020,2050)-INDEX(Report_Scenarios!$A$29:$A$35,MATCH(MEDIAN($B69-Conversion!$B$14,2020,2050),Report_Scenarios!$A$29:$A$35,1)))/(INDEX(Report_Scenarios!$A$29:$A$35,MIN(MATCH(MEDIAN($B69-Conversion!$B$14,2020,2050),Report_Scenarios!$A$29:$A$35,1)+1,7))-INDEX(Report_Scenarios!$A$29:$A$35,MATCH(MEDIAN($B69-Conversion!$B$14,2020,2050),Report_Scenarios!$A$29:$A$35,1))))))</f>
        <v/>
      </c>
      <c r="G69" s="23">
        <f>IF($D69="Conservative",IF(INDEX(Report_Scenarios!$A$7:$A$13,MIN(MATCH(MEDIAN($B69-Conversion!$B$14,2020,2050),Report_Scenarios!$A$7:$A$13,1)+1,7))=INDEX(Report_Scenarios!$A$7:$A$13,MATCH(MEDIAN($B69-Conversion!$B$14,2020,2050),Report_Scenarios!$A$7:$A$13,1)),INDEX(Report_Scenarios!$D$7:$D$13,MATCH(MEDIAN($B69-Conversion!$B$14,2020,2050),Report_Scenarios!$A$7:$A$13,1)),INDEX(Report_Scenarios!$D$7:$D$13,MATCH(MEDIAN($B69-Conversion!$B$14,2020,2050),Report_Scenarios!$A$7:$A$13,1))+(INDEX(Report_Scenarios!$D$7:$D$13,MIN(MATCH(MEDIAN($B69-Conversion!$B$14,2020,2050),Report_Scenarios!$A$7:$A$13,1)+1,7))-INDEX(Report_Scenarios!$D$7:$D$13,MATCH(MEDIAN($B69-Conversion!$B$14,2020,2050),Report_Scenarios!$A$7:$A$13,1)))*(MEDIAN($B69-Conversion!$B$14,2020,2050)-INDEX(Report_Scenarios!$A$7:$A$13,MATCH(MEDIAN($B69-Conversion!$B$14,2020,2050),Report_Scenarios!$A$7:$A$13,1)))/(INDEX(Report_Scenarios!$A$7:$A$13,MIN(MATCH(MEDIAN($B69-Conversion!$B$14,2020,2050),Report_Scenarios!$A$7:$A$13,1)+1,7))-INDEX(Report_Scenarios!$A$7:$A$13,MATCH(MEDIAN($B69-Conversion!$B$14,2020,2050),Report_Scenarios!$A$7:$A$13,1)))),IF($D69="Central",IF(INDEX(Report_Scenarios!$A$18:$A$24,MIN(MATCH(MEDIAN($B69-Conversion!$B$14,2020,2050),Report_Scenarios!$A$18:$A$24,1)+1,7))=INDEX(Report_Scenarios!$A$18:$A$24,MATCH(MEDIAN($B69-Conversion!$B$14,2020,2050),Report_Scenarios!$A$18:$A$24,1)),INDEX(Report_Scenarios!$D$18:$D$24,MATCH(MEDIAN($B69-Conversion!$B$14,2020,2050),Report_Scenarios!$A$18:$A$24,1)),INDEX(Report_Scenarios!$D$18:$D$24,MATCH(MEDIAN($B69-Conversion!$B$14,2020,2050),Report_Scenarios!$A$18:$A$24,1))+(INDEX(Report_Scenarios!$D$18:$D$24,MIN(MATCH(MEDIAN($B69-Conversion!$B$14,2020,2050),Report_Scenarios!$A$18:$A$24,1)+1,7))-INDEX(Report_Scenarios!$D$18:$D$24,MATCH(MEDIAN($B69-Conversion!$B$14,2020,2050),Report_Scenarios!$A$18:$A$24,1)))*(MEDIAN($B69-Conversion!$B$14,2020,2050)-INDEX(Report_Scenarios!$A$18:$A$24,MATCH(MEDIAN($B69-Conversion!$B$14,2020,2050),Report_Scenarios!$A$18:$A$24,1)))/(INDEX(Report_Scenarios!$A$18:$A$24,MIN(MATCH(MEDIAN($B69-Conversion!$B$14,2020,2050),Report_Scenarios!$A$18:$A$24,1)+1,7))-INDEX(Report_Scenarios!$A$18:$A$24,MATCH(MEDIAN($B69-Conversion!$B$14,2020,2050),Report_Scenarios!$A$18:$A$24,1)))),IF(INDEX(Report_Scenarios!$A$29:$A$35,MIN(MATCH(MEDIAN($B69-Conversion!$B$14,2020,2050),Report_Scenarios!$A$29:$A$35,1)+1,7))=INDEX(Report_Scenarios!$A$29:$A$35,MATCH(MEDIAN($B69-Conversion!$B$14,2020,2050),Report_Scenarios!$A$29:$A$35,1)),INDEX(Report_Scenarios!$D$29:$D$35,MATCH(MEDIAN($B69-Conversion!$B$14,2020,2050),Report_Scenarios!$A$29:$A$35,1)),INDEX(Report_Scenarios!$D$29:$D$35,MATCH(MEDIAN($B69-Conversion!$B$14,2020,2050),Report_Scenarios!$A$29:$A$35,1))+(INDEX(Report_Scenarios!$D$29:$D$35,MIN(MATCH(MEDIAN($B69-Conversion!$B$14,2020,2050),Report_Scenarios!$A$29:$A$35,1)+1,7))-INDEX(Report_Scenarios!$D$29:$D$35,MATCH(MEDIAN($B69-Conversion!$B$14,2020,2050),Report_Scenarios!$A$29:$A$35,1)))*(MEDIAN($B69-Conversion!$B$14,2020,2050)-INDEX(Report_Scenarios!$A$29:$A$35,MATCH(MEDIAN($B69-Conversion!$B$14,2020,2050),Report_Scenarios!$A$29:$A$35,1)))/(INDEX(Report_Scenarios!$A$29:$A$35,MIN(MATCH(MEDIAN($B69-Conversion!$B$14,2020,2050),Report_Scenarios!$A$29:$A$35,1)+1,7))-INDEX(Report_Scenarios!$A$29:$A$35,MATCH(MEDIAN($B69-Conversion!$B$14,2020,2050),Report_Scenarios!$A$29:$A$35,1))))))</f>
        <v/>
      </c>
      <c r="H69" s="23">
        <f>IF($D69="Conservative",IF(INDEX(Report_Scenarios!$A$7:$A$13,MIN(MATCH(MEDIAN($B69-Conversion!$B$14,2020,2050),Report_Scenarios!$A$7:$A$13,1)+1,7))=INDEX(Report_Scenarios!$A$7:$A$13,MATCH(MEDIAN($B69-Conversion!$B$14,2020,2050),Report_Scenarios!$A$7:$A$13,1)),INDEX(Report_Scenarios!$E$7:$E$13,MATCH(MEDIAN($B69-Conversion!$B$14,2020,2050),Report_Scenarios!$A$7:$A$13,1)),INDEX(Report_Scenarios!$E$7:$E$13,MATCH(MEDIAN($B69-Conversion!$B$14,2020,2050),Report_Scenarios!$A$7:$A$13,1))+(INDEX(Report_Scenarios!$E$7:$E$13,MIN(MATCH(MEDIAN($B69-Conversion!$B$14,2020,2050),Report_Scenarios!$A$7:$A$13,1)+1,7))-INDEX(Report_Scenarios!$E$7:$E$13,MATCH(MEDIAN($B69-Conversion!$B$14,2020,2050),Report_Scenarios!$A$7:$A$13,1)))*(MEDIAN($B69-Conversion!$B$14,2020,2050)-INDEX(Report_Scenarios!$A$7:$A$13,MATCH(MEDIAN($B69-Conversion!$B$14,2020,2050),Report_Scenarios!$A$7:$A$13,1)))/(INDEX(Report_Scenarios!$A$7:$A$13,MIN(MATCH(MEDIAN($B69-Conversion!$B$14,2020,2050),Report_Scenarios!$A$7:$A$13,1)+1,7))-INDEX(Report_Scenarios!$A$7:$A$13,MATCH(MEDIAN($B69-Conversion!$B$14,2020,2050),Report_Scenarios!$A$7:$A$13,1)))),IF($D69="Central",IF(INDEX(Report_Scenarios!$A$18:$A$24,MIN(MATCH(MEDIAN($B69-Conversion!$B$14,2020,2050),Report_Scenarios!$A$18:$A$24,1)+1,7))=INDEX(Report_Scenarios!$A$18:$A$24,MATCH(MEDIAN($B69-Conversion!$B$14,2020,2050),Report_Scenarios!$A$18:$A$24,1)),INDEX(Report_Scenarios!$E$18:$E$24,MATCH(MEDIAN($B69-Conversion!$B$14,2020,2050),Report_Scenarios!$A$18:$A$24,1)),INDEX(Report_Scenarios!$E$18:$E$24,MATCH(MEDIAN($B69-Conversion!$B$14,2020,2050),Report_Scenarios!$A$18:$A$24,1))+(INDEX(Report_Scenarios!$E$18:$E$24,MIN(MATCH(MEDIAN($B69-Conversion!$B$14,2020,2050),Report_Scenarios!$A$18:$A$24,1)+1,7))-INDEX(Report_Scenarios!$E$18:$E$24,MATCH(MEDIAN($B69-Conversion!$B$14,2020,2050),Report_Scenarios!$A$18:$A$24,1)))*(MEDIAN($B69-Conversion!$B$14,2020,2050)-INDEX(Report_Scenarios!$A$18:$A$24,MATCH(MEDIAN($B69-Conversion!$B$14,2020,2050),Report_Scenarios!$A$18:$A$24,1)))/(INDEX(Report_Scenarios!$A$18:$A$24,MIN(MATCH(MEDIAN($B69-Conversion!$B$14,2020,2050),Report_Scenarios!$A$18:$A$24,1)+1,7))-INDEX(Report_Scenarios!$A$18:$A$24,MATCH(MEDIAN($B69-Conversion!$B$14,2020,2050),Report_Scenarios!$A$18:$A$24,1)))),IF(INDEX(Report_Scenarios!$A$29:$A$35,MIN(MATCH(MEDIAN($B69-Conversion!$B$14,2020,2050),Report_Scenarios!$A$29:$A$35,1)+1,7))=INDEX(Report_Scenarios!$A$29:$A$35,MATCH(MEDIAN($B69-Conversion!$B$14,2020,2050),Report_Scenarios!$A$29:$A$35,1)),INDEX(Report_Scenarios!$E$29:$E$35,MATCH(MEDIAN($B69-Conversion!$B$14,2020,2050),Report_Scenarios!$A$29:$A$35,1)),INDEX(Report_Scenarios!$E$29:$E$35,MATCH(MEDIAN($B69-Conversion!$B$14,2020,2050),Report_Scenarios!$A$29:$A$35,1))+(INDEX(Report_Scenarios!$E$29:$E$35,MIN(MATCH(MEDIAN($B69-Conversion!$B$14,2020,2050),Report_Scenarios!$A$29:$A$35,1)+1,7))-INDEX(Report_Scenarios!$E$29:$E$35,MATCH(MEDIAN($B69-Conversion!$B$14,2020,2050),Report_Scenarios!$A$29:$A$35,1)))*(MEDIAN($B69-Conversion!$B$14,2020,2050)-INDEX(Report_Scenarios!$A$29:$A$35,MATCH(MEDIAN($B69-Conversion!$B$14,2020,2050),Report_Scenarios!$A$29:$A$35,1)))/(INDEX(Report_Scenarios!$A$29:$A$35,MIN(MATCH(MEDIAN($B69-Conversion!$B$14,2020,2050),Report_Scenarios!$A$29:$A$35,1)+1,7))-INDEX(Report_Scenarios!$A$29:$A$35,MATCH(MEDIAN($B69-Conversion!$B$14,2020,2050),Report_Scenarios!$A$29:$A$35,1))))))</f>
        <v/>
      </c>
      <c r="I69" s="23">
        <f>IF($D69="Conservative",IF(INDEX(Report_Scenarios!$A$7:$A$13,MIN(MATCH(MEDIAN($B69-Conversion!$B$14,2020,2050),Report_Scenarios!$A$7:$A$13,1)+1,7))=INDEX(Report_Scenarios!$A$7:$A$13,MATCH(MEDIAN($B69-Conversion!$B$14,2020,2050),Report_Scenarios!$A$7:$A$13,1)),INDEX(Report_Scenarios!$F$7:$F$13,MATCH(MEDIAN($B69-Conversion!$B$14,2020,2050),Report_Scenarios!$A$7:$A$13,1)),INDEX(Report_Scenarios!$F$7:$F$13,MATCH(MEDIAN($B69-Conversion!$B$14,2020,2050),Report_Scenarios!$A$7:$A$13,1))+(INDEX(Report_Scenarios!$F$7:$F$13,MIN(MATCH(MEDIAN($B69-Conversion!$B$14,2020,2050),Report_Scenarios!$A$7:$A$13,1)+1,7))-INDEX(Report_Scenarios!$F$7:$F$13,MATCH(MEDIAN($B69-Conversion!$B$14,2020,2050),Report_Scenarios!$A$7:$A$13,1)))*(MEDIAN($B69-Conversion!$B$14,2020,2050)-INDEX(Report_Scenarios!$A$7:$A$13,MATCH(MEDIAN($B69-Conversion!$B$14,2020,2050),Report_Scenarios!$A$7:$A$13,1)))/(INDEX(Report_Scenarios!$A$7:$A$13,MIN(MATCH(MEDIAN($B69-Conversion!$B$14,2020,2050),Report_Scenarios!$A$7:$A$13,1)+1,7))-INDEX(Report_Scenarios!$A$7:$A$13,MATCH(MEDIAN($B69-Conversion!$B$14,2020,2050),Report_Scenarios!$A$7:$A$13,1)))),IF($D69="Central",IF(INDEX(Report_Scenarios!$A$18:$A$24,MIN(MATCH(MEDIAN($B69-Conversion!$B$14,2020,2050),Report_Scenarios!$A$18:$A$24,1)+1,7))=INDEX(Report_Scenarios!$A$18:$A$24,MATCH(MEDIAN($B69-Conversion!$B$14,2020,2050),Report_Scenarios!$A$18:$A$24,1)),INDEX(Report_Scenarios!$F$18:$F$24,MATCH(MEDIAN($B69-Conversion!$B$14,2020,2050),Report_Scenarios!$A$18:$A$24,1)),INDEX(Report_Scenarios!$F$18:$F$24,MATCH(MEDIAN($B69-Conversion!$B$14,2020,2050),Report_Scenarios!$A$18:$A$24,1))+(INDEX(Report_Scenarios!$F$18:$F$24,MIN(MATCH(MEDIAN($B69-Conversion!$B$14,2020,2050),Report_Scenarios!$A$18:$A$24,1)+1,7))-INDEX(Report_Scenarios!$F$18:$F$24,MATCH(MEDIAN($B69-Conversion!$B$14,2020,2050),Report_Scenarios!$A$18:$A$24,1)))*(MEDIAN($B69-Conversion!$B$14,2020,2050)-INDEX(Report_Scenarios!$A$18:$A$24,MATCH(MEDIAN($B69-Conversion!$B$14,2020,2050),Report_Scenarios!$A$18:$A$24,1)))/(INDEX(Report_Scenarios!$A$18:$A$24,MIN(MATCH(MEDIAN($B69-Conversion!$B$14,2020,2050),Report_Scenarios!$A$18:$A$24,1)+1,7))-INDEX(Report_Scenarios!$A$18:$A$24,MATCH(MEDIAN($B69-Conversion!$B$14,2020,2050),Report_Scenarios!$A$18:$A$24,1)))),IF(INDEX(Report_Scenarios!$A$29:$A$35,MIN(MATCH(MEDIAN($B69-Conversion!$B$14,2020,2050),Report_Scenarios!$A$29:$A$35,1)+1,7))=INDEX(Report_Scenarios!$A$29:$A$35,MATCH(MEDIAN($B69-Conversion!$B$14,2020,2050),Report_Scenarios!$A$29:$A$35,1)),INDEX(Report_Scenarios!$F$29:$F$35,MATCH(MEDIAN($B69-Conversion!$B$14,2020,2050),Report_Scenarios!$A$29:$A$35,1)),INDEX(Report_Scenarios!$F$29:$F$35,MATCH(MEDIAN($B69-Conversion!$B$14,2020,2050),Report_Scenarios!$A$29:$A$35,1))+(INDEX(Report_Scenarios!$F$29:$F$35,MIN(MATCH(MEDIAN($B69-Conversion!$B$14,2020,2050),Report_Scenarios!$A$29:$A$35,1)+1,7))-INDEX(Report_Scenarios!$F$29:$F$35,MATCH(MEDIAN($B69-Conversion!$B$14,2020,2050),Report_Scenarios!$A$29:$A$35,1)))*(MEDIAN($B69-Conversion!$B$14,2020,2050)-INDEX(Report_Scenarios!$A$29:$A$35,MATCH(MEDIAN($B69-Conversion!$B$14,2020,2050),Report_Scenarios!$A$29:$A$35,1)))/(INDEX(Report_Scenarios!$A$29:$A$35,MIN(MATCH(MEDIAN($B69-Conversion!$B$14,2020,2050),Report_Scenarios!$A$29:$A$35,1)+1,7))-INDEX(Report_Scenarios!$A$29:$A$35,MATCH(MEDIAN($B69-Conversion!$B$14,2020,2050),Report_Scenarios!$A$29:$A$35,1))))))</f>
        <v/>
      </c>
      <c r="J69" s="23">
        <f>IF($D69="Conservative",IF(INDEX(Report_Scenarios!$A$7:$A$13,MIN(MATCH(MEDIAN($B69-Conversion!$B$14,2020,2050),Report_Scenarios!$A$7:$A$13,1)+1,7))=INDEX(Report_Scenarios!$A$7:$A$13,MATCH(MEDIAN($B69-Conversion!$B$14,2020,2050),Report_Scenarios!$A$7:$A$13,1)),INDEX(Report_Scenarios!$G$7:$G$13,MATCH(MEDIAN($B69-Conversion!$B$14,2020,2050),Report_Scenarios!$A$7:$A$13,1)),INDEX(Report_Scenarios!$G$7:$G$13,MATCH(MEDIAN($B69-Conversion!$B$14,2020,2050),Report_Scenarios!$A$7:$A$13,1))+(INDEX(Report_Scenarios!$G$7:$G$13,MIN(MATCH(MEDIAN($B69-Conversion!$B$14,2020,2050),Report_Scenarios!$A$7:$A$13,1)+1,7))-INDEX(Report_Scenarios!$G$7:$G$13,MATCH(MEDIAN($B69-Conversion!$B$14,2020,2050),Report_Scenarios!$A$7:$A$13,1)))*(MEDIAN($B69-Conversion!$B$14,2020,2050)-INDEX(Report_Scenarios!$A$7:$A$13,MATCH(MEDIAN($B69-Conversion!$B$14,2020,2050),Report_Scenarios!$A$7:$A$13,1)))/(INDEX(Report_Scenarios!$A$7:$A$13,MIN(MATCH(MEDIAN($B69-Conversion!$B$14,2020,2050),Report_Scenarios!$A$7:$A$13,1)+1,7))-INDEX(Report_Scenarios!$A$7:$A$13,MATCH(MEDIAN($B69-Conversion!$B$14,2020,2050),Report_Scenarios!$A$7:$A$13,1)))),IF($D69="Central",IF(INDEX(Report_Scenarios!$A$18:$A$24,MIN(MATCH(MEDIAN($B69-Conversion!$B$14,2020,2050),Report_Scenarios!$A$18:$A$24,1)+1,7))=INDEX(Report_Scenarios!$A$18:$A$24,MATCH(MEDIAN($B69-Conversion!$B$14,2020,2050),Report_Scenarios!$A$18:$A$24,1)),INDEX(Report_Scenarios!$G$18:$G$24,MATCH(MEDIAN($B69-Conversion!$B$14,2020,2050),Report_Scenarios!$A$18:$A$24,1)),INDEX(Report_Scenarios!$G$18:$G$24,MATCH(MEDIAN($B69-Conversion!$B$14,2020,2050),Report_Scenarios!$A$18:$A$24,1))+(INDEX(Report_Scenarios!$G$18:$G$24,MIN(MATCH(MEDIAN($B69-Conversion!$B$14,2020,2050),Report_Scenarios!$A$18:$A$24,1)+1,7))-INDEX(Report_Scenarios!$G$18:$G$24,MATCH(MEDIAN($B69-Conversion!$B$14,2020,2050),Report_Scenarios!$A$18:$A$24,1)))*(MEDIAN($B69-Conversion!$B$14,2020,2050)-INDEX(Report_Scenarios!$A$18:$A$24,MATCH(MEDIAN($B69-Conversion!$B$14,2020,2050),Report_Scenarios!$A$18:$A$24,1)))/(INDEX(Report_Scenarios!$A$18:$A$24,MIN(MATCH(MEDIAN($B69-Conversion!$B$14,2020,2050),Report_Scenarios!$A$18:$A$24,1)+1,7))-INDEX(Report_Scenarios!$A$18:$A$24,MATCH(MEDIAN($B69-Conversion!$B$14,2020,2050),Report_Scenarios!$A$18:$A$24,1)))),IF(INDEX(Report_Scenarios!$A$29:$A$35,MIN(MATCH(MEDIAN($B69-Conversion!$B$14,2020,2050),Report_Scenarios!$A$29:$A$35,1)+1,7))=INDEX(Report_Scenarios!$A$29:$A$35,MATCH(MEDIAN($B69-Conversion!$B$14,2020,2050),Report_Scenarios!$A$29:$A$35,1)),INDEX(Report_Scenarios!$G$29:$G$35,MATCH(MEDIAN($B69-Conversion!$B$14,2020,2050),Report_Scenarios!$A$29:$A$35,1)),INDEX(Report_Scenarios!$G$29:$G$35,MATCH(MEDIAN($B69-Conversion!$B$14,2020,2050),Report_Scenarios!$A$29:$A$35,1))+(INDEX(Report_Scenarios!$G$29:$G$35,MIN(MATCH(MEDIAN($B69-Conversion!$B$14,2020,2050),Report_Scenarios!$A$29:$A$35,1)+1,7))-INDEX(Report_Scenarios!$G$29:$G$35,MATCH(MEDIAN($B69-Conversion!$B$14,2020,2050),Report_Scenarios!$A$29:$A$35,1)))*(MEDIAN($B69-Conversion!$B$14,2020,2050)-INDEX(Report_Scenarios!$A$29:$A$35,MATCH(MEDIAN($B69-Conversion!$B$14,2020,2050),Report_Scenarios!$A$29:$A$35,1)))/(INDEX(Report_Scenarios!$A$29:$A$35,MIN(MATCH(MEDIAN($B69-Conversion!$B$14,2020,2050),Report_Scenarios!$A$29:$A$35,1)+1,7))-INDEX(Report_Scenarios!$A$29:$A$35,MATCH(MEDIAN($B69-Conversion!$B$14,2020,2050),Report_Scenarios!$A$29:$A$35,1))))))</f>
        <v/>
      </c>
      <c r="K69" s="23">
        <f>SUM(E69:J69)</f>
        <v/>
      </c>
      <c r="L69" s="23">
        <f>IF(R69&lt;&gt;"",R69,IF($K69=0,0,E69/$K69))</f>
        <v/>
      </c>
      <c r="M69" s="23">
        <f>IF(S69&lt;&gt;"",S69,IF($K69=0,0,F69/$K69))</f>
        <v/>
      </c>
      <c r="N69" s="23">
        <f>IF(T69&lt;&gt;"",T69,IF($K69=0,0,G69/$K69))</f>
        <v/>
      </c>
      <c r="O69" s="23">
        <f>IF(U69&lt;&gt;"",U69,IF($K69=0,0,H69/$K69))</f>
        <v/>
      </c>
      <c r="P69" s="23">
        <f>IF(V69&lt;&gt;"",V69,IF($K69=0,0,I69/$K69))</f>
        <v/>
      </c>
      <c r="Q69" s="23">
        <f>IF(W69&lt;&gt;"",W69,IF($K69=0,0,J69/$K69))</f>
        <v/>
      </c>
      <c r="R69" s="24" t="n"/>
      <c r="S69" s="24" t="n"/>
      <c r="T69" s="24" t="n"/>
      <c r="U69" s="24" t="n"/>
      <c r="V69" s="24" t="n"/>
      <c r="W69" s="24" t="n"/>
    </row>
    <row r="70">
      <c r="A70" s="4" t="inlineStr">
        <is>
          <t>EF</t>
        </is>
      </c>
      <c r="B70" s="4" t="n">
        <v>2025</v>
      </c>
      <c r="C70" s="4" t="inlineStr">
        <is>
          <t>Share_Max</t>
        </is>
      </c>
      <c r="D70" s="4">
        <f>Conversion!$B$20</f>
        <v/>
      </c>
      <c r="E70" s="23">
        <f>IF($D70="Conservative",IF(INDEX(Report_Scenarios!$A$7:$A$13,MIN(MATCH(MEDIAN($B70-Conversion!$B$14,2020,2050),Report_Scenarios!$A$7:$A$13,1)+1,7))=INDEX(Report_Scenarios!$A$7:$A$13,MATCH(MEDIAN($B70-Conversion!$B$14,2020,2050),Report_Scenarios!$A$7:$A$13,1)),INDEX(Report_Scenarios!$B$7:$B$13,MATCH(MEDIAN($B70-Conversion!$B$14,2020,2050),Report_Scenarios!$A$7:$A$13,1)),INDEX(Report_Scenarios!$B$7:$B$13,MATCH(MEDIAN($B70-Conversion!$B$14,2020,2050),Report_Scenarios!$A$7:$A$13,1))+(INDEX(Report_Scenarios!$B$7:$B$13,MIN(MATCH(MEDIAN($B70-Conversion!$B$14,2020,2050),Report_Scenarios!$A$7:$A$13,1)+1,7))-INDEX(Report_Scenarios!$B$7:$B$13,MATCH(MEDIAN($B70-Conversion!$B$14,2020,2050),Report_Scenarios!$A$7:$A$13,1)))*(MEDIAN($B70-Conversion!$B$14,2020,2050)-INDEX(Report_Scenarios!$A$7:$A$13,MATCH(MEDIAN($B70-Conversion!$B$14,2020,2050),Report_Scenarios!$A$7:$A$13,1)))/(INDEX(Report_Scenarios!$A$7:$A$13,MIN(MATCH(MEDIAN($B70-Conversion!$B$14,2020,2050),Report_Scenarios!$A$7:$A$13,1)+1,7))-INDEX(Report_Scenarios!$A$7:$A$13,MATCH(MEDIAN($B70-Conversion!$B$14,2020,2050),Report_Scenarios!$A$7:$A$13,1)))),IF($D70="Central",IF(INDEX(Report_Scenarios!$A$18:$A$24,MIN(MATCH(MEDIAN($B70-Conversion!$B$14,2020,2050),Report_Scenarios!$A$18:$A$24,1)+1,7))=INDEX(Report_Scenarios!$A$18:$A$24,MATCH(MEDIAN($B70-Conversion!$B$14,2020,2050),Report_Scenarios!$A$18:$A$24,1)),INDEX(Report_Scenarios!$B$18:$B$24,MATCH(MEDIAN($B70-Conversion!$B$14,2020,2050),Report_Scenarios!$A$18:$A$24,1)),INDEX(Report_Scenarios!$B$18:$B$24,MATCH(MEDIAN($B70-Conversion!$B$14,2020,2050),Report_Scenarios!$A$18:$A$24,1))+(INDEX(Report_Scenarios!$B$18:$B$24,MIN(MATCH(MEDIAN($B70-Conversion!$B$14,2020,2050),Report_Scenarios!$A$18:$A$24,1)+1,7))-INDEX(Report_Scenarios!$B$18:$B$24,MATCH(MEDIAN($B70-Conversion!$B$14,2020,2050),Report_Scenarios!$A$18:$A$24,1)))*(MEDIAN($B70-Conversion!$B$14,2020,2050)-INDEX(Report_Scenarios!$A$18:$A$24,MATCH(MEDIAN($B70-Conversion!$B$14,2020,2050),Report_Scenarios!$A$18:$A$24,1)))/(INDEX(Report_Scenarios!$A$18:$A$24,MIN(MATCH(MEDIAN($B70-Conversion!$B$14,2020,2050),Report_Scenarios!$A$18:$A$24,1)+1,7))-INDEX(Report_Scenarios!$A$18:$A$24,MATCH(MEDIAN($B70-Conversion!$B$14,2020,2050),Report_Scenarios!$A$18:$A$24,1)))),IF(INDEX(Report_Scenarios!$A$29:$A$35,MIN(MATCH(MEDIAN($B70-Conversion!$B$14,2020,2050),Report_Scenarios!$A$29:$A$35,1)+1,7))=INDEX(Report_Scenarios!$A$29:$A$35,MATCH(MEDIAN($B70-Conversion!$B$14,2020,2050),Report_Scenarios!$A$29:$A$35,1)),INDEX(Report_Scenarios!$B$29:$B$35,MATCH(MEDIAN($B70-Conversion!$B$14,2020,2050),Report_Scenarios!$A$29:$A$35,1)),INDEX(Report_Scenarios!$B$29:$B$35,MATCH(MEDIAN($B70-Conversion!$B$14,2020,2050),Report_Scenarios!$A$29:$A$35,1))+(INDEX(Report_Scenarios!$B$29:$B$35,MIN(MATCH(MEDIAN($B70-Conversion!$B$14,2020,2050),Report_Scenarios!$A$29:$A$35,1)+1,7))-INDEX(Report_Scenarios!$B$29:$B$35,MATCH(MEDIAN($B70-Conversion!$B$14,2020,2050),Report_Scenarios!$A$29:$A$35,1)))*(MEDIAN($B70-Conversion!$B$14,2020,2050)-INDEX(Report_Scenarios!$A$29:$A$35,MATCH(MEDIAN($B70-Conversion!$B$14,2020,2050),Report_Scenarios!$A$29:$A$35,1)))/(INDEX(Report_Scenarios!$A$29:$A$35,MIN(MATCH(MEDIAN($B70-Conversion!$B$14,2020,2050),Report_Scenarios!$A$29:$A$35,1)+1,7))-INDEX(Report_Scenarios!$A$29:$A$35,MATCH(MEDIAN($B70-Conversion!$B$14,2020,2050),Report_Scenarios!$A$29:$A$35,1))))))</f>
        <v/>
      </c>
      <c r="F70" s="23">
        <f>IF($D70="Conservative",IF(INDEX(Report_Scenarios!$A$7:$A$13,MIN(MATCH(MEDIAN($B70-Conversion!$B$14,2020,2050),Report_Scenarios!$A$7:$A$13,1)+1,7))=INDEX(Report_Scenarios!$A$7:$A$13,MATCH(MEDIAN($B70-Conversion!$B$14,2020,2050),Report_Scenarios!$A$7:$A$13,1)),INDEX(Report_Scenarios!$C$7:$C$13,MATCH(MEDIAN($B70-Conversion!$B$14,2020,2050),Report_Scenarios!$A$7:$A$13,1)),INDEX(Report_Scenarios!$C$7:$C$13,MATCH(MEDIAN($B70-Conversion!$B$14,2020,2050),Report_Scenarios!$A$7:$A$13,1))+(INDEX(Report_Scenarios!$C$7:$C$13,MIN(MATCH(MEDIAN($B70-Conversion!$B$14,2020,2050),Report_Scenarios!$A$7:$A$13,1)+1,7))-INDEX(Report_Scenarios!$C$7:$C$13,MATCH(MEDIAN($B70-Conversion!$B$14,2020,2050),Report_Scenarios!$A$7:$A$13,1)))*(MEDIAN($B70-Conversion!$B$14,2020,2050)-INDEX(Report_Scenarios!$A$7:$A$13,MATCH(MEDIAN($B70-Conversion!$B$14,2020,2050),Report_Scenarios!$A$7:$A$13,1)))/(INDEX(Report_Scenarios!$A$7:$A$13,MIN(MATCH(MEDIAN($B70-Conversion!$B$14,2020,2050),Report_Scenarios!$A$7:$A$13,1)+1,7))-INDEX(Report_Scenarios!$A$7:$A$13,MATCH(MEDIAN($B70-Conversion!$B$14,2020,2050),Report_Scenarios!$A$7:$A$13,1)))),IF($D70="Central",IF(INDEX(Report_Scenarios!$A$18:$A$24,MIN(MATCH(MEDIAN($B70-Conversion!$B$14,2020,2050),Report_Scenarios!$A$18:$A$24,1)+1,7))=INDEX(Report_Scenarios!$A$18:$A$24,MATCH(MEDIAN($B70-Conversion!$B$14,2020,2050),Report_Scenarios!$A$18:$A$24,1)),INDEX(Report_Scenarios!$C$18:$C$24,MATCH(MEDIAN($B70-Conversion!$B$14,2020,2050),Report_Scenarios!$A$18:$A$24,1)),INDEX(Report_Scenarios!$C$18:$C$24,MATCH(MEDIAN($B70-Conversion!$B$14,2020,2050),Report_Scenarios!$A$18:$A$24,1))+(INDEX(Report_Scenarios!$C$18:$C$24,MIN(MATCH(MEDIAN($B70-Conversion!$B$14,2020,2050),Report_Scenarios!$A$18:$A$24,1)+1,7))-INDEX(Report_Scenarios!$C$18:$C$24,MATCH(MEDIAN($B70-Conversion!$B$14,2020,2050),Report_Scenarios!$A$18:$A$24,1)))*(MEDIAN($B70-Conversion!$B$14,2020,2050)-INDEX(Report_Scenarios!$A$18:$A$24,MATCH(MEDIAN($B70-Conversion!$B$14,2020,2050),Report_Scenarios!$A$18:$A$24,1)))/(INDEX(Report_Scenarios!$A$18:$A$24,MIN(MATCH(MEDIAN($B70-Conversion!$B$14,2020,2050),Report_Scenarios!$A$18:$A$24,1)+1,7))-INDEX(Report_Scenarios!$A$18:$A$24,MATCH(MEDIAN($B70-Conversion!$B$14,2020,2050),Report_Scenarios!$A$18:$A$24,1)))),IF(INDEX(Report_Scenarios!$A$29:$A$35,MIN(MATCH(MEDIAN($B70-Conversion!$B$14,2020,2050),Report_Scenarios!$A$29:$A$35,1)+1,7))=INDEX(Report_Scenarios!$A$29:$A$35,MATCH(MEDIAN($B70-Conversion!$B$14,2020,2050),Report_Scenarios!$A$29:$A$35,1)),INDEX(Report_Scenarios!$C$29:$C$35,MATCH(MEDIAN($B70-Conversion!$B$14,2020,2050),Report_Scenarios!$A$29:$A$35,1)),INDEX(Report_Scenarios!$C$29:$C$35,MATCH(MEDIAN($B70-Conversion!$B$14,2020,2050),Report_Scenarios!$A$29:$A$35,1))+(INDEX(Report_Scenarios!$C$29:$C$35,MIN(MATCH(MEDIAN($B70-Conversion!$B$14,2020,2050),Report_Scenarios!$A$29:$A$35,1)+1,7))-INDEX(Report_Scenarios!$C$29:$C$35,MATCH(MEDIAN($B70-Conversion!$B$14,2020,2050),Report_Scenarios!$A$29:$A$35,1)))*(MEDIAN($B70-Conversion!$B$14,2020,2050)-INDEX(Report_Scenarios!$A$29:$A$35,MATCH(MEDIAN($B70-Conversion!$B$14,2020,2050),Report_Scenarios!$A$29:$A$35,1)))/(INDEX(Report_Scenarios!$A$29:$A$35,MIN(MATCH(MEDIAN($B70-Conversion!$B$14,2020,2050),Report_Scenarios!$A$29:$A$35,1)+1,7))-INDEX(Report_Scenarios!$A$29:$A$35,MATCH(MEDIAN($B70-Conversion!$B$14,2020,2050),Report_Scenarios!$A$29:$A$35,1))))))</f>
        <v/>
      </c>
      <c r="G70" s="23">
        <f>IF($D70="Conservative",IF(INDEX(Report_Scenarios!$A$7:$A$13,MIN(MATCH(MEDIAN($B70-Conversion!$B$14,2020,2050),Report_Scenarios!$A$7:$A$13,1)+1,7))=INDEX(Report_Scenarios!$A$7:$A$13,MATCH(MEDIAN($B70-Conversion!$B$14,2020,2050),Report_Scenarios!$A$7:$A$13,1)),INDEX(Report_Scenarios!$D$7:$D$13,MATCH(MEDIAN($B70-Conversion!$B$14,2020,2050),Report_Scenarios!$A$7:$A$13,1)),INDEX(Report_Scenarios!$D$7:$D$13,MATCH(MEDIAN($B70-Conversion!$B$14,2020,2050),Report_Scenarios!$A$7:$A$13,1))+(INDEX(Report_Scenarios!$D$7:$D$13,MIN(MATCH(MEDIAN($B70-Conversion!$B$14,2020,2050),Report_Scenarios!$A$7:$A$13,1)+1,7))-INDEX(Report_Scenarios!$D$7:$D$13,MATCH(MEDIAN($B70-Conversion!$B$14,2020,2050),Report_Scenarios!$A$7:$A$13,1)))*(MEDIAN($B70-Conversion!$B$14,2020,2050)-INDEX(Report_Scenarios!$A$7:$A$13,MATCH(MEDIAN($B70-Conversion!$B$14,2020,2050),Report_Scenarios!$A$7:$A$13,1)))/(INDEX(Report_Scenarios!$A$7:$A$13,MIN(MATCH(MEDIAN($B70-Conversion!$B$14,2020,2050),Report_Scenarios!$A$7:$A$13,1)+1,7))-INDEX(Report_Scenarios!$A$7:$A$13,MATCH(MEDIAN($B70-Conversion!$B$14,2020,2050),Report_Scenarios!$A$7:$A$13,1)))),IF($D70="Central",IF(INDEX(Report_Scenarios!$A$18:$A$24,MIN(MATCH(MEDIAN($B70-Conversion!$B$14,2020,2050),Report_Scenarios!$A$18:$A$24,1)+1,7))=INDEX(Report_Scenarios!$A$18:$A$24,MATCH(MEDIAN($B70-Conversion!$B$14,2020,2050),Report_Scenarios!$A$18:$A$24,1)),INDEX(Report_Scenarios!$D$18:$D$24,MATCH(MEDIAN($B70-Conversion!$B$14,2020,2050),Report_Scenarios!$A$18:$A$24,1)),INDEX(Report_Scenarios!$D$18:$D$24,MATCH(MEDIAN($B70-Conversion!$B$14,2020,2050),Report_Scenarios!$A$18:$A$24,1))+(INDEX(Report_Scenarios!$D$18:$D$24,MIN(MATCH(MEDIAN($B70-Conversion!$B$14,2020,2050),Report_Scenarios!$A$18:$A$24,1)+1,7))-INDEX(Report_Scenarios!$D$18:$D$24,MATCH(MEDIAN($B70-Conversion!$B$14,2020,2050),Report_Scenarios!$A$18:$A$24,1)))*(MEDIAN($B70-Conversion!$B$14,2020,2050)-INDEX(Report_Scenarios!$A$18:$A$24,MATCH(MEDIAN($B70-Conversion!$B$14,2020,2050),Report_Scenarios!$A$18:$A$24,1)))/(INDEX(Report_Scenarios!$A$18:$A$24,MIN(MATCH(MEDIAN($B70-Conversion!$B$14,2020,2050),Report_Scenarios!$A$18:$A$24,1)+1,7))-INDEX(Report_Scenarios!$A$18:$A$24,MATCH(MEDIAN($B70-Conversion!$B$14,2020,2050),Report_Scenarios!$A$18:$A$24,1)))),IF(INDEX(Report_Scenarios!$A$29:$A$35,MIN(MATCH(MEDIAN($B70-Conversion!$B$14,2020,2050),Report_Scenarios!$A$29:$A$35,1)+1,7))=INDEX(Report_Scenarios!$A$29:$A$35,MATCH(MEDIAN($B70-Conversion!$B$14,2020,2050),Report_Scenarios!$A$29:$A$35,1)),INDEX(Report_Scenarios!$D$29:$D$35,MATCH(MEDIAN($B70-Conversion!$B$14,2020,2050),Report_Scenarios!$A$29:$A$35,1)),INDEX(Report_Scenarios!$D$29:$D$35,MATCH(MEDIAN($B70-Conversion!$B$14,2020,2050),Report_Scenarios!$A$29:$A$35,1))+(INDEX(Report_Scenarios!$D$29:$D$35,MIN(MATCH(MEDIAN($B70-Conversion!$B$14,2020,2050),Report_Scenarios!$A$29:$A$35,1)+1,7))-INDEX(Report_Scenarios!$D$29:$D$35,MATCH(MEDIAN($B70-Conversion!$B$14,2020,2050),Report_Scenarios!$A$29:$A$35,1)))*(MEDIAN($B70-Conversion!$B$14,2020,2050)-INDEX(Report_Scenarios!$A$29:$A$35,MATCH(MEDIAN($B70-Conversion!$B$14,2020,2050),Report_Scenarios!$A$29:$A$35,1)))/(INDEX(Report_Scenarios!$A$29:$A$35,MIN(MATCH(MEDIAN($B70-Conversion!$B$14,2020,2050),Report_Scenarios!$A$29:$A$35,1)+1,7))-INDEX(Report_Scenarios!$A$29:$A$35,MATCH(MEDIAN($B70-Conversion!$B$14,2020,2050),Report_Scenarios!$A$29:$A$35,1))))))</f>
        <v/>
      </c>
      <c r="H70" s="23">
        <f>IF($D70="Conservative",IF(INDEX(Report_Scenarios!$A$7:$A$13,MIN(MATCH(MEDIAN($B70-Conversion!$B$14,2020,2050),Report_Scenarios!$A$7:$A$13,1)+1,7))=INDEX(Report_Scenarios!$A$7:$A$13,MATCH(MEDIAN($B70-Conversion!$B$14,2020,2050),Report_Scenarios!$A$7:$A$13,1)),INDEX(Report_Scenarios!$E$7:$E$13,MATCH(MEDIAN($B70-Conversion!$B$14,2020,2050),Report_Scenarios!$A$7:$A$13,1)),INDEX(Report_Scenarios!$E$7:$E$13,MATCH(MEDIAN($B70-Conversion!$B$14,2020,2050),Report_Scenarios!$A$7:$A$13,1))+(INDEX(Report_Scenarios!$E$7:$E$13,MIN(MATCH(MEDIAN($B70-Conversion!$B$14,2020,2050),Report_Scenarios!$A$7:$A$13,1)+1,7))-INDEX(Report_Scenarios!$E$7:$E$13,MATCH(MEDIAN($B70-Conversion!$B$14,2020,2050),Report_Scenarios!$A$7:$A$13,1)))*(MEDIAN($B70-Conversion!$B$14,2020,2050)-INDEX(Report_Scenarios!$A$7:$A$13,MATCH(MEDIAN($B70-Conversion!$B$14,2020,2050),Report_Scenarios!$A$7:$A$13,1)))/(INDEX(Report_Scenarios!$A$7:$A$13,MIN(MATCH(MEDIAN($B70-Conversion!$B$14,2020,2050),Report_Scenarios!$A$7:$A$13,1)+1,7))-INDEX(Report_Scenarios!$A$7:$A$13,MATCH(MEDIAN($B70-Conversion!$B$14,2020,2050),Report_Scenarios!$A$7:$A$13,1)))),IF($D70="Central",IF(INDEX(Report_Scenarios!$A$18:$A$24,MIN(MATCH(MEDIAN($B70-Conversion!$B$14,2020,2050),Report_Scenarios!$A$18:$A$24,1)+1,7))=INDEX(Report_Scenarios!$A$18:$A$24,MATCH(MEDIAN($B70-Conversion!$B$14,2020,2050),Report_Scenarios!$A$18:$A$24,1)),INDEX(Report_Scenarios!$E$18:$E$24,MATCH(MEDIAN($B70-Conversion!$B$14,2020,2050),Report_Scenarios!$A$18:$A$24,1)),INDEX(Report_Scenarios!$E$18:$E$24,MATCH(MEDIAN($B70-Conversion!$B$14,2020,2050),Report_Scenarios!$A$18:$A$24,1))+(INDEX(Report_Scenarios!$E$18:$E$24,MIN(MATCH(MEDIAN($B70-Conversion!$B$14,2020,2050),Report_Scenarios!$A$18:$A$24,1)+1,7))-INDEX(Report_Scenarios!$E$18:$E$24,MATCH(MEDIAN($B70-Conversion!$B$14,2020,2050),Report_Scenarios!$A$18:$A$24,1)))*(MEDIAN($B70-Conversion!$B$14,2020,2050)-INDEX(Report_Scenarios!$A$18:$A$24,MATCH(MEDIAN($B70-Conversion!$B$14,2020,2050),Report_Scenarios!$A$18:$A$24,1)))/(INDEX(Report_Scenarios!$A$18:$A$24,MIN(MATCH(MEDIAN($B70-Conversion!$B$14,2020,2050),Report_Scenarios!$A$18:$A$24,1)+1,7))-INDEX(Report_Scenarios!$A$18:$A$24,MATCH(MEDIAN($B70-Conversion!$B$14,2020,2050),Report_Scenarios!$A$18:$A$24,1)))),IF(INDEX(Report_Scenarios!$A$29:$A$35,MIN(MATCH(MEDIAN($B70-Conversion!$B$14,2020,2050),Report_Scenarios!$A$29:$A$35,1)+1,7))=INDEX(Report_Scenarios!$A$29:$A$35,MATCH(MEDIAN($B70-Conversion!$B$14,2020,2050),Report_Scenarios!$A$29:$A$35,1)),INDEX(Report_Scenarios!$E$29:$E$35,MATCH(MEDIAN($B70-Conversion!$B$14,2020,2050),Report_Scenarios!$A$29:$A$35,1)),INDEX(Report_Scenarios!$E$29:$E$35,MATCH(MEDIAN($B70-Conversion!$B$14,2020,2050),Report_Scenarios!$A$29:$A$35,1))+(INDEX(Report_Scenarios!$E$29:$E$35,MIN(MATCH(MEDIAN($B70-Conversion!$B$14,2020,2050),Report_Scenarios!$A$29:$A$35,1)+1,7))-INDEX(Report_Scenarios!$E$29:$E$35,MATCH(MEDIAN($B70-Conversion!$B$14,2020,2050),Report_Scenarios!$A$29:$A$35,1)))*(MEDIAN($B70-Conversion!$B$14,2020,2050)-INDEX(Report_Scenarios!$A$29:$A$35,MATCH(MEDIAN($B70-Conversion!$B$14,2020,2050),Report_Scenarios!$A$29:$A$35,1)))/(INDEX(Report_Scenarios!$A$29:$A$35,MIN(MATCH(MEDIAN($B70-Conversion!$B$14,2020,2050),Report_Scenarios!$A$29:$A$35,1)+1,7))-INDEX(Report_Scenarios!$A$29:$A$35,MATCH(MEDIAN($B70-Conversion!$B$14,2020,2050),Report_Scenarios!$A$29:$A$35,1))))))</f>
        <v/>
      </c>
      <c r="I70" s="23">
        <f>IF($D70="Conservative",IF(INDEX(Report_Scenarios!$A$7:$A$13,MIN(MATCH(MEDIAN($B70-Conversion!$B$14,2020,2050),Report_Scenarios!$A$7:$A$13,1)+1,7))=INDEX(Report_Scenarios!$A$7:$A$13,MATCH(MEDIAN($B70-Conversion!$B$14,2020,2050),Report_Scenarios!$A$7:$A$13,1)),INDEX(Report_Scenarios!$F$7:$F$13,MATCH(MEDIAN($B70-Conversion!$B$14,2020,2050),Report_Scenarios!$A$7:$A$13,1)),INDEX(Report_Scenarios!$F$7:$F$13,MATCH(MEDIAN($B70-Conversion!$B$14,2020,2050),Report_Scenarios!$A$7:$A$13,1))+(INDEX(Report_Scenarios!$F$7:$F$13,MIN(MATCH(MEDIAN($B70-Conversion!$B$14,2020,2050),Report_Scenarios!$A$7:$A$13,1)+1,7))-INDEX(Report_Scenarios!$F$7:$F$13,MATCH(MEDIAN($B70-Conversion!$B$14,2020,2050),Report_Scenarios!$A$7:$A$13,1)))*(MEDIAN($B70-Conversion!$B$14,2020,2050)-INDEX(Report_Scenarios!$A$7:$A$13,MATCH(MEDIAN($B70-Conversion!$B$14,2020,2050),Report_Scenarios!$A$7:$A$13,1)))/(INDEX(Report_Scenarios!$A$7:$A$13,MIN(MATCH(MEDIAN($B70-Conversion!$B$14,2020,2050),Report_Scenarios!$A$7:$A$13,1)+1,7))-INDEX(Report_Scenarios!$A$7:$A$13,MATCH(MEDIAN($B70-Conversion!$B$14,2020,2050),Report_Scenarios!$A$7:$A$13,1)))),IF($D70="Central",IF(INDEX(Report_Scenarios!$A$18:$A$24,MIN(MATCH(MEDIAN($B70-Conversion!$B$14,2020,2050),Report_Scenarios!$A$18:$A$24,1)+1,7))=INDEX(Report_Scenarios!$A$18:$A$24,MATCH(MEDIAN($B70-Conversion!$B$14,2020,2050),Report_Scenarios!$A$18:$A$24,1)),INDEX(Report_Scenarios!$F$18:$F$24,MATCH(MEDIAN($B70-Conversion!$B$14,2020,2050),Report_Scenarios!$A$18:$A$24,1)),INDEX(Report_Scenarios!$F$18:$F$24,MATCH(MEDIAN($B70-Conversion!$B$14,2020,2050),Report_Scenarios!$A$18:$A$24,1))+(INDEX(Report_Scenarios!$F$18:$F$24,MIN(MATCH(MEDIAN($B70-Conversion!$B$14,2020,2050),Report_Scenarios!$A$18:$A$24,1)+1,7))-INDEX(Report_Scenarios!$F$18:$F$24,MATCH(MEDIAN($B70-Conversion!$B$14,2020,2050),Report_Scenarios!$A$18:$A$24,1)))*(MEDIAN($B70-Conversion!$B$14,2020,2050)-INDEX(Report_Scenarios!$A$18:$A$24,MATCH(MEDIAN($B70-Conversion!$B$14,2020,2050),Report_Scenarios!$A$18:$A$24,1)))/(INDEX(Report_Scenarios!$A$18:$A$24,MIN(MATCH(MEDIAN($B70-Conversion!$B$14,2020,2050),Report_Scenarios!$A$18:$A$24,1)+1,7))-INDEX(Report_Scenarios!$A$18:$A$24,MATCH(MEDIAN($B70-Conversion!$B$14,2020,2050),Report_Scenarios!$A$18:$A$24,1)))),IF(INDEX(Report_Scenarios!$A$29:$A$35,MIN(MATCH(MEDIAN($B70-Conversion!$B$14,2020,2050),Report_Scenarios!$A$29:$A$35,1)+1,7))=INDEX(Report_Scenarios!$A$29:$A$35,MATCH(MEDIAN($B70-Conversion!$B$14,2020,2050),Report_Scenarios!$A$29:$A$35,1)),INDEX(Report_Scenarios!$F$29:$F$35,MATCH(MEDIAN($B70-Conversion!$B$14,2020,2050),Report_Scenarios!$A$29:$A$35,1)),INDEX(Report_Scenarios!$F$29:$F$35,MATCH(MEDIAN($B70-Conversion!$B$14,2020,2050),Report_Scenarios!$A$29:$A$35,1))+(INDEX(Report_Scenarios!$F$29:$F$35,MIN(MATCH(MEDIAN($B70-Conversion!$B$14,2020,2050),Report_Scenarios!$A$29:$A$35,1)+1,7))-INDEX(Report_Scenarios!$F$29:$F$35,MATCH(MEDIAN($B70-Conversion!$B$14,2020,2050),Report_Scenarios!$A$29:$A$35,1)))*(MEDIAN($B70-Conversion!$B$14,2020,2050)-INDEX(Report_Scenarios!$A$29:$A$35,MATCH(MEDIAN($B70-Conversion!$B$14,2020,2050),Report_Scenarios!$A$29:$A$35,1)))/(INDEX(Report_Scenarios!$A$29:$A$35,MIN(MATCH(MEDIAN($B70-Conversion!$B$14,2020,2050),Report_Scenarios!$A$29:$A$35,1)+1,7))-INDEX(Report_Scenarios!$A$29:$A$35,MATCH(MEDIAN($B70-Conversion!$B$14,2020,2050),Report_Scenarios!$A$29:$A$35,1))))))</f>
        <v/>
      </c>
      <c r="J70" s="23">
        <f>IF($D70="Conservative",IF(INDEX(Report_Scenarios!$A$7:$A$13,MIN(MATCH(MEDIAN($B70-Conversion!$B$14,2020,2050),Report_Scenarios!$A$7:$A$13,1)+1,7))=INDEX(Report_Scenarios!$A$7:$A$13,MATCH(MEDIAN($B70-Conversion!$B$14,2020,2050),Report_Scenarios!$A$7:$A$13,1)),INDEX(Report_Scenarios!$G$7:$G$13,MATCH(MEDIAN($B70-Conversion!$B$14,2020,2050),Report_Scenarios!$A$7:$A$13,1)),INDEX(Report_Scenarios!$G$7:$G$13,MATCH(MEDIAN($B70-Conversion!$B$14,2020,2050),Report_Scenarios!$A$7:$A$13,1))+(INDEX(Report_Scenarios!$G$7:$G$13,MIN(MATCH(MEDIAN($B70-Conversion!$B$14,2020,2050),Report_Scenarios!$A$7:$A$13,1)+1,7))-INDEX(Report_Scenarios!$G$7:$G$13,MATCH(MEDIAN($B70-Conversion!$B$14,2020,2050),Report_Scenarios!$A$7:$A$13,1)))*(MEDIAN($B70-Conversion!$B$14,2020,2050)-INDEX(Report_Scenarios!$A$7:$A$13,MATCH(MEDIAN($B70-Conversion!$B$14,2020,2050),Report_Scenarios!$A$7:$A$13,1)))/(INDEX(Report_Scenarios!$A$7:$A$13,MIN(MATCH(MEDIAN($B70-Conversion!$B$14,2020,2050),Report_Scenarios!$A$7:$A$13,1)+1,7))-INDEX(Report_Scenarios!$A$7:$A$13,MATCH(MEDIAN($B70-Conversion!$B$14,2020,2050),Report_Scenarios!$A$7:$A$13,1)))),IF($D70="Central",IF(INDEX(Report_Scenarios!$A$18:$A$24,MIN(MATCH(MEDIAN($B70-Conversion!$B$14,2020,2050),Report_Scenarios!$A$18:$A$24,1)+1,7))=INDEX(Report_Scenarios!$A$18:$A$24,MATCH(MEDIAN($B70-Conversion!$B$14,2020,2050),Report_Scenarios!$A$18:$A$24,1)),INDEX(Report_Scenarios!$G$18:$G$24,MATCH(MEDIAN($B70-Conversion!$B$14,2020,2050),Report_Scenarios!$A$18:$A$24,1)),INDEX(Report_Scenarios!$G$18:$G$24,MATCH(MEDIAN($B70-Conversion!$B$14,2020,2050),Report_Scenarios!$A$18:$A$24,1))+(INDEX(Report_Scenarios!$G$18:$G$24,MIN(MATCH(MEDIAN($B70-Conversion!$B$14,2020,2050),Report_Scenarios!$A$18:$A$24,1)+1,7))-INDEX(Report_Scenarios!$G$18:$G$24,MATCH(MEDIAN($B70-Conversion!$B$14,2020,2050),Report_Scenarios!$A$18:$A$24,1)))*(MEDIAN($B70-Conversion!$B$14,2020,2050)-INDEX(Report_Scenarios!$A$18:$A$24,MATCH(MEDIAN($B70-Conversion!$B$14,2020,2050),Report_Scenarios!$A$18:$A$24,1)))/(INDEX(Report_Scenarios!$A$18:$A$24,MIN(MATCH(MEDIAN($B70-Conversion!$B$14,2020,2050),Report_Scenarios!$A$18:$A$24,1)+1,7))-INDEX(Report_Scenarios!$A$18:$A$24,MATCH(MEDIAN($B70-Conversion!$B$14,2020,2050),Report_Scenarios!$A$18:$A$24,1)))),IF(INDEX(Report_Scenarios!$A$29:$A$35,MIN(MATCH(MEDIAN($B70-Conversion!$B$14,2020,2050),Report_Scenarios!$A$29:$A$35,1)+1,7))=INDEX(Report_Scenarios!$A$29:$A$35,MATCH(MEDIAN($B70-Conversion!$B$14,2020,2050),Report_Scenarios!$A$29:$A$35,1)),INDEX(Report_Scenarios!$G$29:$G$35,MATCH(MEDIAN($B70-Conversion!$B$14,2020,2050),Report_Scenarios!$A$29:$A$35,1)),INDEX(Report_Scenarios!$G$29:$G$35,MATCH(MEDIAN($B70-Conversion!$B$14,2020,2050),Report_Scenarios!$A$29:$A$35,1))+(INDEX(Report_Scenarios!$G$29:$G$35,MIN(MATCH(MEDIAN($B70-Conversion!$B$14,2020,2050),Report_Scenarios!$A$29:$A$35,1)+1,7))-INDEX(Report_Scenarios!$G$29:$G$35,MATCH(MEDIAN($B70-Conversion!$B$14,2020,2050),Report_Scenarios!$A$29:$A$35,1)))*(MEDIAN($B70-Conversion!$B$14,2020,2050)-INDEX(Report_Scenarios!$A$29:$A$35,MATCH(MEDIAN($B70-Conversion!$B$14,2020,2050),Report_Scenarios!$A$29:$A$35,1)))/(INDEX(Report_Scenarios!$A$29:$A$35,MIN(MATCH(MEDIAN($B70-Conversion!$B$14,2020,2050),Report_Scenarios!$A$29:$A$35,1)+1,7))-INDEX(Report_Scenarios!$A$29:$A$35,MATCH(MEDIAN($B70-Conversion!$B$14,2020,2050),Report_Scenarios!$A$29:$A$35,1))))))</f>
        <v/>
      </c>
      <c r="K70" s="23">
        <f>SUM(E70:J70)</f>
        <v/>
      </c>
      <c r="L70" s="23">
        <f>IF(R70&lt;&gt;"",R70,IF($K70=0,0,E70/$K70))</f>
        <v/>
      </c>
      <c r="M70" s="23">
        <f>IF(S70&lt;&gt;"",S70,IF($K70=0,0,F70/$K70))</f>
        <v/>
      </c>
      <c r="N70" s="23">
        <f>IF(T70&lt;&gt;"",T70,IF($K70=0,0,G70/$K70))</f>
        <v/>
      </c>
      <c r="O70" s="23">
        <f>IF(U70&lt;&gt;"",U70,IF($K70=0,0,H70/$K70))</f>
        <v/>
      </c>
      <c r="P70" s="23">
        <f>IF(V70&lt;&gt;"",V70,IF($K70=0,0,I70/$K70))</f>
        <v/>
      </c>
      <c r="Q70" s="23">
        <f>IF(W70&lt;&gt;"",W70,IF($K70=0,0,J70/$K70))</f>
        <v/>
      </c>
      <c r="R70" s="24" t="n"/>
      <c r="S70" s="24" t="n"/>
      <c r="T70" s="24" t="n"/>
      <c r="U70" s="24" t="n"/>
      <c r="V70" s="24" t="n"/>
      <c r="W70" s="24" t="n"/>
    </row>
    <row r="71">
      <c r="A71" s="4" t="inlineStr">
        <is>
          <t>EF</t>
        </is>
      </c>
      <c r="B71" s="4" t="n">
        <v>2030</v>
      </c>
      <c r="C71" s="4" t="inlineStr">
        <is>
          <t>Share_Min</t>
        </is>
      </c>
      <c r="D71" s="4">
        <f>Conversion!$B$18</f>
        <v/>
      </c>
      <c r="E71" s="23">
        <f>IF($D71="Conservative",IF(INDEX(Report_Scenarios!$A$7:$A$13,MIN(MATCH(MEDIAN($B71-Conversion!$B$14,2020,2050),Report_Scenarios!$A$7:$A$13,1)+1,7))=INDEX(Report_Scenarios!$A$7:$A$13,MATCH(MEDIAN($B71-Conversion!$B$14,2020,2050),Report_Scenarios!$A$7:$A$13,1)),INDEX(Report_Scenarios!$B$7:$B$13,MATCH(MEDIAN($B71-Conversion!$B$14,2020,2050),Report_Scenarios!$A$7:$A$13,1)),INDEX(Report_Scenarios!$B$7:$B$13,MATCH(MEDIAN($B71-Conversion!$B$14,2020,2050),Report_Scenarios!$A$7:$A$13,1))+(INDEX(Report_Scenarios!$B$7:$B$13,MIN(MATCH(MEDIAN($B71-Conversion!$B$14,2020,2050),Report_Scenarios!$A$7:$A$13,1)+1,7))-INDEX(Report_Scenarios!$B$7:$B$13,MATCH(MEDIAN($B71-Conversion!$B$14,2020,2050),Report_Scenarios!$A$7:$A$13,1)))*(MEDIAN($B71-Conversion!$B$14,2020,2050)-INDEX(Report_Scenarios!$A$7:$A$13,MATCH(MEDIAN($B71-Conversion!$B$14,2020,2050),Report_Scenarios!$A$7:$A$13,1)))/(INDEX(Report_Scenarios!$A$7:$A$13,MIN(MATCH(MEDIAN($B71-Conversion!$B$14,2020,2050),Report_Scenarios!$A$7:$A$13,1)+1,7))-INDEX(Report_Scenarios!$A$7:$A$13,MATCH(MEDIAN($B71-Conversion!$B$14,2020,2050),Report_Scenarios!$A$7:$A$13,1)))),IF($D71="Central",IF(INDEX(Report_Scenarios!$A$18:$A$24,MIN(MATCH(MEDIAN($B71-Conversion!$B$14,2020,2050),Report_Scenarios!$A$18:$A$24,1)+1,7))=INDEX(Report_Scenarios!$A$18:$A$24,MATCH(MEDIAN($B71-Conversion!$B$14,2020,2050),Report_Scenarios!$A$18:$A$24,1)),INDEX(Report_Scenarios!$B$18:$B$24,MATCH(MEDIAN($B71-Conversion!$B$14,2020,2050),Report_Scenarios!$A$18:$A$24,1)),INDEX(Report_Scenarios!$B$18:$B$24,MATCH(MEDIAN($B71-Conversion!$B$14,2020,2050),Report_Scenarios!$A$18:$A$24,1))+(INDEX(Report_Scenarios!$B$18:$B$24,MIN(MATCH(MEDIAN($B71-Conversion!$B$14,2020,2050),Report_Scenarios!$A$18:$A$24,1)+1,7))-INDEX(Report_Scenarios!$B$18:$B$24,MATCH(MEDIAN($B71-Conversion!$B$14,2020,2050),Report_Scenarios!$A$18:$A$24,1)))*(MEDIAN($B71-Conversion!$B$14,2020,2050)-INDEX(Report_Scenarios!$A$18:$A$24,MATCH(MEDIAN($B71-Conversion!$B$14,2020,2050),Report_Scenarios!$A$18:$A$24,1)))/(INDEX(Report_Scenarios!$A$18:$A$24,MIN(MATCH(MEDIAN($B71-Conversion!$B$14,2020,2050),Report_Scenarios!$A$18:$A$24,1)+1,7))-INDEX(Report_Scenarios!$A$18:$A$24,MATCH(MEDIAN($B71-Conversion!$B$14,2020,2050),Report_Scenarios!$A$18:$A$24,1)))),IF(INDEX(Report_Scenarios!$A$29:$A$35,MIN(MATCH(MEDIAN($B71-Conversion!$B$14,2020,2050),Report_Scenarios!$A$29:$A$35,1)+1,7))=INDEX(Report_Scenarios!$A$29:$A$35,MATCH(MEDIAN($B71-Conversion!$B$14,2020,2050),Report_Scenarios!$A$29:$A$35,1)),INDEX(Report_Scenarios!$B$29:$B$35,MATCH(MEDIAN($B71-Conversion!$B$14,2020,2050),Report_Scenarios!$A$29:$A$35,1)),INDEX(Report_Scenarios!$B$29:$B$35,MATCH(MEDIAN($B71-Conversion!$B$14,2020,2050),Report_Scenarios!$A$29:$A$35,1))+(INDEX(Report_Scenarios!$B$29:$B$35,MIN(MATCH(MEDIAN($B71-Conversion!$B$14,2020,2050),Report_Scenarios!$A$29:$A$35,1)+1,7))-INDEX(Report_Scenarios!$B$29:$B$35,MATCH(MEDIAN($B71-Conversion!$B$14,2020,2050),Report_Scenarios!$A$29:$A$35,1)))*(MEDIAN($B71-Conversion!$B$14,2020,2050)-INDEX(Report_Scenarios!$A$29:$A$35,MATCH(MEDIAN($B71-Conversion!$B$14,2020,2050),Report_Scenarios!$A$29:$A$35,1)))/(INDEX(Report_Scenarios!$A$29:$A$35,MIN(MATCH(MEDIAN($B71-Conversion!$B$14,2020,2050),Report_Scenarios!$A$29:$A$35,1)+1,7))-INDEX(Report_Scenarios!$A$29:$A$35,MATCH(MEDIAN($B71-Conversion!$B$14,2020,2050),Report_Scenarios!$A$29:$A$35,1))))))</f>
        <v/>
      </c>
      <c r="F71" s="23">
        <f>IF($D71="Conservative",IF(INDEX(Report_Scenarios!$A$7:$A$13,MIN(MATCH(MEDIAN($B71-Conversion!$B$14,2020,2050),Report_Scenarios!$A$7:$A$13,1)+1,7))=INDEX(Report_Scenarios!$A$7:$A$13,MATCH(MEDIAN($B71-Conversion!$B$14,2020,2050),Report_Scenarios!$A$7:$A$13,1)),INDEX(Report_Scenarios!$C$7:$C$13,MATCH(MEDIAN($B71-Conversion!$B$14,2020,2050),Report_Scenarios!$A$7:$A$13,1)),INDEX(Report_Scenarios!$C$7:$C$13,MATCH(MEDIAN($B71-Conversion!$B$14,2020,2050),Report_Scenarios!$A$7:$A$13,1))+(INDEX(Report_Scenarios!$C$7:$C$13,MIN(MATCH(MEDIAN($B71-Conversion!$B$14,2020,2050),Report_Scenarios!$A$7:$A$13,1)+1,7))-INDEX(Report_Scenarios!$C$7:$C$13,MATCH(MEDIAN($B71-Conversion!$B$14,2020,2050),Report_Scenarios!$A$7:$A$13,1)))*(MEDIAN($B71-Conversion!$B$14,2020,2050)-INDEX(Report_Scenarios!$A$7:$A$13,MATCH(MEDIAN($B71-Conversion!$B$14,2020,2050),Report_Scenarios!$A$7:$A$13,1)))/(INDEX(Report_Scenarios!$A$7:$A$13,MIN(MATCH(MEDIAN($B71-Conversion!$B$14,2020,2050),Report_Scenarios!$A$7:$A$13,1)+1,7))-INDEX(Report_Scenarios!$A$7:$A$13,MATCH(MEDIAN($B71-Conversion!$B$14,2020,2050),Report_Scenarios!$A$7:$A$13,1)))),IF($D71="Central",IF(INDEX(Report_Scenarios!$A$18:$A$24,MIN(MATCH(MEDIAN($B71-Conversion!$B$14,2020,2050),Report_Scenarios!$A$18:$A$24,1)+1,7))=INDEX(Report_Scenarios!$A$18:$A$24,MATCH(MEDIAN($B71-Conversion!$B$14,2020,2050),Report_Scenarios!$A$18:$A$24,1)),INDEX(Report_Scenarios!$C$18:$C$24,MATCH(MEDIAN($B71-Conversion!$B$14,2020,2050),Report_Scenarios!$A$18:$A$24,1)),INDEX(Report_Scenarios!$C$18:$C$24,MATCH(MEDIAN($B71-Conversion!$B$14,2020,2050),Report_Scenarios!$A$18:$A$24,1))+(INDEX(Report_Scenarios!$C$18:$C$24,MIN(MATCH(MEDIAN($B71-Conversion!$B$14,2020,2050),Report_Scenarios!$A$18:$A$24,1)+1,7))-INDEX(Report_Scenarios!$C$18:$C$24,MATCH(MEDIAN($B71-Conversion!$B$14,2020,2050),Report_Scenarios!$A$18:$A$24,1)))*(MEDIAN($B71-Conversion!$B$14,2020,2050)-INDEX(Report_Scenarios!$A$18:$A$24,MATCH(MEDIAN($B71-Conversion!$B$14,2020,2050),Report_Scenarios!$A$18:$A$24,1)))/(INDEX(Report_Scenarios!$A$18:$A$24,MIN(MATCH(MEDIAN($B71-Conversion!$B$14,2020,2050),Report_Scenarios!$A$18:$A$24,1)+1,7))-INDEX(Report_Scenarios!$A$18:$A$24,MATCH(MEDIAN($B71-Conversion!$B$14,2020,2050),Report_Scenarios!$A$18:$A$24,1)))),IF(INDEX(Report_Scenarios!$A$29:$A$35,MIN(MATCH(MEDIAN($B71-Conversion!$B$14,2020,2050),Report_Scenarios!$A$29:$A$35,1)+1,7))=INDEX(Report_Scenarios!$A$29:$A$35,MATCH(MEDIAN($B71-Conversion!$B$14,2020,2050),Report_Scenarios!$A$29:$A$35,1)),INDEX(Report_Scenarios!$C$29:$C$35,MATCH(MEDIAN($B71-Conversion!$B$14,2020,2050),Report_Scenarios!$A$29:$A$35,1)),INDEX(Report_Scenarios!$C$29:$C$35,MATCH(MEDIAN($B71-Conversion!$B$14,2020,2050),Report_Scenarios!$A$29:$A$35,1))+(INDEX(Report_Scenarios!$C$29:$C$35,MIN(MATCH(MEDIAN($B71-Conversion!$B$14,2020,2050),Report_Scenarios!$A$29:$A$35,1)+1,7))-INDEX(Report_Scenarios!$C$29:$C$35,MATCH(MEDIAN($B71-Conversion!$B$14,2020,2050),Report_Scenarios!$A$29:$A$35,1)))*(MEDIAN($B71-Conversion!$B$14,2020,2050)-INDEX(Report_Scenarios!$A$29:$A$35,MATCH(MEDIAN($B71-Conversion!$B$14,2020,2050),Report_Scenarios!$A$29:$A$35,1)))/(INDEX(Report_Scenarios!$A$29:$A$35,MIN(MATCH(MEDIAN($B71-Conversion!$B$14,2020,2050),Report_Scenarios!$A$29:$A$35,1)+1,7))-INDEX(Report_Scenarios!$A$29:$A$35,MATCH(MEDIAN($B71-Conversion!$B$14,2020,2050),Report_Scenarios!$A$29:$A$35,1))))))</f>
        <v/>
      </c>
      <c r="G71" s="23">
        <f>IF($D71="Conservative",IF(INDEX(Report_Scenarios!$A$7:$A$13,MIN(MATCH(MEDIAN($B71-Conversion!$B$14,2020,2050),Report_Scenarios!$A$7:$A$13,1)+1,7))=INDEX(Report_Scenarios!$A$7:$A$13,MATCH(MEDIAN($B71-Conversion!$B$14,2020,2050),Report_Scenarios!$A$7:$A$13,1)),INDEX(Report_Scenarios!$D$7:$D$13,MATCH(MEDIAN($B71-Conversion!$B$14,2020,2050),Report_Scenarios!$A$7:$A$13,1)),INDEX(Report_Scenarios!$D$7:$D$13,MATCH(MEDIAN($B71-Conversion!$B$14,2020,2050),Report_Scenarios!$A$7:$A$13,1))+(INDEX(Report_Scenarios!$D$7:$D$13,MIN(MATCH(MEDIAN($B71-Conversion!$B$14,2020,2050),Report_Scenarios!$A$7:$A$13,1)+1,7))-INDEX(Report_Scenarios!$D$7:$D$13,MATCH(MEDIAN($B71-Conversion!$B$14,2020,2050),Report_Scenarios!$A$7:$A$13,1)))*(MEDIAN($B71-Conversion!$B$14,2020,2050)-INDEX(Report_Scenarios!$A$7:$A$13,MATCH(MEDIAN($B71-Conversion!$B$14,2020,2050),Report_Scenarios!$A$7:$A$13,1)))/(INDEX(Report_Scenarios!$A$7:$A$13,MIN(MATCH(MEDIAN($B71-Conversion!$B$14,2020,2050),Report_Scenarios!$A$7:$A$13,1)+1,7))-INDEX(Report_Scenarios!$A$7:$A$13,MATCH(MEDIAN($B71-Conversion!$B$14,2020,2050),Report_Scenarios!$A$7:$A$13,1)))),IF($D71="Central",IF(INDEX(Report_Scenarios!$A$18:$A$24,MIN(MATCH(MEDIAN($B71-Conversion!$B$14,2020,2050),Report_Scenarios!$A$18:$A$24,1)+1,7))=INDEX(Report_Scenarios!$A$18:$A$24,MATCH(MEDIAN($B71-Conversion!$B$14,2020,2050),Report_Scenarios!$A$18:$A$24,1)),INDEX(Report_Scenarios!$D$18:$D$24,MATCH(MEDIAN($B71-Conversion!$B$14,2020,2050),Report_Scenarios!$A$18:$A$24,1)),INDEX(Report_Scenarios!$D$18:$D$24,MATCH(MEDIAN($B71-Conversion!$B$14,2020,2050),Report_Scenarios!$A$18:$A$24,1))+(INDEX(Report_Scenarios!$D$18:$D$24,MIN(MATCH(MEDIAN($B71-Conversion!$B$14,2020,2050),Report_Scenarios!$A$18:$A$24,1)+1,7))-INDEX(Report_Scenarios!$D$18:$D$24,MATCH(MEDIAN($B71-Conversion!$B$14,2020,2050),Report_Scenarios!$A$18:$A$24,1)))*(MEDIAN($B71-Conversion!$B$14,2020,2050)-INDEX(Report_Scenarios!$A$18:$A$24,MATCH(MEDIAN($B71-Conversion!$B$14,2020,2050),Report_Scenarios!$A$18:$A$24,1)))/(INDEX(Report_Scenarios!$A$18:$A$24,MIN(MATCH(MEDIAN($B71-Conversion!$B$14,2020,2050),Report_Scenarios!$A$18:$A$24,1)+1,7))-INDEX(Report_Scenarios!$A$18:$A$24,MATCH(MEDIAN($B71-Conversion!$B$14,2020,2050),Report_Scenarios!$A$18:$A$24,1)))),IF(INDEX(Report_Scenarios!$A$29:$A$35,MIN(MATCH(MEDIAN($B71-Conversion!$B$14,2020,2050),Report_Scenarios!$A$29:$A$35,1)+1,7))=INDEX(Report_Scenarios!$A$29:$A$35,MATCH(MEDIAN($B71-Conversion!$B$14,2020,2050),Report_Scenarios!$A$29:$A$35,1)),INDEX(Report_Scenarios!$D$29:$D$35,MATCH(MEDIAN($B71-Conversion!$B$14,2020,2050),Report_Scenarios!$A$29:$A$35,1)),INDEX(Report_Scenarios!$D$29:$D$35,MATCH(MEDIAN($B71-Conversion!$B$14,2020,2050),Report_Scenarios!$A$29:$A$35,1))+(INDEX(Report_Scenarios!$D$29:$D$35,MIN(MATCH(MEDIAN($B71-Conversion!$B$14,2020,2050),Report_Scenarios!$A$29:$A$35,1)+1,7))-INDEX(Report_Scenarios!$D$29:$D$35,MATCH(MEDIAN($B71-Conversion!$B$14,2020,2050),Report_Scenarios!$A$29:$A$35,1)))*(MEDIAN($B71-Conversion!$B$14,2020,2050)-INDEX(Report_Scenarios!$A$29:$A$35,MATCH(MEDIAN($B71-Conversion!$B$14,2020,2050),Report_Scenarios!$A$29:$A$35,1)))/(INDEX(Report_Scenarios!$A$29:$A$35,MIN(MATCH(MEDIAN($B71-Conversion!$B$14,2020,2050),Report_Scenarios!$A$29:$A$35,1)+1,7))-INDEX(Report_Scenarios!$A$29:$A$35,MATCH(MEDIAN($B71-Conversion!$B$14,2020,2050),Report_Scenarios!$A$29:$A$35,1))))))</f>
        <v/>
      </c>
      <c r="H71" s="23">
        <f>IF($D71="Conservative",IF(INDEX(Report_Scenarios!$A$7:$A$13,MIN(MATCH(MEDIAN($B71-Conversion!$B$14,2020,2050),Report_Scenarios!$A$7:$A$13,1)+1,7))=INDEX(Report_Scenarios!$A$7:$A$13,MATCH(MEDIAN($B71-Conversion!$B$14,2020,2050),Report_Scenarios!$A$7:$A$13,1)),INDEX(Report_Scenarios!$E$7:$E$13,MATCH(MEDIAN($B71-Conversion!$B$14,2020,2050),Report_Scenarios!$A$7:$A$13,1)),INDEX(Report_Scenarios!$E$7:$E$13,MATCH(MEDIAN($B71-Conversion!$B$14,2020,2050),Report_Scenarios!$A$7:$A$13,1))+(INDEX(Report_Scenarios!$E$7:$E$13,MIN(MATCH(MEDIAN($B71-Conversion!$B$14,2020,2050),Report_Scenarios!$A$7:$A$13,1)+1,7))-INDEX(Report_Scenarios!$E$7:$E$13,MATCH(MEDIAN($B71-Conversion!$B$14,2020,2050),Report_Scenarios!$A$7:$A$13,1)))*(MEDIAN($B71-Conversion!$B$14,2020,2050)-INDEX(Report_Scenarios!$A$7:$A$13,MATCH(MEDIAN($B71-Conversion!$B$14,2020,2050),Report_Scenarios!$A$7:$A$13,1)))/(INDEX(Report_Scenarios!$A$7:$A$13,MIN(MATCH(MEDIAN($B71-Conversion!$B$14,2020,2050),Report_Scenarios!$A$7:$A$13,1)+1,7))-INDEX(Report_Scenarios!$A$7:$A$13,MATCH(MEDIAN($B71-Conversion!$B$14,2020,2050),Report_Scenarios!$A$7:$A$13,1)))),IF($D71="Central",IF(INDEX(Report_Scenarios!$A$18:$A$24,MIN(MATCH(MEDIAN($B71-Conversion!$B$14,2020,2050),Report_Scenarios!$A$18:$A$24,1)+1,7))=INDEX(Report_Scenarios!$A$18:$A$24,MATCH(MEDIAN($B71-Conversion!$B$14,2020,2050),Report_Scenarios!$A$18:$A$24,1)),INDEX(Report_Scenarios!$E$18:$E$24,MATCH(MEDIAN($B71-Conversion!$B$14,2020,2050),Report_Scenarios!$A$18:$A$24,1)),INDEX(Report_Scenarios!$E$18:$E$24,MATCH(MEDIAN($B71-Conversion!$B$14,2020,2050),Report_Scenarios!$A$18:$A$24,1))+(INDEX(Report_Scenarios!$E$18:$E$24,MIN(MATCH(MEDIAN($B71-Conversion!$B$14,2020,2050),Report_Scenarios!$A$18:$A$24,1)+1,7))-INDEX(Report_Scenarios!$E$18:$E$24,MATCH(MEDIAN($B71-Conversion!$B$14,2020,2050),Report_Scenarios!$A$18:$A$24,1)))*(MEDIAN($B71-Conversion!$B$14,2020,2050)-INDEX(Report_Scenarios!$A$18:$A$24,MATCH(MEDIAN($B71-Conversion!$B$14,2020,2050),Report_Scenarios!$A$18:$A$24,1)))/(INDEX(Report_Scenarios!$A$18:$A$24,MIN(MATCH(MEDIAN($B71-Conversion!$B$14,2020,2050),Report_Scenarios!$A$18:$A$24,1)+1,7))-INDEX(Report_Scenarios!$A$18:$A$24,MATCH(MEDIAN($B71-Conversion!$B$14,2020,2050),Report_Scenarios!$A$18:$A$24,1)))),IF(INDEX(Report_Scenarios!$A$29:$A$35,MIN(MATCH(MEDIAN($B71-Conversion!$B$14,2020,2050),Report_Scenarios!$A$29:$A$35,1)+1,7))=INDEX(Report_Scenarios!$A$29:$A$35,MATCH(MEDIAN($B71-Conversion!$B$14,2020,2050),Report_Scenarios!$A$29:$A$35,1)),INDEX(Report_Scenarios!$E$29:$E$35,MATCH(MEDIAN($B71-Conversion!$B$14,2020,2050),Report_Scenarios!$A$29:$A$35,1)),INDEX(Report_Scenarios!$E$29:$E$35,MATCH(MEDIAN($B71-Conversion!$B$14,2020,2050),Report_Scenarios!$A$29:$A$35,1))+(INDEX(Report_Scenarios!$E$29:$E$35,MIN(MATCH(MEDIAN($B71-Conversion!$B$14,2020,2050),Report_Scenarios!$A$29:$A$35,1)+1,7))-INDEX(Report_Scenarios!$E$29:$E$35,MATCH(MEDIAN($B71-Conversion!$B$14,2020,2050),Report_Scenarios!$A$29:$A$35,1)))*(MEDIAN($B71-Conversion!$B$14,2020,2050)-INDEX(Report_Scenarios!$A$29:$A$35,MATCH(MEDIAN($B71-Conversion!$B$14,2020,2050),Report_Scenarios!$A$29:$A$35,1)))/(INDEX(Report_Scenarios!$A$29:$A$35,MIN(MATCH(MEDIAN($B71-Conversion!$B$14,2020,2050),Report_Scenarios!$A$29:$A$35,1)+1,7))-INDEX(Report_Scenarios!$A$29:$A$35,MATCH(MEDIAN($B71-Conversion!$B$14,2020,2050),Report_Scenarios!$A$29:$A$35,1))))))</f>
        <v/>
      </c>
      <c r="I71" s="23">
        <f>IF($D71="Conservative",IF(INDEX(Report_Scenarios!$A$7:$A$13,MIN(MATCH(MEDIAN($B71-Conversion!$B$14,2020,2050),Report_Scenarios!$A$7:$A$13,1)+1,7))=INDEX(Report_Scenarios!$A$7:$A$13,MATCH(MEDIAN($B71-Conversion!$B$14,2020,2050),Report_Scenarios!$A$7:$A$13,1)),INDEX(Report_Scenarios!$F$7:$F$13,MATCH(MEDIAN($B71-Conversion!$B$14,2020,2050),Report_Scenarios!$A$7:$A$13,1)),INDEX(Report_Scenarios!$F$7:$F$13,MATCH(MEDIAN($B71-Conversion!$B$14,2020,2050),Report_Scenarios!$A$7:$A$13,1))+(INDEX(Report_Scenarios!$F$7:$F$13,MIN(MATCH(MEDIAN($B71-Conversion!$B$14,2020,2050),Report_Scenarios!$A$7:$A$13,1)+1,7))-INDEX(Report_Scenarios!$F$7:$F$13,MATCH(MEDIAN($B71-Conversion!$B$14,2020,2050),Report_Scenarios!$A$7:$A$13,1)))*(MEDIAN($B71-Conversion!$B$14,2020,2050)-INDEX(Report_Scenarios!$A$7:$A$13,MATCH(MEDIAN($B71-Conversion!$B$14,2020,2050),Report_Scenarios!$A$7:$A$13,1)))/(INDEX(Report_Scenarios!$A$7:$A$13,MIN(MATCH(MEDIAN($B71-Conversion!$B$14,2020,2050),Report_Scenarios!$A$7:$A$13,1)+1,7))-INDEX(Report_Scenarios!$A$7:$A$13,MATCH(MEDIAN($B71-Conversion!$B$14,2020,2050),Report_Scenarios!$A$7:$A$13,1)))),IF($D71="Central",IF(INDEX(Report_Scenarios!$A$18:$A$24,MIN(MATCH(MEDIAN($B71-Conversion!$B$14,2020,2050),Report_Scenarios!$A$18:$A$24,1)+1,7))=INDEX(Report_Scenarios!$A$18:$A$24,MATCH(MEDIAN($B71-Conversion!$B$14,2020,2050),Report_Scenarios!$A$18:$A$24,1)),INDEX(Report_Scenarios!$F$18:$F$24,MATCH(MEDIAN($B71-Conversion!$B$14,2020,2050),Report_Scenarios!$A$18:$A$24,1)),INDEX(Report_Scenarios!$F$18:$F$24,MATCH(MEDIAN($B71-Conversion!$B$14,2020,2050),Report_Scenarios!$A$18:$A$24,1))+(INDEX(Report_Scenarios!$F$18:$F$24,MIN(MATCH(MEDIAN($B71-Conversion!$B$14,2020,2050),Report_Scenarios!$A$18:$A$24,1)+1,7))-INDEX(Report_Scenarios!$F$18:$F$24,MATCH(MEDIAN($B71-Conversion!$B$14,2020,2050),Report_Scenarios!$A$18:$A$24,1)))*(MEDIAN($B71-Conversion!$B$14,2020,2050)-INDEX(Report_Scenarios!$A$18:$A$24,MATCH(MEDIAN($B71-Conversion!$B$14,2020,2050),Report_Scenarios!$A$18:$A$24,1)))/(INDEX(Report_Scenarios!$A$18:$A$24,MIN(MATCH(MEDIAN($B71-Conversion!$B$14,2020,2050),Report_Scenarios!$A$18:$A$24,1)+1,7))-INDEX(Report_Scenarios!$A$18:$A$24,MATCH(MEDIAN($B71-Conversion!$B$14,2020,2050),Report_Scenarios!$A$18:$A$24,1)))),IF(INDEX(Report_Scenarios!$A$29:$A$35,MIN(MATCH(MEDIAN($B71-Conversion!$B$14,2020,2050),Report_Scenarios!$A$29:$A$35,1)+1,7))=INDEX(Report_Scenarios!$A$29:$A$35,MATCH(MEDIAN($B71-Conversion!$B$14,2020,2050),Report_Scenarios!$A$29:$A$35,1)),INDEX(Report_Scenarios!$F$29:$F$35,MATCH(MEDIAN($B71-Conversion!$B$14,2020,2050),Report_Scenarios!$A$29:$A$35,1)),INDEX(Report_Scenarios!$F$29:$F$35,MATCH(MEDIAN($B71-Conversion!$B$14,2020,2050),Report_Scenarios!$A$29:$A$35,1))+(INDEX(Report_Scenarios!$F$29:$F$35,MIN(MATCH(MEDIAN($B71-Conversion!$B$14,2020,2050),Report_Scenarios!$A$29:$A$35,1)+1,7))-INDEX(Report_Scenarios!$F$29:$F$35,MATCH(MEDIAN($B71-Conversion!$B$14,2020,2050),Report_Scenarios!$A$29:$A$35,1)))*(MEDIAN($B71-Conversion!$B$14,2020,2050)-INDEX(Report_Scenarios!$A$29:$A$35,MATCH(MEDIAN($B71-Conversion!$B$14,2020,2050),Report_Scenarios!$A$29:$A$35,1)))/(INDEX(Report_Scenarios!$A$29:$A$35,MIN(MATCH(MEDIAN($B71-Conversion!$B$14,2020,2050),Report_Scenarios!$A$29:$A$35,1)+1,7))-INDEX(Report_Scenarios!$A$29:$A$35,MATCH(MEDIAN($B71-Conversion!$B$14,2020,2050),Report_Scenarios!$A$29:$A$35,1))))))</f>
        <v/>
      </c>
      <c r="J71" s="23">
        <f>IF($D71="Conservative",IF(INDEX(Report_Scenarios!$A$7:$A$13,MIN(MATCH(MEDIAN($B71-Conversion!$B$14,2020,2050),Report_Scenarios!$A$7:$A$13,1)+1,7))=INDEX(Report_Scenarios!$A$7:$A$13,MATCH(MEDIAN($B71-Conversion!$B$14,2020,2050),Report_Scenarios!$A$7:$A$13,1)),INDEX(Report_Scenarios!$G$7:$G$13,MATCH(MEDIAN($B71-Conversion!$B$14,2020,2050),Report_Scenarios!$A$7:$A$13,1)),INDEX(Report_Scenarios!$G$7:$G$13,MATCH(MEDIAN($B71-Conversion!$B$14,2020,2050),Report_Scenarios!$A$7:$A$13,1))+(INDEX(Report_Scenarios!$G$7:$G$13,MIN(MATCH(MEDIAN($B71-Conversion!$B$14,2020,2050),Report_Scenarios!$A$7:$A$13,1)+1,7))-INDEX(Report_Scenarios!$G$7:$G$13,MATCH(MEDIAN($B71-Conversion!$B$14,2020,2050),Report_Scenarios!$A$7:$A$13,1)))*(MEDIAN($B71-Conversion!$B$14,2020,2050)-INDEX(Report_Scenarios!$A$7:$A$13,MATCH(MEDIAN($B71-Conversion!$B$14,2020,2050),Report_Scenarios!$A$7:$A$13,1)))/(INDEX(Report_Scenarios!$A$7:$A$13,MIN(MATCH(MEDIAN($B71-Conversion!$B$14,2020,2050),Report_Scenarios!$A$7:$A$13,1)+1,7))-INDEX(Report_Scenarios!$A$7:$A$13,MATCH(MEDIAN($B71-Conversion!$B$14,2020,2050),Report_Scenarios!$A$7:$A$13,1)))),IF($D71="Central",IF(INDEX(Report_Scenarios!$A$18:$A$24,MIN(MATCH(MEDIAN($B71-Conversion!$B$14,2020,2050),Report_Scenarios!$A$18:$A$24,1)+1,7))=INDEX(Report_Scenarios!$A$18:$A$24,MATCH(MEDIAN($B71-Conversion!$B$14,2020,2050),Report_Scenarios!$A$18:$A$24,1)),INDEX(Report_Scenarios!$G$18:$G$24,MATCH(MEDIAN($B71-Conversion!$B$14,2020,2050),Report_Scenarios!$A$18:$A$24,1)),INDEX(Report_Scenarios!$G$18:$G$24,MATCH(MEDIAN($B71-Conversion!$B$14,2020,2050),Report_Scenarios!$A$18:$A$24,1))+(INDEX(Report_Scenarios!$G$18:$G$24,MIN(MATCH(MEDIAN($B71-Conversion!$B$14,2020,2050),Report_Scenarios!$A$18:$A$24,1)+1,7))-INDEX(Report_Scenarios!$G$18:$G$24,MATCH(MEDIAN($B71-Conversion!$B$14,2020,2050),Report_Scenarios!$A$18:$A$24,1)))*(MEDIAN($B71-Conversion!$B$14,2020,2050)-INDEX(Report_Scenarios!$A$18:$A$24,MATCH(MEDIAN($B71-Conversion!$B$14,2020,2050),Report_Scenarios!$A$18:$A$24,1)))/(INDEX(Report_Scenarios!$A$18:$A$24,MIN(MATCH(MEDIAN($B71-Conversion!$B$14,2020,2050),Report_Scenarios!$A$18:$A$24,1)+1,7))-INDEX(Report_Scenarios!$A$18:$A$24,MATCH(MEDIAN($B71-Conversion!$B$14,2020,2050),Report_Scenarios!$A$18:$A$24,1)))),IF(INDEX(Report_Scenarios!$A$29:$A$35,MIN(MATCH(MEDIAN($B71-Conversion!$B$14,2020,2050),Report_Scenarios!$A$29:$A$35,1)+1,7))=INDEX(Report_Scenarios!$A$29:$A$35,MATCH(MEDIAN($B71-Conversion!$B$14,2020,2050),Report_Scenarios!$A$29:$A$35,1)),INDEX(Report_Scenarios!$G$29:$G$35,MATCH(MEDIAN($B71-Conversion!$B$14,2020,2050),Report_Scenarios!$A$29:$A$35,1)),INDEX(Report_Scenarios!$G$29:$G$35,MATCH(MEDIAN($B71-Conversion!$B$14,2020,2050),Report_Scenarios!$A$29:$A$35,1))+(INDEX(Report_Scenarios!$G$29:$G$35,MIN(MATCH(MEDIAN($B71-Conversion!$B$14,2020,2050),Report_Scenarios!$A$29:$A$35,1)+1,7))-INDEX(Report_Scenarios!$G$29:$G$35,MATCH(MEDIAN($B71-Conversion!$B$14,2020,2050),Report_Scenarios!$A$29:$A$35,1)))*(MEDIAN($B71-Conversion!$B$14,2020,2050)-INDEX(Report_Scenarios!$A$29:$A$35,MATCH(MEDIAN($B71-Conversion!$B$14,2020,2050),Report_Scenarios!$A$29:$A$35,1)))/(INDEX(Report_Scenarios!$A$29:$A$35,MIN(MATCH(MEDIAN($B71-Conversion!$B$14,2020,2050),Report_Scenarios!$A$29:$A$35,1)+1,7))-INDEX(Report_Scenarios!$A$29:$A$35,MATCH(MEDIAN($B71-Conversion!$B$14,2020,2050),Report_Scenarios!$A$29:$A$35,1))))))</f>
        <v/>
      </c>
      <c r="K71" s="23">
        <f>SUM(E71:J71)</f>
        <v/>
      </c>
      <c r="L71" s="23">
        <f>IF(R71&lt;&gt;"",R71,IF($K71=0,0,E71/$K71))</f>
        <v/>
      </c>
      <c r="M71" s="23">
        <f>IF(S71&lt;&gt;"",S71,IF($K71=0,0,F71/$K71))</f>
        <v/>
      </c>
      <c r="N71" s="23">
        <f>IF(T71&lt;&gt;"",T71,IF($K71=0,0,G71/$K71))</f>
        <v/>
      </c>
      <c r="O71" s="23">
        <f>IF(U71&lt;&gt;"",U71,IF($K71=0,0,H71/$K71))</f>
        <v/>
      </c>
      <c r="P71" s="23">
        <f>IF(V71&lt;&gt;"",V71,IF($K71=0,0,I71/$K71))</f>
        <v/>
      </c>
      <c r="Q71" s="23">
        <f>IF(W71&lt;&gt;"",W71,IF($K71=0,0,J71/$K71))</f>
        <v/>
      </c>
      <c r="R71" s="24" t="n"/>
      <c r="S71" s="24" t="n"/>
      <c r="T71" s="24" t="n"/>
      <c r="U71" s="24" t="n"/>
      <c r="V71" s="24" t="n"/>
      <c r="W71" s="24" t="n"/>
    </row>
    <row r="72">
      <c r="A72" s="4" t="inlineStr">
        <is>
          <t>EF</t>
        </is>
      </c>
      <c r="B72" s="4" t="n">
        <v>2030</v>
      </c>
      <c r="C72" s="4" t="inlineStr">
        <is>
          <t>Share_Mode</t>
        </is>
      </c>
      <c r="D72" s="4">
        <f>Conversion!$B$19</f>
        <v/>
      </c>
      <c r="E72" s="23">
        <f>IF($D72="Conservative",IF(INDEX(Report_Scenarios!$A$7:$A$13,MIN(MATCH(MEDIAN($B72-Conversion!$B$14,2020,2050),Report_Scenarios!$A$7:$A$13,1)+1,7))=INDEX(Report_Scenarios!$A$7:$A$13,MATCH(MEDIAN($B72-Conversion!$B$14,2020,2050),Report_Scenarios!$A$7:$A$13,1)),INDEX(Report_Scenarios!$B$7:$B$13,MATCH(MEDIAN($B72-Conversion!$B$14,2020,2050),Report_Scenarios!$A$7:$A$13,1)),INDEX(Report_Scenarios!$B$7:$B$13,MATCH(MEDIAN($B72-Conversion!$B$14,2020,2050),Report_Scenarios!$A$7:$A$13,1))+(INDEX(Report_Scenarios!$B$7:$B$13,MIN(MATCH(MEDIAN($B72-Conversion!$B$14,2020,2050),Report_Scenarios!$A$7:$A$13,1)+1,7))-INDEX(Report_Scenarios!$B$7:$B$13,MATCH(MEDIAN($B72-Conversion!$B$14,2020,2050),Report_Scenarios!$A$7:$A$13,1)))*(MEDIAN($B72-Conversion!$B$14,2020,2050)-INDEX(Report_Scenarios!$A$7:$A$13,MATCH(MEDIAN($B72-Conversion!$B$14,2020,2050),Report_Scenarios!$A$7:$A$13,1)))/(INDEX(Report_Scenarios!$A$7:$A$13,MIN(MATCH(MEDIAN($B72-Conversion!$B$14,2020,2050),Report_Scenarios!$A$7:$A$13,1)+1,7))-INDEX(Report_Scenarios!$A$7:$A$13,MATCH(MEDIAN($B72-Conversion!$B$14,2020,2050),Report_Scenarios!$A$7:$A$13,1)))),IF($D72="Central",IF(INDEX(Report_Scenarios!$A$18:$A$24,MIN(MATCH(MEDIAN($B72-Conversion!$B$14,2020,2050),Report_Scenarios!$A$18:$A$24,1)+1,7))=INDEX(Report_Scenarios!$A$18:$A$24,MATCH(MEDIAN($B72-Conversion!$B$14,2020,2050),Report_Scenarios!$A$18:$A$24,1)),INDEX(Report_Scenarios!$B$18:$B$24,MATCH(MEDIAN($B72-Conversion!$B$14,2020,2050),Report_Scenarios!$A$18:$A$24,1)),INDEX(Report_Scenarios!$B$18:$B$24,MATCH(MEDIAN($B72-Conversion!$B$14,2020,2050),Report_Scenarios!$A$18:$A$24,1))+(INDEX(Report_Scenarios!$B$18:$B$24,MIN(MATCH(MEDIAN($B72-Conversion!$B$14,2020,2050),Report_Scenarios!$A$18:$A$24,1)+1,7))-INDEX(Report_Scenarios!$B$18:$B$24,MATCH(MEDIAN($B72-Conversion!$B$14,2020,2050),Report_Scenarios!$A$18:$A$24,1)))*(MEDIAN($B72-Conversion!$B$14,2020,2050)-INDEX(Report_Scenarios!$A$18:$A$24,MATCH(MEDIAN($B72-Conversion!$B$14,2020,2050),Report_Scenarios!$A$18:$A$24,1)))/(INDEX(Report_Scenarios!$A$18:$A$24,MIN(MATCH(MEDIAN($B72-Conversion!$B$14,2020,2050),Report_Scenarios!$A$18:$A$24,1)+1,7))-INDEX(Report_Scenarios!$A$18:$A$24,MATCH(MEDIAN($B72-Conversion!$B$14,2020,2050),Report_Scenarios!$A$18:$A$24,1)))),IF(INDEX(Report_Scenarios!$A$29:$A$35,MIN(MATCH(MEDIAN($B72-Conversion!$B$14,2020,2050),Report_Scenarios!$A$29:$A$35,1)+1,7))=INDEX(Report_Scenarios!$A$29:$A$35,MATCH(MEDIAN($B72-Conversion!$B$14,2020,2050),Report_Scenarios!$A$29:$A$35,1)),INDEX(Report_Scenarios!$B$29:$B$35,MATCH(MEDIAN($B72-Conversion!$B$14,2020,2050),Report_Scenarios!$A$29:$A$35,1)),INDEX(Report_Scenarios!$B$29:$B$35,MATCH(MEDIAN($B72-Conversion!$B$14,2020,2050),Report_Scenarios!$A$29:$A$35,1))+(INDEX(Report_Scenarios!$B$29:$B$35,MIN(MATCH(MEDIAN($B72-Conversion!$B$14,2020,2050),Report_Scenarios!$A$29:$A$35,1)+1,7))-INDEX(Report_Scenarios!$B$29:$B$35,MATCH(MEDIAN($B72-Conversion!$B$14,2020,2050),Report_Scenarios!$A$29:$A$35,1)))*(MEDIAN($B72-Conversion!$B$14,2020,2050)-INDEX(Report_Scenarios!$A$29:$A$35,MATCH(MEDIAN($B72-Conversion!$B$14,2020,2050),Report_Scenarios!$A$29:$A$35,1)))/(INDEX(Report_Scenarios!$A$29:$A$35,MIN(MATCH(MEDIAN($B72-Conversion!$B$14,2020,2050),Report_Scenarios!$A$29:$A$35,1)+1,7))-INDEX(Report_Scenarios!$A$29:$A$35,MATCH(MEDIAN($B72-Conversion!$B$14,2020,2050),Report_Scenarios!$A$29:$A$35,1))))))</f>
        <v/>
      </c>
      <c r="F72" s="23">
        <f>IF($D72="Conservative",IF(INDEX(Report_Scenarios!$A$7:$A$13,MIN(MATCH(MEDIAN($B72-Conversion!$B$14,2020,2050),Report_Scenarios!$A$7:$A$13,1)+1,7))=INDEX(Report_Scenarios!$A$7:$A$13,MATCH(MEDIAN($B72-Conversion!$B$14,2020,2050),Report_Scenarios!$A$7:$A$13,1)),INDEX(Report_Scenarios!$C$7:$C$13,MATCH(MEDIAN($B72-Conversion!$B$14,2020,2050),Report_Scenarios!$A$7:$A$13,1)),INDEX(Report_Scenarios!$C$7:$C$13,MATCH(MEDIAN($B72-Conversion!$B$14,2020,2050),Report_Scenarios!$A$7:$A$13,1))+(INDEX(Report_Scenarios!$C$7:$C$13,MIN(MATCH(MEDIAN($B72-Conversion!$B$14,2020,2050),Report_Scenarios!$A$7:$A$13,1)+1,7))-INDEX(Report_Scenarios!$C$7:$C$13,MATCH(MEDIAN($B72-Conversion!$B$14,2020,2050),Report_Scenarios!$A$7:$A$13,1)))*(MEDIAN($B72-Conversion!$B$14,2020,2050)-INDEX(Report_Scenarios!$A$7:$A$13,MATCH(MEDIAN($B72-Conversion!$B$14,2020,2050),Report_Scenarios!$A$7:$A$13,1)))/(INDEX(Report_Scenarios!$A$7:$A$13,MIN(MATCH(MEDIAN($B72-Conversion!$B$14,2020,2050),Report_Scenarios!$A$7:$A$13,1)+1,7))-INDEX(Report_Scenarios!$A$7:$A$13,MATCH(MEDIAN($B72-Conversion!$B$14,2020,2050),Report_Scenarios!$A$7:$A$13,1)))),IF($D72="Central",IF(INDEX(Report_Scenarios!$A$18:$A$24,MIN(MATCH(MEDIAN($B72-Conversion!$B$14,2020,2050),Report_Scenarios!$A$18:$A$24,1)+1,7))=INDEX(Report_Scenarios!$A$18:$A$24,MATCH(MEDIAN($B72-Conversion!$B$14,2020,2050),Report_Scenarios!$A$18:$A$24,1)),INDEX(Report_Scenarios!$C$18:$C$24,MATCH(MEDIAN($B72-Conversion!$B$14,2020,2050),Report_Scenarios!$A$18:$A$24,1)),INDEX(Report_Scenarios!$C$18:$C$24,MATCH(MEDIAN($B72-Conversion!$B$14,2020,2050),Report_Scenarios!$A$18:$A$24,1))+(INDEX(Report_Scenarios!$C$18:$C$24,MIN(MATCH(MEDIAN($B72-Conversion!$B$14,2020,2050),Report_Scenarios!$A$18:$A$24,1)+1,7))-INDEX(Report_Scenarios!$C$18:$C$24,MATCH(MEDIAN($B72-Conversion!$B$14,2020,2050),Report_Scenarios!$A$18:$A$24,1)))*(MEDIAN($B72-Conversion!$B$14,2020,2050)-INDEX(Report_Scenarios!$A$18:$A$24,MATCH(MEDIAN($B72-Conversion!$B$14,2020,2050),Report_Scenarios!$A$18:$A$24,1)))/(INDEX(Report_Scenarios!$A$18:$A$24,MIN(MATCH(MEDIAN($B72-Conversion!$B$14,2020,2050),Report_Scenarios!$A$18:$A$24,1)+1,7))-INDEX(Report_Scenarios!$A$18:$A$24,MATCH(MEDIAN($B72-Conversion!$B$14,2020,2050),Report_Scenarios!$A$18:$A$24,1)))),IF(INDEX(Report_Scenarios!$A$29:$A$35,MIN(MATCH(MEDIAN($B72-Conversion!$B$14,2020,2050),Report_Scenarios!$A$29:$A$35,1)+1,7))=INDEX(Report_Scenarios!$A$29:$A$35,MATCH(MEDIAN($B72-Conversion!$B$14,2020,2050),Report_Scenarios!$A$29:$A$35,1)),INDEX(Report_Scenarios!$C$29:$C$35,MATCH(MEDIAN($B72-Conversion!$B$14,2020,2050),Report_Scenarios!$A$29:$A$35,1)),INDEX(Report_Scenarios!$C$29:$C$35,MATCH(MEDIAN($B72-Conversion!$B$14,2020,2050),Report_Scenarios!$A$29:$A$35,1))+(INDEX(Report_Scenarios!$C$29:$C$35,MIN(MATCH(MEDIAN($B72-Conversion!$B$14,2020,2050),Report_Scenarios!$A$29:$A$35,1)+1,7))-INDEX(Report_Scenarios!$C$29:$C$35,MATCH(MEDIAN($B72-Conversion!$B$14,2020,2050),Report_Scenarios!$A$29:$A$35,1)))*(MEDIAN($B72-Conversion!$B$14,2020,2050)-INDEX(Report_Scenarios!$A$29:$A$35,MATCH(MEDIAN($B72-Conversion!$B$14,2020,2050),Report_Scenarios!$A$29:$A$35,1)))/(INDEX(Report_Scenarios!$A$29:$A$35,MIN(MATCH(MEDIAN($B72-Conversion!$B$14,2020,2050),Report_Scenarios!$A$29:$A$35,1)+1,7))-INDEX(Report_Scenarios!$A$29:$A$35,MATCH(MEDIAN($B72-Conversion!$B$14,2020,2050),Report_Scenarios!$A$29:$A$35,1))))))</f>
        <v/>
      </c>
      <c r="G72" s="23">
        <f>IF($D72="Conservative",IF(INDEX(Report_Scenarios!$A$7:$A$13,MIN(MATCH(MEDIAN($B72-Conversion!$B$14,2020,2050),Report_Scenarios!$A$7:$A$13,1)+1,7))=INDEX(Report_Scenarios!$A$7:$A$13,MATCH(MEDIAN($B72-Conversion!$B$14,2020,2050),Report_Scenarios!$A$7:$A$13,1)),INDEX(Report_Scenarios!$D$7:$D$13,MATCH(MEDIAN($B72-Conversion!$B$14,2020,2050),Report_Scenarios!$A$7:$A$13,1)),INDEX(Report_Scenarios!$D$7:$D$13,MATCH(MEDIAN($B72-Conversion!$B$14,2020,2050),Report_Scenarios!$A$7:$A$13,1))+(INDEX(Report_Scenarios!$D$7:$D$13,MIN(MATCH(MEDIAN($B72-Conversion!$B$14,2020,2050),Report_Scenarios!$A$7:$A$13,1)+1,7))-INDEX(Report_Scenarios!$D$7:$D$13,MATCH(MEDIAN($B72-Conversion!$B$14,2020,2050),Report_Scenarios!$A$7:$A$13,1)))*(MEDIAN($B72-Conversion!$B$14,2020,2050)-INDEX(Report_Scenarios!$A$7:$A$13,MATCH(MEDIAN($B72-Conversion!$B$14,2020,2050),Report_Scenarios!$A$7:$A$13,1)))/(INDEX(Report_Scenarios!$A$7:$A$13,MIN(MATCH(MEDIAN($B72-Conversion!$B$14,2020,2050),Report_Scenarios!$A$7:$A$13,1)+1,7))-INDEX(Report_Scenarios!$A$7:$A$13,MATCH(MEDIAN($B72-Conversion!$B$14,2020,2050),Report_Scenarios!$A$7:$A$13,1)))),IF($D72="Central",IF(INDEX(Report_Scenarios!$A$18:$A$24,MIN(MATCH(MEDIAN($B72-Conversion!$B$14,2020,2050),Report_Scenarios!$A$18:$A$24,1)+1,7))=INDEX(Report_Scenarios!$A$18:$A$24,MATCH(MEDIAN($B72-Conversion!$B$14,2020,2050),Report_Scenarios!$A$18:$A$24,1)),INDEX(Report_Scenarios!$D$18:$D$24,MATCH(MEDIAN($B72-Conversion!$B$14,2020,2050),Report_Scenarios!$A$18:$A$24,1)),INDEX(Report_Scenarios!$D$18:$D$24,MATCH(MEDIAN($B72-Conversion!$B$14,2020,2050),Report_Scenarios!$A$18:$A$24,1))+(INDEX(Report_Scenarios!$D$18:$D$24,MIN(MATCH(MEDIAN($B72-Conversion!$B$14,2020,2050),Report_Scenarios!$A$18:$A$24,1)+1,7))-INDEX(Report_Scenarios!$D$18:$D$24,MATCH(MEDIAN($B72-Conversion!$B$14,2020,2050),Report_Scenarios!$A$18:$A$24,1)))*(MEDIAN($B72-Conversion!$B$14,2020,2050)-INDEX(Report_Scenarios!$A$18:$A$24,MATCH(MEDIAN($B72-Conversion!$B$14,2020,2050),Report_Scenarios!$A$18:$A$24,1)))/(INDEX(Report_Scenarios!$A$18:$A$24,MIN(MATCH(MEDIAN($B72-Conversion!$B$14,2020,2050),Report_Scenarios!$A$18:$A$24,1)+1,7))-INDEX(Report_Scenarios!$A$18:$A$24,MATCH(MEDIAN($B72-Conversion!$B$14,2020,2050),Report_Scenarios!$A$18:$A$24,1)))),IF(INDEX(Report_Scenarios!$A$29:$A$35,MIN(MATCH(MEDIAN($B72-Conversion!$B$14,2020,2050),Report_Scenarios!$A$29:$A$35,1)+1,7))=INDEX(Report_Scenarios!$A$29:$A$35,MATCH(MEDIAN($B72-Conversion!$B$14,2020,2050),Report_Scenarios!$A$29:$A$35,1)),INDEX(Report_Scenarios!$D$29:$D$35,MATCH(MEDIAN($B72-Conversion!$B$14,2020,2050),Report_Scenarios!$A$29:$A$35,1)),INDEX(Report_Scenarios!$D$29:$D$35,MATCH(MEDIAN($B72-Conversion!$B$14,2020,2050),Report_Scenarios!$A$29:$A$35,1))+(INDEX(Report_Scenarios!$D$29:$D$35,MIN(MATCH(MEDIAN($B72-Conversion!$B$14,2020,2050),Report_Scenarios!$A$29:$A$35,1)+1,7))-INDEX(Report_Scenarios!$D$29:$D$35,MATCH(MEDIAN($B72-Conversion!$B$14,2020,2050),Report_Scenarios!$A$29:$A$35,1)))*(MEDIAN($B72-Conversion!$B$14,2020,2050)-INDEX(Report_Scenarios!$A$29:$A$35,MATCH(MEDIAN($B72-Conversion!$B$14,2020,2050),Report_Scenarios!$A$29:$A$35,1)))/(INDEX(Report_Scenarios!$A$29:$A$35,MIN(MATCH(MEDIAN($B72-Conversion!$B$14,2020,2050),Report_Scenarios!$A$29:$A$35,1)+1,7))-INDEX(Report_Scenarios!$A$29:$A$35,MATCH(MEDIAN($B72-Conversion!$B$14,2020,2050),Report_Scenarios!$A$29:$A$35,1))))))</f>
        <v/>
      </c>
      <c r="H72" s="23">
        <f>IF($D72="Conservative",IF(INDEX(Report_Scenarios!$A$7:$A$13,MIN(MATCH(MEDIAN($B72-Conversion!$B$14,2020,2050),Report_Scenarios!$A$7:$A$13,1)+1,7))=INDEX(Report_Scenarios!$A$7:$A$13,MATCH(MEDIAN($B72-Conversion!$B$14,2020,2050),Report_Scenarios!$A$7:$A$13,1)),INDEX(Report_Scenarios!$E$7:$E$13,MATCH(MEDIAN($B72-Conversion!$B$14,2020,2050),Report_Scenarios!$A$7:$A$13,1)),INDEX(Report_Scenarios!$E$7:$E$13,MATCH(MEDIAN($B72-Conversion!$B$14,2020,2050),Report_Scenarios!$A$7:$A$13,1))+(INDEX(Report_Scenarios!$E$7:$E$13,MIN(MATCH(MEDIAN($B72-Conversion!$B$14,2020,2050),Report_Scenarios!$A$7:$A$13,1)+1,7))-INDEX(Report_Scenarios!$E$7:$E$13,MATCH(MEDIAN($B72-Conversion!$B$14,2020,2050),Report_Scenarios!$A$7:$A$13,1)))*(MEDIAN($B72-Conversion!$B$14,2020,2050)-INDEX(Report_Scenarios!$A$7:$A$13,MATCH(MEDIAN($B72-Conversion!$B$14,2020,2050),Report_Scenarios!$A$7:$A$13,1)))/(INDEX(Report_Scenarios!$A$7:$A$13,MIN(MATCH(MEDIAN($B72-Conversion!$B$14,2020,2050),Report_Scenarios!$A$7:$A$13,1)+1,7))-INDEX(Report_Scenarios!$A$7:$A$13,MATCH(MEDIAN($B72-Conversion!$B$14,2020,2050),Report_Scenarios!$A$7:$A$13,1)))),IF($D72="Central",IF(INDEX(Report_Scenarios!$A$18:$A$24,MIN(MATCH(MEDIAN($B72-Conversion!$B$14,2020,2050),Report_Scenarios!$A$18:$A$24,1)+1,7))=INDEX(Report_Scenarios!$A$18:$A$24,MATCH(MEDIAN($B72-Conversion!$B$14,2020,2050),Report_Scenarios!$A$18:$A$24,1)),INDEX(Report_Scenarios!$E$18:$E$24,MATCH(MEDIAN($B72-Conversion!$B$14,2020,2050),Report_Scenarios!$A$18:$A$24,1)),INDEX(Report_Scenarios!$E$18:$E$24,MATCH(MEDIAN($B72-Conversion!$B$14,2020,2050),Report_Scenarios!$A$18:$A$24,1))+(INDEX(Report_Scenarios!$E$18:$E$24,MIN(MATCH(MEDIAN($B72-Conversion!$B$14,2020,2050),Report_Scenarios!$A$18:$A$24,1)+1,7))-INDEX(Report_Scenarios!$E$18:$E$24,MATCH(MEDIAN($B72-Conversion!$B$14,2020,2050),Report_Scenarios!$A$18:$A$24,1)))*(MEDIAN($B72-Conversion!$B$14,2020,2050)-INDEX(Report_Scenarios!$A$18:$A$24,MATCH(MEDIAN($B72-Conversion!$B$14,2020,2050),Report_Scenarios!$A$18:$A$24,1)))/(INDEX(Report_Scenarios!$A$18:$A$24,MIN(MATCH(MEDIAN($B72-Conversion!$B$14,2020,2050),Report_Scenarios!$A$18:$A$24,1)+1,7))-INDEX(Report_Scenarios!$A$18:$A$24,MATCH(MEDIAN($B72-Conversion!$B$14,2020,2050),Report_Scenarios!$A$18:$A$24,1)))),IF(INDEX(Report_Scenarios!$A$29:$A$35,MIN(MATCH(MEDIAN($B72-Conversion!$B$14,2020,2050),Report_Scenarios!$A$29:$A$35,1)+1,7))=INDEX(Report_Scenarios!$A$29:$A$35,MATCH(MEDIAN($B72-Conversion!$B$14,2020,2050),Report_Scenarios!$A$29:$A$35,1)),INDEX(Report_Scenarios!$E$29:$E$35,MATCH(MEDIAN($B72-Conversion!$B$14,2020,2050),Report_Scenarios!$A$29:$A$35,1)),INDEX(Report_Scenarios!$E$29:$E$35,MATCH(MEDIAN($B72-Conversion!$B$14,2020,2050),Report_Scenarios!$A$29:$A$35,1))+(INDEX(Report_Scenarios!$E$29:$E$35,MIN(MATCH(MEDIAN($B72-Conversion!$B$14,2020,2050),Report_Scenarios!$A$29:$A$35,1)+1,7))-INDEX(Report_Scenarios!$E$29:$E$35,MATCH(MEDIAN($B72-Conversion!$B$14,2020,2050),Report_Scenarios!$A$29:$A$35,1)))*(MEDIAN($B72-Conversion!$B$14,2020,2050)-INDEX(Report_Scenarios!$A$29:$A$35,MATCH(MEDIAN($B72-Conversion!$B$14,2020,2050),Report_Scenarios!$A$29:$A$35,1)))/(INDEX(Report_Scenarios!$A$29:$A$35,MIN(MATCH(MEDIAN($B72-Conversion!$B$14,2020,2050),Report_Scenarios!$A$29:$A$35,1)+1,7))-INDEX(Report_Scenarios!$A$29:$A$35,MATCH(MEDIAN($B72-Conversion!$B$14,2020,2050),Report_Scenarios!$A$29:$A$35,1))))))</f>
        <v/>
      </c>
      <c r="I72" s="23">
        <f>IF($D72="Conservative",IF(INDEX(Report_Scenarios!$A$7:$A$13,MIN(MATCH(MEDIAN($B72-Conversion!$B$14,2020,2050),Report_Scenarios!$A$7:$A$13,1)+1,7))=INDEX(Report_Scenarios!$A$7:$A$13,MATCH(MEDIAN($B72-Conversion!$B$14,2020,2050),Report_Scenarios!$A$7:$A$13,1)),INDEX(Report_Scenarios!$F$7:$F$13,MATCH(MEDIAN($B72-Conversion!$B$14,2020,2050),Report_Scenarios!$A$7:$A$13,1)),INDEX(Report_Scenarios!$F$7:$F$13,MATCH(MEDIAN($B72-Conversion!$B$14,2020,2050),Report_Scenarios!$A$7:$A$13,1))+(INDEX(Report_Scenarios!$F$7:$F$13,MIN(MATCH(MEDIAN($B72-Conversion!$B$14,2020,2050),Report_Scenarios!$A$7:$A$13,1)+1,7))-INDEX(Report_Scenarios!$F$7:$F$13,MATCH(MEDIAN($B72-Conversion!$B$14,2020,2050),Report_Scenarios!$A$7:$A$13,1)))*(MEDIAN($B72-Conversion!$B$14,2020,2050)-INDEX(Report_Scenarios!$A$7:$A$13,MATCH(MEDIAN($B72-Conversion!$B$14,2020,2050),Report_Scenarios!$A$7:$A$13,1)))/(INDEX(Report_Scenarios!$A$7:$A$13,MIN(MATCH(MEDIAN($B72-Conversion!$B$14,2020,2050),Report_Scenarios!$A$7:$A$13,1)+1,7))-INDEX(Report_Scenarios!$A$7:$A$13,MATCH(MEDIAN($B72-Conversion!$B$14,2020,2050),Report_Scenarios!$A$7:$A$13,1)))),IF($D72="Central",IF(INDEX(Report_Scenarios!$A$18:$A$24,MIN(MATCH(MEDIAN($B72-Conversion!$B$14,2020,2050),Report_Scenarios!$A$18:$A$24,1)+1,7))=INDEX(Report_Scenarios!$A$18:$A$24,MATCH(MEDIAN($B72-Conversion!$B$14,2020,2050),Report_Scenarios!$A$18:$A$24,1)),INDEX(Report_Scenarios!$F$18:$F$24,MATCH(MEDIAN($B72-Conversion!$B$14,2020,2050),Report_Scenarios!$A$18:$A$24,1)),INDEX(Report_Scenarios!$F$18:$F$24,MATCH(MEDIAN($B72-Conversion!$B$14,2020,2050),Report_Scenarios!$A$18:$A$24,1))+(INDEX(Report_Scenarios!$F$18:$F$24,MIN(MATCH(MEDIAN($B72-Conversion!$B$14,2020,2050),Report_Scenarios!$A$18:$A$24,1)+1,7))-INDEX(Report_Scenarios!$F$18:$F$24,MATCH(MEDIAN($B72-Conversion!$B$14,2020,2050),Report_Scenarios!$A$18:$A$24,1)))*(MEDIAN($B72-Conversion!$B$14,2020,2050)-INDEX(Report_Scenarios!$A$18:$A$24,MATCH(MEDIAN($B72-Conversion!$B$14,2020,2050),Report_Scenarios!$A$18:$A$24,1)))/(INDEX(Report_Scenarios!$A$18:$A$24,MIN(MATCH(MEDIAN($B72-Conversion!$B$14,2020,2050),Report_Scenarios!$A$18:$A$24,1)+1,7))-INDEX(Report_Scenarios!$A$18:$A$24,MATCH(MEDIAN($B72-Conversion!$B$14,2020,2050),Report_Scenarios!$A$18:$A$24,1)))),IF(INDEX(Report_Scenarios!$A$29:$A$35,MIN(MATCH(MEDIAN($B72-Conversion!$B$14,2020,2050),Report_Scenarios!$A$29:$A$35,1)+1,7))=INDEX(Report_Scenarios!$A$29:$A$35,MATCH(MEDIAN($B72-Conversion!$B$14,2020,2050),Report_Scenarios!$A$29:$A$35,1)),INDEX(Report_Scenarios!$F$29:$F$35,MATCH(MEDIAN($B72-Conversion!$B$14,2020,2050),Report_Scenarios!$A$29:$A$35,1)),INDEX(Report_Scenarios!$F$29:$F$35,MATCH(MEDIAN($B72-Conversion!$B$14,2020,2050),Report_Scenarios!$A$29:$A$35,1))+(INDEX(Report_Scenarios!$F$29:$F$35,MIN(MATCH(MEDIAN($B72-Conversion!$B$14,2020,2050),Report_Scenarios!$A$29:$A$35,1)+1,7))-INDEX(Report_Scenarios!$F$29:$F$35,MATCH(MEDIAN($B72-Conversion!$B$14,2020,2050),Report_Scenarios!$A$29:$A$35,1)))*(MEDIAN($B72-Conversion!$B$14,2020,2050)-INDEX(Report_Scenarios!$A$29:$A$35,MATCH(MEDIAN($B72-Conversion!$B$14,2020,2050),Report_Scenarios!$A$29:$A$35,1)))/(INDEX(Report_Scenarios!$A$29:$A$35,MIN(MATCH(MEDIAN($B72-Conversion!$B$14,2020,2050),Report_Scenarios!$A$29:$A$35,1)+1,7))-INDEX(Report_Scenarios!$A$29:$A$35,MATCH(MEDIAN($B72-Conversion!$B$14,2020,2050),Report_Scenarios!$A$29:$A$35,1))))))</f>
        <v/>
      </c>
      <c r="J72" s="23">
        <f>IF($D72="Conservative",IF(INDEX(Report_Scenarios!$A$7:$A$13,MIN(MATCH(MEDIAN($B72-Conversion!$B$14,2020,2050),Report_Scenarios!$A$7:$A$13,1)+1,7))=INDEX(Report_Scenarios!$A$7:$A$13,MATCH(MEDIAN($B72-Conversion!$B$14,2020,2050),Report_Scenarios!$A$7:$A$13,1)),INDEX(Report_Scenarios!$G$7:$G$13,MATCH(MEDIAN($B72-Conversion!$B$14,2020,2050),Report_Scenarios!$A$7:$A$13,1)),INDEX(Report_Scenarios!$G$7:$G$13,MATCH(MEDIAN($B72-Conversion!$B$14,2020,2050),Report_Scenarios!$A$7:$A$13,1))+(INDEX(Report_Scenarios!$G$7:$G$13,MIN(MATCH(MEDIAN($B72-Conversion!$B$14,2020,2050),Report_Scenarios!$A$7:$A$13,1)+1,7))-INDEX(Report_Scenarios!$G$7:$G$13,MATCH(MEDIAN($B72-Conversion!$B$14,2020,2050),Report_Scenarios!$A$7:$A$13,1)))*(MEDIAN($B72-Conversion!$B$14,2020,2050)-INDEX(Report_Scenarios!$A$7:$A$13,MATCH(MEDIAN($B72-Conversion!$B$14,2020,2050),Report_Scenarios!$A$7:$A$13,1)))/(INDEX(Report_Scenarios!$A$7:$A$13,MIN(MATCH(MEDIAN($B72-Conversion!$B$14,2020,2050),Report_Scenarios!$A$7:$A$13,1)+1,7))-INDEX(Report_Scenarios!$A$7:$A$13,MATCH(MEDIAN($B72-Conversion!$B$14,2020,2050),Report_Scenarios!$A$7:$A$13,1)))),IF($D72="Central",IF(INDEX(Report_Scenarios!$A$18:$A$24,MIN(MATCH(MEDIAN($B72-Conversion!$B$14,2020,2050),Report_Scenarios!$A$18:$A$24,1)+1,7))=INDEX(Report_Scenarios!$A$18:$A$24,MATCH(MEDIAN($B72-Conversion!$B$14,2020,2050),Report_Scenarios!$A$18:$A$24,1)),INDEX(Report_Scenarios!$G$18:$G$24,MATCH(MEDIAN($B72-Conversion!$B$14,2020,2050),Report_Scenarios!$A$18:$A$24,1)),INDEX(Report_Scenarios!$G$18:$G$24,MATCH(MEDIAN($B72-Conversion!$B$14,2020,2050),Report_Scenarios!$A$18:$A$24,1))+(INDEX(Report_Scenarios!$G$18:$G$24,MIN(MATCH(MEDIAN($B72-Conversion!$B$14,2020,2050),Report_Scenarios!$A$18:$A$24,1)+1,7))-INDEX(Report_Scenarios!$G$18:$G$24,MATCH(MEDIAN($B72-Conversion!$B$14,2020,2050),Report_Scenarios!$A$18:$A$24,1)))*(MEDIAN($B72-Conversion!$B$14,2020,2050)-INDEX(Report_Scenarios!$A$18:$A$24,MATCH(MEDIAN($B72-Conversion!$B$14,2020,2050),Report_Scenarios!$A$18:$A$24,1)))/(INDEX(Report_Scenarios!$A$18:$A$24,MIN(MATCH(MEDIAN($B72-Conversion!$B$14,2020,2050),Report_Scenarios!$A$18:$A$24,1)+1,7))-INDEX(Report_Scenarios!$A$18:$A$24,MATCH(MEDIAN($B72-Conversion!$B$14,2020,2050),Report_Scenarios!$A$18:$A$24,1)))),IF(INDEX(Report_Scenarios!$A$29:$A$35,MIN(MATCH(MEDIAN($B72-Conversion!$B$14,2020,2050),Report_Scenarios!$A$29:$A$35,1)+1,7))=INDEX(Report_Scenarios!$A$29:$A$35,MATCH(MEDIAN($B72-Conversion!$B$14,2020,2050),Report_Scenarios!$A$29:$A$35,1)),INDEX(Report_Scenarios!$G$29:$G$35,MATCH(MEDIAN($B72-Conversion!$B$14,2020,2050),Report_Scenarios!$A$29:$A$35,1)),INDEX(Report_Scenarios!$G$29:$G$35,MATCH(MEDIAN($B72-Conversion!$B$14,2020,2050),Report_Scenarios!$A$29:$A$35,1))+(INDEX(Report_Scenarios!$G$29:$G$35,MIN(MATCH(MEDIAN($B72-Conversion!$B$14,2020,2050),Report_Scenarios!$A$29:$A$35,1)+1,7))-INDEX(Report_Scenarios!$G$29:$G$35,MATCH(MEDIAN($B72-Conversion!$B$14,2020,2050),Report_Scenarios!$A$29:$A$35,1)))*(MEDIAN($B72-Conversion!$B$14,2020,2050)-INDEX(Report_Scenarios!$A$29:$A$35,MATCH(MEDIAN($B72-Conversion!$B$14,2020,2050),Report_Scenarios!$A$29:$A$35,1)))/(INDEX(Report_Scenarios!$A$29:$A$35,MIN(MATCH(MEDIAN($B72-Conversion!$B$14,2020,2050),Report_Scenarios!$A$29:$A$35,1)+1,7))-INDEX(Report_Scenarios!$A$29:$A$35,MATCH(MEDIAN($B72-Conversion!$B$14,2020,2050),Report_Scenarios!$A$29:$A$35,1))))))</f>
        <v/>
      </c>
      <c r="K72" s="23">
        <f>SUM(E72:J72)</f>
        <v/>
      </c>
      <c r="L72" s="23">
        <f>IF(R72&lt;&gt;"",R72,IF($K72=0,0,E72/$K72))</f>
        <v/>
      </c>
      <c r="M72" s="23">
        <f>IF(S72&lt;&gt;"",S72,IF($K72=0,0,F72/$K72))</f>
        <v/>
      </c>
      <c r="N72" s="23">
        <f>IF(T72&lt;&gt;"",T72,IF($K72=0,0,G72/$K72))</f>
        <v/>
      </c>
      <c r="O72" s="23">
        <f>IF(U72&lt;&gt;"",U72,IF($K72=0,0,H72/$K72))</f>
        <v/>
      </c>
      <c r="P72" s="23">
        <f>IF(V72&lt;&gt;"",V72,IF($K72=0,0,I72/$K72))</f>
        <v/>
      </c>
      <c r="Q72" s="23">
        <f>IF(W72&lt;&gt;"",W72,IF($K72=0,0,J72/$K72))</f>
        <v/>
      </c>
      <c r="R72" s="24" t="n"/>
      <c r="S72" s="24" t="n"/>
      <c r="T72" s="24" t="n"/>
      <c r="U72" s="24" t="n"/>
      <c r="V72" s="24" t="n"/>
      <c r="W72" s="24" t="n"/>
    </row>
    <row r="73">
      <c r="A73" s="4" t="inlineStr">
        <is>
          <t>EF</t>
        </is>
      </c>
      <c r="B73" s="4" t="n">
        <v>2030</v>
      </c>
      <c r="C73" s="4" t="inlineStr">
        <is>
          <t>Share_Max</t>
        </is>
      </c>
      <c r="D73" s="4">
        <f>Conversion!$B$20</f>
        <v/>
      </c>
      <c r="E73" s="23">
        <f>IF($D73="Conservative",IF(INDEX(Report_Scenarios!$A$7:$A$13,MIN(MATCH(MEDIAN($B73-Conversion!$B$14,2020,2050),Report_Scenarios!$A$7:$A$13,1)+1,7))=INDEX(Report_Scenarios!$A$7:$A$13,MATCH(MEDIAN($B73-Conversion!$B$14,2020,2050),Report_Scenarios!$A$7:$A$13,1)),INDEX(Report_Scenarios!$B$7:$B$13,MATCH(MEDIAN($B73-Conversion!$B$14,2020,2050),Report_Scenarios!$A$7:$A$13,1)),INDEX(Report_Scenarios!$B$7:$B$13,MATCH(MEDIAN($B73-Conversion!$B$14,2020,2050),Report_Scenarios!$A$7:$A$13,1))+(INDEX(Report_Scenarios!$B$7:$B$13,MIN(MATCH(MEDIAN($B73-Conversion!$B$14,2020,2050),Report_Scenarios!$A$7:$A$13,1)+1,7))-INDEX(Report_Scenarios!$B$7:$B$13,MATCH(MEDIAN($B73-Conversion!$B$14,2020,2050),Report_Scenarios!$A$7:$A$13,1)))*(MEDIAN($B73-Conversion!$B$14,2020,2050)-INDEX(Report_Scenarios!$A$7:$A$13,MATCH(MEDIAN($B73-Conversion!$B$14,2020,2050),Report_Scenarios!$A$7:$A$13,1)))/(INDEX(Report_Scenarios!$A$7:$A$13,MIN(MATCH(MEDIAN($B73-Conversion!$B$14,2020,2050),Report_Scenarios!$A$7:$A$13,1)+1,7))-INDEX(Report_Scenarios!$A$7:$A$13,MATCH(MEDIAN($B73-Conversion!$B$14,2020,2050),Report_Scenarios!$A$7:$A$13,1)))),IF($D73="Central",IF(INDEX(Report_Scenarios!$A$18:$A$24,MIN(MATCH(MEDIAN($B73-Conversion!$B$14,2020,2050),Report_Scenarios!$A$18:$A$24,1)+1,7))=INDEX(Report_Scenarios!$A$18:$A$24,MATCH(MEDIAN($B73-Conversion!$B$14,2020,2050),Report_Scenarios!$A$18:$A$24,1)),INDEX(Report_Scenarios!$B$18:$B$24,MATCH(MEDIAN($B73-Conversion!$B$14,2020,2050),Report_Scenarios!$A$18:$A$24,1)),INDEX(Report_Scenarios!$B$18:$B$24,MATCH(MEDIAN($B73-Conversion!$B$14,2020,2050),Report_Scenarios!$A$18:$A$24,1))+(INDEX(Report_Scenarios!$B$18:$B$24,MIN(MATCH(MEDIAN($B73-Conversion!$B$14,2020,2050),Report_Scenarios!$A$18:$A$24,1)+1,7))-INDEX(Report_Scenarios!$B$18:$B$24,MATCH(MEDIAN($B73-Conversion!$B$14,2020,2050),Report_Scenarios!$A$18:$A$24,1)))*(MEDIAN($B73-Conversion!$B$14,2020,2050)-INDEX(Report_Scenarios!$A$18:$A$24,MATCH(MEDIAN($B73-Conversion!$B$14,2020,2050),Report_Scenarios!$A$18:$A$24,1)))/(INDEX(Report_Scenarios!$A$18:$A$24,MIN(MATCH(MEDIAN($B73-Conversion!$B$14,2020,2050),Report_Scenarios!$A$18:$A$24,1)+1,7))-INDEX(Report_Scenarios!$A$18:$A$24,MATCH(MEDIAN($B73-Conversion!$B$14,2020,2050),Report_Scenarios!$A$18:$A$24,1)))),IF(INDEX(Report_Scenarios!$A$29:$A$35,MIN(MATCH(MEDIAN($B73-Conversion!$B$14,2020,2050),Report_Scenarios!$A$29:$A$35,1)+1,7))=INDEX(Report_Scenarios!$A$29:$A$35,MATCH(MEDIAN($B73-Conversion!$B$14,2020,2050),Report_Scenarios!$A$29:$A$35,1)),INDEX(Report_Scenarios!$B$29:$B$35,MATCH(MEDIAN($B73-Conversion!$B$14,2020,2050),Report_Scenarios!$A$29:$A$35,1)),INDEX(Report_Scenarios!$B$29:$B$35,MATCH(MEDIAN($B73-Conversion!$B$14,2020,2050),Report_Scenarios!$A$29:$A$35,1))+(INDEX(Report_Scenarios!$B$29:$B$35,MIN(MATCH(MEDIAN($B73-Conversion!$B$14,2020,2050),Report_Scenarios!$A$29:$A$35,1)+1,7))-INDEX(Report_Scenarios!$B$29:$B$35,MATCH(MEDIAN($B73-Conversion!$B$14,2020,2050),Report_Scenarios!$A$29:$A$35,1)))*(MEDIAN($B73-Conversion!$B$14,2020,2050)-INDEX(Report_Scenarios!$A$29:$A$35,MATCH(MEDIAN($B73-Conversion!$B$14,2020,2050),Report_Scenarios!$A$29:$A$35,1)))/(INDEX(Report_Scenarios!$A$29:$A$35,MIN(MATCH(MEDIAN($B73-Conversion!$B$14,2020,2050),Report_Scenarios!$A$29:$A$35,1)+1,7))-INDEX(Report_Scenarios!$A$29:$A$35,MATCH(MEDIAN($B73-Conversion!$B$14,2020,2050),Report_Scenarios!$A$29:$A$35,1))))))</f>
        <v/>
      </c>
      <c r="F73" s="23">
        <f>IF($D73="Conservative",IF(INDEX(Report_Scenarios!$A$7:$A$13,MIN(MATCH(MEDIAN($B73-Conversion!$B$14,2020,2050),Report_Scenarios!$A$7:$A$13,1)+1,7))=INDEX(Report_Scenarios!$A$7:$A$13,MATCH(MEDIAN($B73-Conversion!$B$14,2020,2050),Report_Scenarios!$A$7:$A$13,1)),INDEX(Report_Scenarios!$C$7:$C$13,MATCH(MEDIAN($B73-Conversion!$B$14,2020,2050),Report_Scenarios!$A$7:$A$13,1)),INDEX(Report_Scenarios!$C$7:$C$13,MATCH(MEDIAN($B73-Conversion!$B$14,2020,2050),Report_Scenarios!$A$7:$A$13,1))+(INDEX(Report_Scenarios!$C$7:$C$13,MIN(MATCH(MEDIAN($B73-Conversion!$B$14,2020,2050),Report_Scenarios!$A$7:$A$13,1)+1,7))-INDEX(Report_Scenarios!$C$7:$C$13,MATCH(MEDIAN($B73-Conversion!$B$14,2020,2050),Report_Scenarios!$A$7:$A$13,1)))*(MEDIAN($B73-Conversion!$B$14,2020,2050)-INDEX(Report_Scenarios!$A$7:$A$13,MATCH(MEDIAN($B73-Conversion!$B$14,2020,2050),Report_Scenarios!$A$7:$A$13,1)))/(INDEX(Report_Scenarios!$A$7:$A$13,MIN(MATCH(MEDIAN($B73-Conversion!$B$14,2020,2050),Report_Scenarios!$A$7:$A$13,1)+1,7))-INDEX(Report_Scenarios!$A$7:$A$13,MATCH(MEDIAN($B73-Conversion!$B$14,2020,2050),Report_Scenarios!$A$7:$A$13,1)))),IF($D73="Central",IF(INDEX(Report_Scenarios!$A$18:$A$24,MIN(MATCH(MEDIAN($B73-Conversion!$B$14,2020,2050),Report_Scenarios!$A$18:$A$24,1)+1,7))=INDEX(Report_Scenarios!$A$18:$A$24,MATCH(MEDIAN($B73-Conversion!$B$14,2020,2050),Report_Scenarios!$A$18:$A$24,1)),INDEX(Report_Scenarios!$C$18:$C$24,MATCH(MEDIAN($B73-Conversion!$B$14,2020,2050),Report_Scenarios!$A$18:$A$24,1)),INDEX(Report_Scenarios!$C$18:$C$24,MATCH(MEDIAN($B73-Conversion!$B$14,2020,2050),Report_Scenarios!$A$18:$A$24,1))+(INDEX(Report_Scenarios!$C$18:$C$24,MIN(MATCH(MEDIAN($B73-Conversion!$B$14,2020,2050),Report_Scenarios!$A$18:$A$24,1)+1,7))-INDEX(Report_Scenarios!$C$18:$C$24,MATCH(MEDIAN($B73-Conversion!$B$14,2020,2050),Report_Scenarios!$A$18:$A$24,1)))*(MEDIAN($B73-Conversion!$B$14,2020,2050)-INDEX(Report_Scenarios!$A$18:$A$24,MATCH(MEDIAN($B73-Conversion!$B$14,2020,2050),Report_Scenarios!$A$18:$A$24,1)))/(INDEX(Report_Scenarios!$A$18:$A$24,MIN(MATCH(MEDIAN($B73-Conversion!$B$14,2020,2050),Report_Scenarios!$A$18:$A$24,1)+1,7))-INDEX(Report_Scenarios!$A$18:$A$24,MATCH(MEDIAN($B73-Conversion!$B$14,2020,2050),Report_Scenarios!$A$18:$A$24,1)))),IF(INDEX(Report_Scenarios!$A$29:$A$35,MIN(MATCH(MEDIAN($B73-Conversion!$B$14,2020,2050),Report_Scenarios!$A$29:$A$35,1)+1,7))=INDEX(Report_Scenarios!$A$29:$A$35,MATCH(MEDIAN($B73-Conversion!$B$14,2020,2050),Report_Scenarios!$A$29:$A$35,1)),INDEX(Report_Scenarios!$C$29:$C$35,MATCH(MEDIAN($B73-Conversion!$B$14,2020,2050),Report_Scenarios!$A$29:$A$35,1)),INDEX(Report_Scenarios!$C$29:$C$35,MATCH(MEDIAN($B73-Conversion!$B$14,2020,2050),Report_Scenarios!$A$29:$A$35,1))+(INDEX(Report_Scenarios!$C$29:$C$35,MIN(MATCH(MEDIAN($B73-Conversion!$B$14,2020,2050),Report_Scenarios!$A$29:$A$35,1)+1,7))-INDEX(Report_Scenarios!$C$29:$C$35,MATCH(MEDIAN($B73-Conversion!$B$14,2020,2050),Report_Scenarios!$A$29:$A$35,1)))*(MEDIAN($B73-Conversion!$B$14,2020,2050)-INDEX(Report_Scenarios!$A$29:$A$35,MATCH(MEDIAN($B73-Conversion!$B$14,2020,2050),Report_Scenarios!$A$29:$A$35,1)))/(INDEX(Report_Scenarios!$A$29:$A$35,MIN(MATCH(MEDIAN($B73-Conversion!$B$14,2020,2050),Report_Scenarios!$A$29:$A$35,1)+1,7))-INDEX(Report_Scenarios!$A$29:$A$35,MATCH(MEDIAN($B73-Conversion!$B$14,2020,2050),Report_Scenarios!$A$29:$A$35,1))))))</f>
        <v/>
      </c>
      <c r="G73" s="23">
        <f>IF($D73="Conservative",IF(INDEX(Report_Scenarios!$A$7:$A$13,MIN(MATCH(MEDIAN($B73-Conversion!$B$14,2020,2050),Report_Scenarios!$A$7:$A$13,1)+1,7))=INDEX(Report_Scenarios!$A$7:$A$13,MATCH(MEDIAN($B73-Conversion!$B$14,2020,2050),Report_Scenarios!$A$7:$A$13,1)),INDEX(Report_Scenarios!$D$7:$D$13,MATCH(MEDIAN($B73-Conversion!$B$14,2020,2050),Report_Scenarios!$A$7:$A$13,1)),INDEX(Report_Scenarios!$D$7:$D$13,MATCH(MEDIAN($B73-Conversion!$B$14,2020,2050),Report_Scenarios!$A$7:$A$13,1))+(INDEX(Report_Scenarios!$D$7:$D$13,MIN(MATCH(MEDIAN($B73-Conversion!$B$14,2020,2050),Report_Scenarios!$A$7:$A$13,1)+1,7))-INDEX(Report_Scenarios!$D$7:$D$13,MATCH(MEDIAN($B73-Conversion!$B$14,2020,2050),Report_Scenarios!$A$7:$A$13,1)))*(MEDIAN($B73-Conversion!$B$14,2020,2050)-INDEX(Report_Scenarios!$A$7:$A$13,MATCH(MEDIAN($B73-Conversion!$B$14,2020,2050),Report_Scenarios!$A$7:$A$13,1)))/(INDEX(Report_Scenarios!$A$7:$A$13,MIN(MATCH(MEDIAN($B73-Conversion!$B$14,2020,2050),Report_Scenarios!$A$7:$A$13,1)+1,7))-INDEX(Report_Scenarios!$A$7:$A$13,MATCH(MEDIAN($B73-Conversion!$B$14,2020,2050),Report_Scenarios!$A$7:$A$13,1)))),IF($D73="Central",IF(INDEX(Report_Scenarios!$A$18:$A$24,MIN(MATCH(MEDIAN($B73-Conversion!$B$14,2020,2050),Report_Scenarios!$A$18:$A$24,1)+1,7))=INDEX(Report_Scenarios!$A$18:$A$24,MATCH(MEDIAN($B73-Conversion!$B$14,2020,2050),Report_Scenarios!$A$18:$A$24,1)),INDEX(Report_Scenarios!$D$18:$D$24,MATCH(MEDIAN($B73-Conversion!$B$14,2020,2050),Report_Scenarios!$A$18:$A$24,1)),INDEX(Report_Scenarios!$D$18:$D$24,MATCH(MEDIAN($B73-Conversion!$B$14,2020,2050),Report_Scenarios!$A$18:$A$24,1))+(INDEX(Report_Scenarios!$D$18:$D$24,MIN(MATCH(MEDIAN($B73-Conversion!$B$14,2020,2050),Report_Scenarios!$A$18:$A$24,1)+1,7))-INDEX(Report_Scenarios!$D$18:$D$24,MATCH(MEDIAN($B73-Conversion!$B$14,2020,2050),Report_Scenarios!$A$18:$A$24,1)))*(MEDIAN($B73-Conversion!$B$14,2020,2050)-INDEX(Report_Scenarios!$A$18:$A$24,MATCH(MEDIAN($B73-Conversion!$B$14,2020,2050),Report_Scenarios!$A$18:$A$24,1)))/(INDEX(Report_Scenarios!$A$18:$A$24,MIN(MATCH(MEDIAN($B73-Conversion!$B$14,2020,2050),Report_Scenarios!$A$18:$A$24,1)+1,7))-INDEX(Report_Scenarios!$A$18:$A$24,MATCH(MEDIAN($B73-Conversion!$B$14,2020,2050),Report_Scenarios!$A$18:$A$24,1)))),IF(INDEX(Report_Scenarios!$A$29:$A$35,MIN(MATCH(MEDIAN($B73-Conversion!$B$14,2020,2050),Report_Scenarios!$A$29:$A$35,1)+1,7))=INDEX(Report_Scenarios!$A$29:$A$35,MATCH(MEDIAN($B73-Conversion!$B$14,2020,2050),Report_Scenarios!$A$29:$A$35,1)),INDEX(Report_Scenarios!$D$29:$D$35,MATCH(MEDIAN($B73-Conversion!$B$14,2020,2050),Report_Scenarios!$A$29:$A$35,1)),INDEX(Report_Scenarios!$D$29:$D$35,MATCH(MEDIAN($B73-Conversion!$B$14,2020,2050),Report_Scenarios!$A$29:$A$35,1))+(INDEX(Report_Scenarios!$D$29:$D$35,MIN(MATCH(MEDIAN($B73-Conversion!$B$14,2020,2050),Report_Scenarios!$A$29:$A$35,1)+1,7))-INDEX(Report_Scenarios!$D$29:$D$35,MATCH(MEDIAN($B73-Conversion!$B$14,2020,2050),Report_Scenarios!$A$29:$A$35,1)))*(MEDIAN($B73-Conversion!$B$14,2020,2050)-INDEX(Report_Scenarios!$A$29:$A$35,MATCH(MEDIAN($B73-Conversion!$B$14,2020,2050),Report_Scenarios!$A$29:$A$35,1)))/(INDEX(Report_Scenarios!$A$29:$A$35,MIN(MATCH(MEDIAN($B73-Conversion!$B$14,2020,2050),Report_Scenarios!$A$29:$A$35,1)+1,7))-INDEX(Report_Scenarios!$A$29:$A$35,MATCH(MEDIAN($B73-Conversion!$B$14,2020,2050),Report_Scenarios!$A$29:$A$35,1))))))</f>
        <v/>
      </c>
      <c r="H73" s="23">
        <f>IF($D73="Conservative",IF(INDEX(Report_Scenarios!$A$7:$A$13,MIN(MATCH(MEDIAN($B73-Conversion!$B$14,2020,2050),Report_Scenarios!$A$7:$A$13,1)+1,7))=INDEX(Report_Scenarios!$A$7:$A$13,MATCH(MEDIAN($B73-Conversion!$B$14,2020,2050),Report_Scenarios!$A$7:$A$13,1)),INDEX(Report_Scenarios!$E$7:$E$13,MATCH(MEDIAN($B73-Conversion!$B$14,2020,2050),Report_Scenarios!$A$7:$A$13,1)),INDEX(Report_Scenarios!$E$7:$E$13,MATCH(MEDIAN($B73-Conversion!$B$14,2020,2050),Report_Scenarios!$A$7:$A$13,1))+(INDEX(Report_Scenarios!$E$7:$E$13,MIN(MATCH(MEDIAN($B73-Conversion!$B$14,2020,2050),Report_Scenarios!$A$7:$A$13,1)+1,7))-INDEX(Report_Scenarios!$E$7:$E$13,MATCH(MEDIAN($B73-Conversion!$B$14,2020,2050),Report_Scenarios!$A$7:$A$13,1)))*(MEDIAN($B73-Conversion!$B$14,2020,2050)-INDEX(Report_Scenarios!$A$7:$A$13,MATCH(MEDIAN($B73-Conversion!$B$14,2020,2050),Report_Scenarios!$A$7:$A$13,1)))/(INDEX(Report_Scenarios!$A$7:$A$13,MIN(MATCH(MEDIAN($B73-Conversion!$B$14,2020,2050),Report_Scenarios!$A$7:$A$13,1)+1,7))-INDEX(Report_Scenarios!$A$7:$A$13,MATCH(MEDIAN($B73-Conversion!$B$14,2020,2050),Report_Scenarios!$A$7:$A$13,1)))),IF($D73="Central",IF(INDEX(Report_Scenarios!$A$18:$A$24,MIN(MATCH(MEDIAN($B73-Conversion!$B$14,2020,2050),Report_Scenarios!$A$18:$A$24,1)+1,7))=INDEX(Report_Scenarios!$A$18:$A$24,MATCH(MEDIAN($B73-Conversion!$B$14,2020,2050),Report_Scenarios!$A$18:$A$24,1)),INDEX(Report_Scenarios!$E$18:$E$24,MATCH(MEDIAN($B73-Conversion!$B$14,2020,2050),Report_Scenarios!$A$18:$A$24,1)),INDEX(Report_Scenarios!$E$18:$E$24,MATCH(MEDIAN($B73-Conversion!$B$14,2020,2050),Report_Scenarios!$A$18:$A$24,1))+(INDEX(Report_Scenarios!$E$18:$E$24,MIN(MATCH(MEDIAN($B73-Conversion!$B$14,2020,2050),Report_Scenarios!$A$18:$A$24,1)+1,7))-INDEX(Report_Scenarios!$E$18:$E$24,MATCH(MEDIAN($B73-Conversion!$B$14,2020,2050),Report_Scenarios!$A$18:$A$24,1)))*(MEDIAN($B73-Conversion!$B$14,2020,2050)-INDEX(Report_Scenarios!$A$18:$A$24,MATCH(MEDIAN($B73-Conversion!$B$14,2020,2050),Report_Scenarios!$A$18:$A$24,1)))/(INDEX(Report_Scenarios!$A$18:$A$24,MIN(MATCH(MEDIAN($B73-Conversion!$B$14,2020,2050),Report_Scenarios!$A$18:$A$24,1)+1,7))-INDEX(Report_Scenarios!$A$18:$A$24,MATCH(MEDIAN($B73-Conversion!$B$14,2020,2050),Report_Scenarios!$A$18:$A$24,1)))),IF(INDEX(Report_Scenarios!$A$29:$A$35,MIN(MATCH(MEDIAN($B73-Conversion!$B$14,2020,2050),Report_Scenarios!$A$29:$A$35,1)+1,7))=INDEX(Report_Scenarios!$A$29:$A$35,MATCH(MEDIAN($B73-Conversion!$B$14,2020,2050),Report_Scenarios!$A$29:$A$35,1)),INDEX(Report_Scenarios!$E$29:$E$35,MATCH(MEDIAN($B73-Conversion!$B$14,2020,2050),Report_Scenarios!$A$29:$A$35,1)),INDEX(Report_Scenarios!$E$29:$E$35,MATCH(MEDIAN($B73-Conversion!$B$14,2020,2050),Report_Scenarios!$A$29:$A$35,1))+(INDEX(Report_Scenarios!$E$29:$E$35,MIN(MATCH(MEDIAN($B73-Conversion!$B$14,2020,2050),Report_Scenarios!$A$29:$A$35,1)+1,7))-INDEX(Report_Scenarios!$E$29:$E$35,MATCH(MEDIAN($B73-Conversion!$B$14,2020,2050),Report_Scenarios!$A$29:$A$35,1)))*(MEDIAN($B73-Conversion!$B$14,2020,2050)-INDEX(Report_Scenarios!$A$29:$A$35,MATCH(MEDIAN($B73-Conversion!$B$14,2020,2050),Report_Scenarios!$A$29:$A$35,1)))/(INDEX(Report_Scenarios!$A$29:$A$35,MIN(MATCH(MEDIAN($B73-Conversion!$B$14,2020,2050),Report_Scenarios!$A$29:$A$35,1)+1,7))-INDEX(Report_Scenarios!$A$29:$A$35,MATCH(MEDIAN($B73-Conversion!$B$14,2020,2050),Report_Scenarios!$A$29:$A$35,1))))))</f>
        <v/>
      </c>
      <c r="I73" s="23">
        <f>IF($D73="Conservative",IF(INDEX(Report_Scenarios!$A$7:$A$13,MIN(MATCH(MEDIAN($B73-Conversion!$B$14,2020,2050),Report_Scenarios!$A$7:$A$13,1)+1,7))=INDEX(Report_Scenarios!$A$7:$A$13,MATCH(MEDIAN($B73-Conversion!$B$14,2020,2050),Report_Scenarios!$A$7:$A$13,1)),INDEX(Report_Scenarios!$F$7:$F$13,MATCH(MEDIAN($B73-Conversion!$B$14,2020,2050),Report_Scenarios!$A$7:$A$13,1)),INDEX(Report_Scenarios!$F$7:$F$13,MATCH(MEDIAN($B73-Conversion!$B$14,2020,2050),Report_Scenarios!$A$7:$A$13,1))+(INDEX(Report_Scenarios!$F$7:$F$13,MIN(MATCH(MEDIAN($B73-Conversion!$B$14,2020,2050),Report_Scenarios!$A$7:$A$13,1)+1,7))-INDEX(Report_Scenarios!$F$7:$F$13,MATCH(MEDIAN($B73-Conversion!$B$14,2020,2050),Report_Scenarios!$A$7:$A$13,1)))*(MEDIAN($B73-Conversion!$B$14,2020,2050)-INDEX(Report_Scenarios!$A$7:$A$13,MATCH(MEDIAN($B73-Conversion!$B$14,2020,2050),Report_Scenarios!$A$7:$A$13,1)))/(INDEX(Report_Scenarios!$A$7:$A$13,MIN(MATCH(MEDIAN($B73-Conversion!$B$14,2020,2050),Report_Scenarios!$A$7:$A$13,1)+1,7))-INDEX(Report_Scenarios!$A$7:$A$13,MATCH(MEDIAN($B73-Conversion!$B$14,2020,2050),Report_Scenarios!$A$7:$A$13,1)))),IF($D73="Central",IF(INDEX(Report_Scenarios!$A$18:$A$24,MIN(MATCH(MEDIAN($B73-Conversion!$B$14,2020,2050),Report_Scenarios!$A$18:$A$24,1)+1,7))=INDEX(Report_Scenarios!$A$18:$A$24,MATCH(MEDIAN($B73-Conversion!$B$14,2020,2050),Report_Scenarios!$A$18:$A$24,1)),INDEX(Report_Scenarios!$F$18:$F$24,MATCH(MEDIAN($B73-Conversion!$B$14,2020,2050),Report_Scenarios!$A$18:$A$24,1)),INDEX(Report_Scenarios!$F$18:$F$24,MATCH(MEDIAN($B73-Conversion!$B$14,2020,2050),Report_Scenarios!$A$18:$A$24,1))+(INDEX(Report_Scenarios!$F$18:$F$24,MIN(MATCH(MEDIAN($B73-Conversion!$B$14,2020,2050),Report_Scenarios!$A$18:$A$24,1)+1,7))-INDEX(Report_Scenarios!$F$18:$F$24,MATCH(MEDIAN($B73-Conversion!$B$14,2020,2050),Report_Scenarios!$A$18:$A$24,1)))*(MEDIAN($B73-Conversion!$B$14,2020,2050)-INDEX(Report_Scenarios!$A$18:$A$24,MATCH(MEDIAN($B73-Conversion!$B$14,2020,2050),Report_Scenarios!$A$18:$A$24,1)))/(INDEX(Report_Scenarios!$A$18:$A$24,MIN(MATCH(MEDIAN($B73-Conversion!$B$14,2020,2050),Report_Scenarios!$A$18:$A$24,1)+1,7))-INDEX(Report_Scenarios!$A$18:$A$24,MATCH(MEDIAN($B73-Conversion!$B$14,2020,2050),Report_Scenarios!$A$18:$A$24,1)))),IF(INDEX(Report_Scenarios!$A$29:$A$35,MIN(MATCH(MEDIAN($B73-Conversion!$B$14,2020,2050),Report_Scenarios!$A$29:$A$35,1)+1,7))=INDEX(Report_Scenarios!$A$29:$A$35,MATCH(MEDIAN($B73-Conversion!$B$14,2020,2050),Report_Scenarios!$A$29:$A$35,1)),INDEX(Report_Scenarios!$F$29:$F$35,MATCH(MEDIAN($B73-Conversion!$B$14,2020,2050),Report_Scenarios!$A$29:$A$35,1)),INDEX(Report_Scenarios!$F$29:$F$35,MATCH(MEDIAN($B73-Conversion!$B$14,2020,2050),Report_Scenarios!$A$29:$A$35,1))+(INDEX(Report_Scenarios!$F$29:$F$35,MIN(MATCH(MEDIAN($B73-Conversion!$B$14,2020,2050),Report_Scenarios!$A$29:$A$35,1)+1,7))-INDEX(Report_Scenarios!$F$29:$F$35,MATCH(MEDIAN($B73-Conversion!$B$14,2020,2050),Report_Scenarios!$A$29:$A$35,1)))*(MEDIAN($B73-Conversion!$B$14,2020,2050)-INDEX(Report_Scenarios!$A$29:$A$35,MATCH(MEDIAN($B73-Conversion!$B$14,2020,2050),Report_Scenarios!$A$29:$A$35,1)))/(INDEX(Report_Scenarios!$A$29:$A$35,MIN(MATCH(MEDIAN($B73-Conversion!$B$14,2020,2050),Report_Scenarios!$A$29:$A$35,1)+1,7))-INDEX(Report_Scenarios!$A$29:$A$35,MATCH(MEDIAN($B73-Conversion!$B$14,2020,2050),Report_Scenarios!$A$29:$A$35,1))))))</f>
        <v/>
      </c>
      <c r="J73" s="23">
        <f>IF($D73="Conservative",IF(INDEX(Report_Scenarios!$A$7:$A$13,MIN(MATCH(MEDIAN($B73-Conversion!$B$14,2020,2050),Report_Scenarios!$A$7:$A$13,1)+1,7))=INDEX(Report_Scenarios!$A$7:$A$13,MATCH(MEDIAN($B73-Conversion!$B$14,2020,2050),Report_Scenarios!$A$7:$A$13,1)),INDEX(Report_Scenarios!$G$7:$G$13,MATCH(MEDIAN($B73-Conversion!$B$14,2020,2050),Report_Scenarios!$A$7:$A$13,1)),INDEX(Report_Scenarios!$G$7:$G$13,MATCH(MEDIAN($B73-Conversion!$B$14,2020,2050),Report_Scenarios!$A$7:$A$13,1))+(INDEX(Report_Scenarios!$G$7:$G$13,MIN(MATCH(MEDIAN($B73-Conversion!$B$14,2020,2050),Report_Scenarios!$A$7:$A$13,1)+1,7))-INDEX(Report_Scenarios!$G$7:$G$13,MATCH(MEDIAN($B73-Conversion!$B$14,2020,2050),Report_Scenarios!$A$7:$A$13,1)))*(MEDIAN($B73-Conversion!$B$14,2020,2050)-INDEX(Report_Scenarios!$A$7:$A$13,MATCH(MEDIAN($B73-Conversion!$B$14,2020,2050),Report_Scenarios!$A$7:$A$13,1)))/(INDEX(Report_Scenarios!$A$7:$A$13,MIN(MATCH(MEDIAN($B73-Conversion!$B$14,2020,2050),Report_Scenarios!$A$7:$A$13,1)+1,7))-INDEX(Report_Scenarios!$A$7:$A$13,MATCH(MEDIAN($B73-Conversion!$B$14,2020,2050),Report_Scenarios!$A$7:$A$13,1)))),IF($D73="Central",IF(INDEX(Report_Scenarios!$A$18:$A$24,MIN(MATCH(MEDIAN($B73-Conversion!$B$14,2020,2050),Report_Scenarios!$A$18:$A$24,1)+1,7))=INDEX(Report_Scenarios!$A$18:$A$24,MATCH(MEDIAN($B73-Conversion!$B$14,2020,2050),Report_Scenarios!$A$18:$A$24,1)),INDEX(Report_Scenarios!$G$18:$G$24,MATCH(MEDIAN($B73-Conversion!$B$14,2020,2050),Report_Scenarios!$A$18:$A$24,1)),INDEX(Report_Scenarios!$G$18:$G$24,MATCH(MEDIAN($B73-Conversion!$B$14,2020,2050),Report_Scenarios!$A$18:$A$24,1))+(INDEX(Report_Scenarios!$G$18:$G$24,MIN(MATCH(MEDIAN($B73-Conversion!$B$14,2020,2050),Report_Scenarios!$A$18:$A$24,1)+1,7))-INDEX(Report_Scenarios!$G$18:$G$24,MATCH(MEDIAN($B73-Conversion!$B$14,2020,2050),Report_Scenarios!$A$18:$A$24,1)))*(MEDIAN($B73-Conversion!$B$14,2020,2050)-INDEX(Report_Scenarios!$A$18:$A$24,MATCH(MEDIAN($B73-Conversion!$B$14,2020,2050),Report_Scenarios!$A$18:$A$24,1)))/(INDEX(Report_Scenarios!$A$18:$A$24,MIN(MATCH(MEDIAN($B73-Conversion!$B$14,2020,2050),Report_Scenarios!$A$18:$A$24,1)+1,7))-INDEX(Report_Scenarios!$A$18:$A$24,MATCH(MEDIAN($B73-Conversion!$B$14,2020,2050),Report_Scenarios!$A$18:$A$24,1)))),IF(INDEX(Report_Scenarios!$A$29:$A$35,MIN(MATCH(MEDIAN($B73-Conversion!$B$14,2020,2050),Report_Scenarios!$A$29:$A$35,1)+1,7))=INDEX(Report_Scenarios!$A$29:$A$35,MATCH(MEDIAN($B73-Conversion!$B$14,2020,2050),Report_Scenarios!$A$29:$A$35,1)),INDEX(Report_Scenarios!$G$29:$G$35,MATCH(MEDIAN($B73-Conversion!$B$14,2020,2050),Report_Scenarios!$A$29:$A$35,1)),INDEX(Report_Scenarios!$G$29:$G$35,MATCH(MEDIAN($B73-Conversion!$B$14,2020,2050),Report_Scenarios!$A$29:$A$35,1))+(INDEX(Report_Scenarios!$G$29:$G$35,MIN(MATCH(MEDIAN($B73-Conversion!$B$14,2020,2050),Report_Scenarios!$A$29:$A$35,1)+1,7))-INDEX(Report_Scenarios!$G$29:$G$35,MATCH(MEDIAN($B73-Conversion!$B$14,2020,2050),Report_Scenarios!$A$29:$A$35,1)))*(MEDIAN($B73-Conversion!$B$14,2020,2050)-INDEX(Report_Scenarios!$A$29:$A$35,MATCH(MEDIAN($B73-Conversion!$B$14,2020,2050),Report_Scenarios!$A$29:$A$35,1)))/(INDEX(Report_Scenarios!$A$29:$A$35,MIN(MATCH(MEDIAN($B73-Conversion!$B$14,2020,2050),Report_Scenarios!$A$29:$A$35,1)+1,7))-INDEX(Report_Scenarios!$A$29:$A$35,MATCH(MEDIAN($B73-Conversion!$B$14,2020,2050),Report_Scenarios!$A$29:$A$35,1))))))</f>
        <v/>
      </c>
      <c r="K73" s="23">
        <f>SUM(E73:J73)</f>
        <v/>
      </c>
      <c r="L73" s="23">
        <f>IF(R73&lt;&gt;"",R73,IF($K73=0,0,E73/$K73))</f>
        <v/>
      </c>
      <c r="M73" s="23">
        <f>IF(S73&lt;&gt;"",S73,IF($K73=0,0,F73/$K73))</f>
        <v/>
      </c>
      <c r="N73" s="23">
        <f>IF(T73&lt;&gt;"",T73,IF($K73=0,0,G73/$K73))</f>
        <v/>
      </c>
      <c r="O73" s="23">
        <f>IF(U73&lt;&gt;"",U73,IF($K73=0,0,H73/$K73))</f>
        <v/>
      </c>
      <c r="P73" s="23">
        <f>IF(V73&lt;&gt;"",V73,IF($K73=0,0,I73/$K73))</f>
        <v/>
      </c>
      <c r="Q73" s="23">
        <f>IF(W73&lt;&gt;"",W73,IF($K73=0,0,J73/$K73))</f>
        <v/>
      </c>
      <c r="R73" s="24" t="n"/>
      <c r="S73" s="24" t="n"/>
      <c r="T73" s="24" t="n"/>
      <c r="U73" s="24" t="n"/>
      <c r="V73" s="24" t="n"/>
      <c r="W73" s="24" t="n"/>
    </row>
    <row r="74">
      <c r="A74" s="4" t="inlineStr">
        <is>
          <t>EF</t>
        </is>
      </c>
      <c r="B74" s="4" t="n">
        <v>2035</v>
      </c>
      <c r="C74" s="4" t="inlineStr">
        <is>
          <t>Share_Min</t>
        </is>
      </c>
      <c r="D74" s="4">
        <f>Conversion!$B$18</f>
        <v/>
      </c>
      <c r="E74" s="23">
        <f>IF($D74="Conservative",IF(INDEX(Report_Scenarios!$A$7:$A$13,MIN(MATCH(MEDIAN($B74-Conversion!$B$14,2020,2050),Report_Scenarios!$A$7:$A$13,1)+1,7))=INDEX(Report_Scenarios!$A$7:$A$13,MATCH(MEDIAN($B74-Conversion!$B$14,2020,2050),Report_Scenarios!$A$7:$A$13,1)),INDEX(Report_Scenarios!$B$7:$B$13,MATCH(MEDIAN($B74-Conversion!$B$14,2020,2050),Report_Scenarios!$A$7:$A$13,1)),INDEX(Report_Scenarios!$B$7:$B$13,MATCH(MEDIAN($B74-Conversion!$B$14,2020,2050),Report_Scenarios!$A$7:$A$13,1))+(INDEX(Report_Scenarios!$B$7:$B$13,MIN(MATCH(MEDIAN($B74-Conversion!$B$14,2020,2050),Report_Scenarios!$A$7:$A$13,1)+1,7))-INDEX(Report_Scenarios!$B$7:$B$13,MATCH(MEDIAN($B74-Conversion!$B$14,2020,2050),Report_Scenarios!$A$7:$A$13,1)))*(MEDIAN($B74-Conversion!$B$14,2020,2050)-INDEX(Report_Scenarios!$A$7:$A$13,MATCH(MEDIAN($B74-Conversion!$B$14,2020,2050),Report_Scenarios!$A$7:$A$13,1)))/(INDEX(Report_Scenarios!$A$7:$A$13,MIN(MATCH(MEDIAN($B74-Conversion!$B$14,2020,2050),Report_Scenarios!$A$7:$A$13,1)+1,7))-INDEX(Report_Scenarios!$A$7:$A$13,MATCH(MEDIAN($B74-Conversion!$B$14,2020,2050),Report_Scenarios!$A$7:$A$13,1)))),IF($D74="Central",IF(INDEX(Report_Scenarios!$A$18:$A$24,MIN(MATCH(MEDIAN($B74-Conversion!$B$14,2020,2050),Report_Scenarios!$A$18:$A$24,1)+1,7))=INDEX(Report_Scenarios!$A$18:$A$24,MATCH(MEDIAN($B74-Conversion!$B$14,2020,2050),Report_Scenarios!$A$18:$A$24,1)),INDEX(Report_Scenarios!$B$18:$B$24,MATCH(MEDIAN($B74-Conversion!$B$14,2020,2050),Report_Scenarios!$A$18:$A$24,1)),INDEX(Report_Scenarios!$B$18:$B$24,MATCH(MEDIAN($B74-Conversion!$B$14,2020,2050),Report_Scenarios!$A$18:$A$24,1))+(INDEX(Report_Scenarios!$B$18:$B$24,MIN(MATCH(MEDIAN($B74-Conversion!$B$14,2020,2050),Report_Scenarios!$A$18:$A$24,1)+1,7))-INDEX(Report_Scenarios!$B$18:$B$24,MATCH(MEDIAN($B74-Conversion!$B$14,2020,2050),Report_Scenarios!$A$18:$A$24,1)))*(MEDIAN($B74-Conversion!$B$14,2020,2050)-INDEX(Report_Scenarios!$A$18:$A$24,MATCH(MEDIAN($B74-Conversion!$B$14,2020,2050),Report_Scenarios!$A$18:$A$24,1)))/(INDEX(Report_Scenarios!$A$18:$A$24,MIN(MATCH(MEDIAN($B74-Conversion!$B$14,2020,2050),Report_Scenarios!$A$18:$A$24,1)+1,7))-INDEX(Report_Scenarios!$A$18:$A$24,MATCH(MEDIAN($B74-Conversion!$B$14,2020,2050),Report_Scenarios!$A$18:$A$24,1)))),IF(INDEX(Report_Scenarios!$A$29:$A$35,MIN(MATCH(MEDIAN($B74-Conversion!$B$14,2020,2050),Report_Scenarios!$A$29:$A$35,1)+1,7))=INDEX(Report_Scenarios!$A$29:$A$35,MATCH(MEDIAN($B74-Conversion!$B$14,2020,2050),Report_Scenarios!$A$29:$A$35,1)),INDEX(Report_Scenarios!$B$29:$B$35,MATCH(MEDIAN($B74-Conversion!$B$14,2020,2050),Report_Scenarios!$A$29:$A$35,1)),INDEX(Report_Scenarios!$B$29:$B$35,MATCH(MEDIAN($B74-Conversion!$B$14,2020,2050),Report_Scenarios!$A$29:$A$35,1))+(INDEX(Report_Scenarios!$B$29:$B$35,MIN(MATCH(MEDIAN($B74-Conversion!$B$14,2020,2050),Report_Scenarios!$A$29:$A$35,1)+1,7))-INDEX(Report_Scenarios!$B$29:$B$35,MATCH(MEDIAN($B74-Conversion!$B$14,2020,2050),Report_Scenarios!$A$29:$A$35,1)))*(MEDIAN($B74-Conversion!$B$14,2020,2050)-INDEX(Report_Scenarios!$A$29:$A$35,MATCH(MEDIAN($B74-Conversion!$B$14,2020,2050),Report_Scenarios!$A$29:$A$35,1)))/(INDEX(Report_Scenarios!$A$29:$A$35,MIN(MATCH(MEDIAN($B74-Conversion!$B$14,2020,2050),Report_Scenarios!$A$29:$A$35,1)+1,7))-INDEX(Report_Scenarios!$A$29:$A$35,MATCH(MEDIAN($B74-Conversion!$B$14,2020,2050),Report_Scenarios!$A$29:$A$35,1))))))</f>
        <v/>
      </c>
      <c r="F74" s="23">
        <f>IF($D74="Conservative",IF(INDEX(Report_Scenarios!$A$7:$A$13,MIN(MATCH(MEDIAN($B74-Conversion!$B$14,2020,2050),Report_Scenarios!$A$7:$A$13,1)+1,7))=INDEX(Report_Scenarios!$A$7:$A$13,MATCH(MEDIAN($B74-Conversion!$B$14,2020,2050),Report_Scenarios!$A$7:$A$13,1)),INDEX(Report_Scenarios!$C$7:$C$13,MATCH(MEDIAN($B74-Conversion!$B$14,2020,2050),Report_Scenarios!$A$7:$A$13,1)),INDEX(Report_Scenarios!$C$7:$C$13,MATCH(MEDIAN($B74-Conversion!$B$14,2020,2050),Report_Scenarios!$A$7:$A$13,1))+(INDEX(Report_Scenarios!$C$7:$C$13,MIN(MATCH(MEDIAN($B74-Conversion!$B$14,2020,2050),Report_Scenarios!$A$7:$A$13,1)+1,7))-INDEX(Report_Scenarios!$C$7:$C$13,MATCH(MEDIAN($B74-Conversion!$B$14,2020,2050),Report_Scenarios!$A$7:$A$13,1)))*(MEDIAN($B74-Conversion!$B$14,2020,2050)-INDEX(Report_Scenarios!$A$7:$A$13,MATCH(MEDIAN($B74-Conversion!$B$14,2020,2050),Report_Scenarios!$A$7:$A$13,1)))/(INDEX(Report_Scenarios!$A$7:$A$13,MIN(MATCH(MEDIAN($B74-Conversion!$B$14,2020,2050),Report_Scenarios!$A$7:$A$13,1)+1,7))-INDEX(Report_Scenarios!$A$7:$A$13,MATCH(MEDIAN($B74-Conversion!$B$14,2020,2050),Report_Scenarios!$A$7:$A$13,1)))),IF($D74="Central",IF(INDEX(Report_Scenarios!$A$18:$A$24,MIN(MATCH(MEDIAN($B74-Conversion!$B$14,2020,2050),Report_Scenarios!$A$18:$A$24,1)+1,7))=INDEX(Report_Scenarios!$A$18:$A$24,MATCH(MEDIAN($B74-Conversion!$B$14,2020,2050),Report_Scenarios!$A$18:$A$24,1)),INDEX(Report_Scenarios!$C$18:$C$24,MATCH(MEDIAN($B74-Conversion!$B$14,2020,2050),Report_Scenarios!$A$18:$A$24,1)),INDEX(Report_Scenarios!$C$18:$C$24,MATCH(MEDIAN($B74-Conversion!$B$14,2020,2050),Report_Scenarios!$A$18:$A$24,1))+(INDEX(Report_Scenarios!$C$18:$C$24,MIN(MATCH(MEDIAN($B74-Conversion!$B$14,2020,2050),Report_Scenarios!$A$18:$A$24,1)+1,7))-INDEX(Report_Scenarios!$C$18:$C$24,MATCH(MEDIAN($B74-Conversion!$B$14,2020,2050),Report_Scenarios!$A$18:$A$24,1)))*(MEDIAN($B74-Conversion!$B$14,2020,2050)-INDEX(Report_Scenarios!$A$18:$A$24,MATCH(MEDIAN($B74-Conversion!$B$14,2020,2050),Report_Scenarios!$A$18:$A$24,1)))/(INDEX(Report_Scenarios!$A$18:$A$24,MIN(MATCH(MEDIAN($B74-Conversion!$B$14,2020,2050),Report_Scenarios!$A$18:$A$24,1)+1,7))-INDEX(Report_Scenarios!$A$18:$A$24,MATCH(MEDIAN($B74-Conversion!$B$14,2020,2050),Report_Scenarios!$A$18:$A$24,1)))),IF(INDEX(Report_Scenarios!$A$29:$A$35,MIN(MATCH(MEDIAN($B74-Conversion!$B$14,2020,2050),Report_Scenarios!$A$29:$A$35,1)+1,7))=INDEX(Report_Scenarios!$A$29:$A$35,MATCH(MEDIAN($B74-Conversion!$B$14,2020,2050),Report_Scenarios!$A$29:$A$35,1)),INDEX(Report_Scenarios!$C$29:$C$35,MATCH(MEDIAN($B74-Conversion!$B$14,2020,2050),Report_Scenarios!$A$29:$A$35,1)),INDEX(Report_Scenarios!$C$29:$C$35,MATCH(MEDIAN($B74-Conversion!$B$14,2020,2050),Report_Scenarios!$A$29:$A$35,1))+(INDEX(Report_Scenarios!$C$29:$C$35,MIN(MATCH(MEDIAN($B74-Conversion!$B$14,2020,2050),Report_Scenarios!$A$29:$A$35,1)+1,7))-INDEX(Report_Scenarios!$C$29:$C$35,MATCH(MEDIAN($B74-Conversion!$B$14,2020,2050),Report_Scenarios!$A$29:$A$35,1)))*(MEDIAN($B74-Conversion!$B$14,2020,2050)-INDEX(Report_Scenarios!$A$29:$A$35,MATCH(MEDIAN($B74-Conversion!$B$14,2020,2050),Report_Scenarios!$A$29:$A$35,1)))/(INDEX(Report_Scenarios!$A$29:$A$35,MIN(MATCH(MEDIAN($B74-Conversion!$B$14,2020,2050),Report_Scenarios!$A$29:$A$35,1)+1,7))-INDEX(Report_Scenarios!$A$29:$A$35,MATCH(MEDIAN($B74-Conversion!$B$14,2020,2050),Report_Scenarios!$A$29:$A$35,1))))))</f>
        <v/>
      </c>
      <c r="G74" s="23">
        <f>IF($D74="Conservative",IF(INDEX(Report_Scenarios!$A$7:$A$13,MIN(MATCH(MEDIAN($B74-Conversion!$B$14,2020,2050),Report_Scenarios!$A$7:$A$13,1)+1,7))=INDEX(Report_Scenarios!$A$7:$A$13,MATCH(MEDIAN($B74-Conversion!$B$14,2020,2050),Report_Scenarios!$A$7:$A$13,1)),INDEX(Report_Scenarios!$D$7:$D$13,MATCH(MEDIAN($B74-Conversion!$B$14,2020,2050),Report_Scenarios!$A$7:$A$13,1)),INDEX(Report_Scenarios!$D$7:$D$13,MATCH(MEDIAN($B74-Conversion!$B$14,2020,2050),Report_Scenarios!$A$7:$A$13,1))+(INDEX(Report_Scenarios!$D$7:$D$13,MIN(MATCH(MEDIAN($B74-Conversion!$B$14,2020,2050),Report_Scenarios!$A$7:$A$13,1)+1,7))-INDEX(Report_Scenarios!$D$7:$D$13,MATCH(MEDIAN($B74-Conversion!$B$14,2020,2050),Report_Scenarios!$A$7:$A$13,1)))*(MEDIAN($B74-Conversion!$B$14,2020,2050)-INDEX(Report_Scenarios!$A$7:$A$13,MATCH(MEDIAN($B74-Conversion!$B$14,2020,2050),Report_Scenarios!$A$7:$A$13,1)))/(INDEX(Report_Scenarios!$A$7:$A$13,MIN(MATCH(MEDIAN($B74-Conversion!$B$14,2020,2050),Report_Scenarios!$A$7:$A$13,1)+1,7))-INDEX(Report_Scenarios!$A$7:$A$13,MATCH(MEDIAN($B74-Conversion!$B$14,2020,2050),Report_Scenarios!$A$7:$A$13,1)))),IF($D74="Central",IF(INDEX(Report_Scenarios!$A$18:$A$24,MIN(MATCH(MEDIAN($B74-Conversion!$B$14,2020,2050),Report_Scenarios!$A$18:$A$24,1)+1,7))=INDEX(Report_Scenarios!$A$18:$A$24,MATCH(MEDIAN($B74-Conversion!$B$14,2020,2050),Report_Scenarios!$A$18:$A$24,1)),INDEX(Report_Scenarios!$D$18:$D$24,MATCH(MEDIAN($B74-Conversion!$B$14,2020,2050),Report_Scenarios!$A$18:$A$24,1)),INDEX(Report_Scenarios!$D$18:$D$24,MATCH(MEDIAN($B74-Conversion!$B$14,2020,2050),Report_Scenarios!$A$18:$A$24,1))+(INDEX(Report_Scenarios!$D$18:$D$24,MIN(MATCH(MEDIAN($B74-Conversion!$B$14,2020,2050),Report_Scenarios!$A$18:$A$24,1)+1,7))-INDEX(Report_Scenarios!$D$18:$D$24,MATCH(MEDIAN($B74-Conversion!$B$14,2020,2050),Report_Scenarios!$A$18:$A$24,1)))*(MEDIAN($B74-Conversion!$B$14,2020,2050)-INDEX(Report_Scenarios!$A$18:$A$24,MATCH(MEDIAN($B74-Conversion!$B$14,2020,2050),Report_Scenarios!$A$18:$A$24,1)))/(INDEX(Report_Scenarios!$A$18:$A$24,MIN(MATCH(MEDIAN($B74-Conversion!$B$14,2020,2050),Report_Scenarios!$A$18:$A$24,1)+1,7))-INDEX(Report_Scenarios!$A$18:$A$24,MATCH(MEDIAN($B74-Conversion!$B$14,2020,2050),Report_Scenarios!$A$18:$A$24,1)))),IF(INDEX(Report_Scenarios!$A$29:$A$35,MIN(MATCH(MEDIAN($B74-Conversion!$B$14,2020,2050),Report_Scenarios!$A$29:$A$35,1)+1,7))=INDEX(Report_Scenarios!$A$29:$A$35,MATCH(MEDIAN($B74-Conversion!$B$14,2020,2050),Report_Scenarios!$A$29:$A$35,1)),INDEX(Report_Scenarios!$D$29:$D$35,MATCH(MEDIAN($B74-Conversion!$B$14,2020,2050),Report_Scenarios!$A$29:$A$35,1)),INDEX(Report_Scenarios!$D$29:$D$35,MATCH(MEDIAN($B74-Conversion!$B$14,2020,2050),Report_Scenarios!$A$29:$A$35,1))+(INDEX(Report_Scenarios!$D$29:$D$35,MIN(MATCH(MEDIAN($B74-Conversion!$B$14,2020,2050),Report_Scenarios!$A$29:$A$35,1)+1,7))-INDEX(Report_Scenarios!$D$29:$D$35,MATCH(MEDIAN($B74-Conversion!$B$14,2020,2050),Report_Scenarios!$A$29:$A$35,1)))*(MEDIAN($B74-Conversion!$B$14,2020,2050)-INDEX(Report_Scenarios!$A$29:$A$35,MATCH(MEDIAN($B74-Conversion!$B$14,2020,2050),Report_Scenarios!$A$29:$A$35,1)))/(INDEX(Report_Scenarios!$A$29:$A$35,MIN(MATCH(MEDIAN($B74-Conversion!$B$14,2020,2050),Report_Scenarios!$A$29:$A$35,1)+1,7))-INDEX(Report_Scenarios!$A$29:$A$35,MATCH(MEDIAN($B74-Conversion!$B$14,2020,2050),Report_Scenarios!$A$29:$A$35,1))))))</f>
        <v/>
      </c>
      <c r="H74" s="23">
        <f>IF($D74="Conservative",IF(INDEX(Report_Scenarios!$A$7:$A$13,MIN(MATCH(MEDIAN($B74-Conversion!$B$14,2020,2050),Report_Scenarios!$A$7:$A$13,1)+1,7))=INDEX(Report_Scenarios!$A$7:$A$13,MATCH(MEDIAN($B74-Conversion!$B$14,2020,2050),Report_Scenarios!$A$7:$A$13,1)),INDEX(Report_Scenarios!$E$7:$E$13,MATCH(MEDIAN($B74-Conversion!$B$14,2020,2050),Report_Scenarios!$A$7:$A$13,1)),INDEX(Report_Scenarios!$E$7:$E$13,MATCH(MEDIAN($B74-Conversion!$B$14,2020,2050),Report_Scenarios!$A$7:$A$13,1))+(INDEX(Report_Scenarios!$E$7:$E$13,MIN(MATCH(MEDIAN($B74-Conversion!$B$14,2020,2050),Report_Scenarios!$A$7:$A$13,1)+1,7))-INDEX(Report_Scenarios!$E$7:$E$13,MATCH(MEDIAN($B74-Conversion!$B$14,2020,2050),Report_Scenarios!$A$7:$A$13,1)))*(MEDIAN($B74-Conversion!$B$14,2020,2050)-INDEX(Report_Scenarios!$A$7:$A$13,MATCH(MEDIAN($B74-Conversion!$B$14,2020,2050),Report_Scenarios!$A$7:$A$13,1)))/(INDEX(Report_Scenarios!$A$7:$A$13,MIN(MATCH(MEDIAN($B74-Conversion!$B$14,2020,2050),Report_Scenarios!$A$7:$A$13,1)+1,7))-INDEX(Report_Scenarios!$A$7:$A$13,MATCH(MEDIAN($B74-Conversion!$B$14,2020,2050),Report_Scenarios!$A$7:$A$13,1)))),IF($D74="Central",IF(INDEX(Report_Scenarios!$A$18:$A$24,MIN(MATCH(MEDIAN($B74-Conversion!$B$14,2020,2050),Report_Scenarios!$A$18:$A$24,1)+1,7))=INDEX(Report_Scenarios!$A$18:$A$24,MATCH(MEDIAN($B74-Conversion!$B$14,2020,2050),Report_Scenarios!$A$18:$A$24,1)),INDEX(Report_Scenarios!$E$18:$E$24,MATCH(MEDIAN($B74-Conversion!$B$14,2020,2050),Report_Scenarios!$A$18:$A$24,1)),INDEX(Report_Scenarios!$E$18:$E$24,MATCH(MEDIAN($B74-Conversion!$B$14,2020,2050),Report_Scenarios!$A$18:$A$24,1))+(INDEX(Report_Scenarios!$E$18:$E$24,MIN(MATCH(MEDIAN($B74-Conversion!$B$14,2020,2050),Report_Scenarios!$A$18:$A$24,1)+1,7))-INDEX(Report_Scenarios!$E$18:$E$24,MATCH(MEDIAN($B74-Conversion!$B$14,2020,2050),Report_Scenarios!$A$18:$A$24,1)))*(MEDIAN($B74-Conversion!$B$14,2020,2050)-INDEX(Report_Scenarios!$A$18:$A$24,MATCH(MEDIAN($B74-Conversion!$B$14,2020,2050),Report_Scenarios!$A$18:$A$24,1)))/(INDEX(Report_Scenarios!$A$18:$A$24,MIN(MATCH(MEDIAN($B74-Conversion!$B$14,2020,2050),Report_Scenarios!$A$18:$A$24,1)+1,7))-INDEX(Report_Scenarios!$A$18:$A$24,MATCH(MEDIAN($B74-Conversion!$B$14,2020,2050),Report_Scenarios!$A$18:$A$24,1)))),IF(INDEX(Report_Scenarios!$A$29:$A$35,MIN(MATCH(MEDIAN($B74-Conversion!$B$14,2020,2050),Report_Scenarios!$A$29:$A$35,1)+1,7))=INDEX(Report_Scenarios!$A$29:$A$35,MATCH(MEDIAN($B74-Conversion!$B$14,2020,2050),Report_Scenarios!$A$29:$A$35,1)),INDEX(Report_Scenarios!$E$29:$E$35,MATCH(MEDIAN($B74-Conversion!$B$14,2020,2050),Report_Scenarios!$A$29:$A$35,1)),INDEX(Report_Scenarios!$E$29:$E$35,MATCH(MEDIAN($B74-Conversion!$B$14,2020,2050),Report_Scenarios!$A$29:$A$35,1))+(INDEX(Report_Scenarios!$E$29:$E$35,MIN(MATCH(MEDIAN($B74-Conversion!$B$14,2020,2050),Report_Scenarios!$A$29:$A$35,1)+1,7))-INDEX(Report_Scenarios!$E$29:$E$35,MATCH(MEDIAN($B74-Conversion!$B$14,2020,2050),Report_Scenarios!$A$29:$A$35,1)))*(MEDIAN($B74-Conversion!$B$14,2020,2050)-INDEX(Report_Scenarios!$A$29:$A$35,MATCH(MEDIAN($B74-Conversion!$B$14,2020,2050),Report_Scenarios!$A$29:$A$35,1)))/(INDEX(Report_Scenarios!$A$29:$A$35,MIN(MATCH(MEDIAN($B74-Conversion!$B$14,2020,2050),Report_Scenarios!$A$29:$A$35,1)+1,7))-INDEX(Report_Scenarios!$A$29:$A$35,MATCH(MEDIAN($B74-Conversion!$B$14,2020,2050),Report_Scenarios!$A$29:$A$35,1))))))</f>
        <v/>
      </c>
      <c r="I74" s="23">
        <f>IF($D74="Conservative",IF(INDEX(Report_Scenarios!$A$7:$A$13,MIN(MATCH(MEDIAN($B74-Conversion!$B$14,2020,2050),Report_Scenarios!$A$7:$A$13,1)+1,7))=INDEX(Report_Scenarios!$A$7:$A$13,MATCH(MEDIAN($B74-Conversion!$B$14,2020,2050),Report_Scenarios!$A$7:$A$13,1)),INDEX(Report_Scenarios!$F$7:$F$13,MATCH(MEDIAN($B74-Conversion!$B$14,2020,2050),Report_Scenarios!$A$7:$A$13,1)),INDEX(Report_Scenarios!$F$7:$F$13,MATCH(MEDIAN($B74-Conversion!$B$14,2020,2050),Report_Scenarios!$A$7:$A$13,1))+(INDEX(Report_Scenarios!$F$7:$F$13,MIN(MATCH(MEDIAN($B74-Conversion!$B$14,2020,2050),Report_Scenarios!$A$7:$A$13,1)+1,7))-INDEX(Report_Scenarios!$F$7:$F$13,MATCH(MEDIAN($B74-Conversion!$B$14,2020,2050),Report_Scenarios!$A$7:$A$13,1)))*(MEDIAN($B74-Conversion!$B$14,2020,2050)-INDEX(Report_Scenarios!$A$7:$A$13,MATCH(MEDIAN($B74-Conversion!$B$14,2020,2050),Report_Scenarios!$A$7:$A$13,1)))/(INDEX(Report_Scenarios!$A$7:$A$13,MIN(MATCH(MEDIAN($B74-Conversion!$B$14,2020,2050),Report_Scenarios!$A$7:$A$13,1)+1,7))-INDEX(Report_Scenarios!$A$7:$A$13,MATCH(MEDIAN($B74-Conversion!$B$14,2020,2050),Report_Scenarios!$A$7:$A$13,1)))),IF($D74="Central",IF(INDEX(Report_Scenarios!$A$18:$A$24,MIN(MATCH(MEDIAN($B74-Conversion!$B$14,2020,2050),Report_Scenarios!$A$18:$A$24,1)+1,7))=INDEX(Report_Scenarios!$A$18:$A$24,MATCH(MEDIAN($B74-Conversion!$B$14,2020,2050),Report_Scenarios!$A$18:$A$24,1)),INDEX(Report_Scenarios!$F$18:$F$24,MATCH(MEDIAN($B74-Conversion!$B$14,2020,2050),Report_Scenarios!$A$18:$A$24,1)),INDEX(Report_Scenarios!$F$18:$F$24,MATCH(MEDIAN($B74-Conversion!$B$14,2020,2050),Report_Scenarios!$A$18:$A$24,1))+(INDEX(Report_Scenarios!$F$18:$F$24,MIN(MATCH(MEDIAN($B74-Conversion!$B$14,2020,2050),Report_Scenarios!$A$18:$A$24,1)+1,7))-INDEX(Report_Scenarios!$F$18:$F$24,MATCH(MEDIAN($B74-Conversion!$B$14,2020,2050),Report_Scenarios!$A$18:$A$24,1)))*(MEDIAN($B74-Conversion!$B$14,2020,2050)-INDEX(Report_Scenarios!$A$18:$A$24,MATCH(MEDIAN($B74-Conversion!$B$14,2020,2050),Report_Scenarios!$A$18:$A$24,1)))/(INDEX(Report_Scenarios!$A$18:$A$24,MIN(MATCH(MEDIAN($B74-Conversion!$B$14,2020,2050),Report_Scenarios!$A$18:$A$24,1)+1,7))-INDEX(Report_Scenarios!$A$18:$A$24,MATCH(MEDIAN($B74-Conversion!$B$14,2020,2050),Report_Scenarios!$A$18:$A$24,1)))),IF(INDEX(Report_Scenarios!$A$29:$A$35,MIN(MATCH(MEDIAN($B74-Conversion!$B$14,2020,2050),Report_Scenarios!$A$29:$A$35,1)+1,7))=INDEX(Report_Scenarios!$A$29:$A$35,MATCH(MEDIAN($B74-Conversion!$B$14,2020,2050),Report_Scenarios!$A$29:$A$35,1)),INDEX(Report_Scenarios!$F$29:$F$35,MATCH(MEDIAN($B74-Conversion!$B$14,2020,2050),Report_Scenarios!$A$29:$A$35,1)),INDEX(Report_Scenarios!$F$29:$F$35,MATCH(MEDIAN($B74-Conversion!$B$14,2020,2050),Report_Scenarios!$A$29:$A$35,1))+(INDEX(Report_Scenarios!$F$29:$F$35,MIN(MATCH(MEDIAN($B74-Conversion!$B$14,2020,2050),Report_Scenarios!$A$29:$A$35,1)+1,7))-INDEX(Report_Scenarios!$F$29:$F$35,MATCH(MEDIAN($B74-Conversion!$B$14,2020,2050),Report_Scenarios!$A$29:$A$35,1)))*(MEDIAN($B74-Conversion!$B$14,2020,2050)-INDEX(Report_Scenarios!$A$29:$A$35,MATCH(MEDIAN($B74-Conversion!$B$14,2020,2050),Report_Scenarios!$A$29:$A$35,1)))/(INDEX(Report_Scenarios!$A$29:$A$35,MIN(MATCH(MEDIAN($B74-Conversion!$B$14,2020,2050),Report_Scenarios!$A$29:$A$35,1)+1,7))-INDEX(Report_Scenarios!$A$29:$A$35,MATCH(MEDIAN($B74-Conversion!$B$14,2020,2050),Report_Scenarios!$A$29:$A$35,1))))))</f>
        <v/>
      </c>
      <c r="J74" s="23">
        <f>IF($D74="Conservative",IF(INDEX(Report_Scenarios!$A$7:$A$13,MIN(MATCH(MEDIAN($B74-Conversion!$B$14,2020,2050),Report_Scenarios!$A$7:$A$13,1)+1,7))=INDEX(Report_Scenarios!$A$7:$A$13,MATCH(MEDIAN($B74-Conversion!$B$14,2020,2050),Report_Scenarios!$A$7:$A$13,1)),INDEX(Report_Scenarios!$G$7:$G$13,MATCH(MEDIAN($B74-Conversion!$B$14,2020,2050),Report_Scenarios!$A$7:$A$13,1)),INDEX(Report_Scenarios!$G$7:$G$13,MATCH(MEDIAN($B74-Conversion!$B$14,2020,2050),Report_Scenarios!$A$7:$A$13,1))+(INDEX(Report_Scenarios!$G$7:$G$13,MIN(MATCH(MEDIAN($B74-Conversion!$B$14,2020,2050),Report_Scenarios!$A$7:$A$13,1)+1,7))-INDEX(Report_Scenarios!$G$7:$G$13,MATCH(MEDIAN($B74-Conversion!$B$14,2020,2050),Report_Scenarios!$A$7:$A$13,1)))*(MEDIAN($B74-Conversion!$B$14,2020,2050)-INDEX(Report_Scenarios!$A$7:$A$13,MATCH(MEDIAN($B74-Conversion!$B$14,2020,2050),Report_Scenarios!$A$7:$A$13,1)))/(INDEX(Report_Scenarios!$A$7:$A$13,MIN(MATCH(MEDIAN($B74-Conversion!$B$14,2020,2050),Report_Scenarios!$A$7:$A$13,1)+1,7))-INDEX(Report_Scenarios!$A$7:$A$13,MATCH(MEDIAN($B74-Conversion!$B$14,2020,2050),Report_Scenarios!$A$7:$A$13,1)))),IF($D74="Central",IF(INDEX(Report_Scenarios!$A$18:$A$24,MIN(MATCH(MEDIAN($B74-Conversion!$B$14,2020,2050),Report_Scenarios!$A$18:$A$24,1)+1,7))=INDEX(Report_Scenarios!$A$18:$A$24,MATCH(MEDIAN($B74-Conversion!$B$14,2020,2050),Report_Scenarios!$A$18:$A$24,1)),INDEX(Report_Scenarios!$G$18:$G$24,MATCH(MEDIAN($B74-Conversion!$B$14,2020,2050),Report_Scenarios!$A$18:$A$24,1)),INDEX(Report_Scenarios!$G$18:$G$24,MATCH(MEDIAN($B74-Conversion!$B$14,2020,2050),Report_Scenarios!$A$18:$A$24,1))+(INDEX(Report_Scenarios!$G$18:$G$24,MIN(MATCH(MEDIAN($B74-Conversion!$B$14,2020,2050),Report_Scenarios!$A$18:$A$24,1)+1,7))-INDEX(Report_Scenarios!$G$18:$G$24,MATCH(MEDIAN($B74-Conversion!$B$14,2020,2050),Report_Scenarios!$A$18:$A$24,1)))*(MEDIAN($B74-Conversion!$B$14,2020,2050)-INDEX(Report_Scenarios!$A$18:$A$24,MATCH(MEDIAN($B74-Conversion!$B$14,2020,2050),Report_Scenarios!$A$18:$A$24,1)))/(INDEX(Report_Scenarios!$A$18:$A$24,MIN(MATCH(MEDIAN($B74-Conversion!$B$14,2020,2050),Report_Scenarios!$A$18:$A$24,1)+1,7))-INDEX(Report_Scenarios!$A$18:$A$24,MATCH(MEDIAN($B74-Conversion!$B$14,2020,2050),Report_Scenarios!$A$18:$A$24,1)))),IF(INDEX(Report_Scenarios!$A$29:$A$35,MIN(MATCH(MEDIAN($B74-Conversion!$B$14,2020,2050),Report_Scenarios!$A$29:$A$35,1)+1,7))=INDEX(Report_Scenarios!$A$29:$A$35,MATCH(MEDIAN($B74-Conversion!$B$14,2020,2050),Report_Scenarios!$A$29:$A$35,1)),INDEX(Report_Scenarios!$G$29:$G$35,MATCH(MEDIAN($B74-Conversion!$B$14,2020,2050),Report_Scenarios!$A$29:$A$35,1)),INDEX(Report_Scenarios!$G$29:$G$35,MATCH(MEDIAN($B74-Conversion!$B$14,2020,2050),Report_Scenarios!$A$29:$A$35,1))+(INDEX(Report_Scenarios!$G$29:$G$35,MIN(MATCH(MEDIAN($B74-Conversion!$B$14,2020,2050),Report_Scenarios!$A$29:$A$35,1)+1,7))-INDEX(Report_Scenarios!$G$29:$G$35,MATCH(MEDIAN($B74-Conversion!$B$14,2020,2050),Report_Scenarios!$A$29:$A$35,1)))*(MEDIAN($B74-Conversion!$B$14,2020,2050)-INDEX(Report_Scenarios!$A$29:$A$35,MATCH(MEDIAN($B74-Conversion!$B$14,2020,2050),Report_Scenarios!$A$29:$A$35,1)))/(INDEX(Report_Scenarios!$A$29:$A$35,MIN(MATCH(MEDIAN($B74-Conversion!$B$14,2020,2050),Report_Scenarios!$A$29:$A$35,1)+1,7))-INDEX(Report_Scenarios!$A$29:$A$35,MATCH(MEDIAN($B74-Conversion!$B$14,2020,2050),Report_Scenarios!$A$29:$A$35,1))))))</f>
        <v/>
      </c>
      <c r="K74" s="23">
        <f>SUM(E74:J74)</f>
        <v/>
      </c>
      <c r="L74" s="23">
        <f>IF(R74&lt;&gt;"",R74,IF($K74=0,0,E74/$K74))</f>
        <v/>
      </c>
      <c r="M74" s="23">
        <f>IF(S74&lt;&gt;"",S74,IF($K74=0,0,F74/$K74))</f>
        <v/>
      </c>
      <c r="N74" s="23">
        <f>IF(T74&lt;&gt;"",T74,IF($K74=0,0,G74/$K74))</f>
        <v/>
      </c>
      <c r="O74" s="23">
        <f>IF(U74&lt;&gt;"",U74,IF($K74=0,0,H74/$K74))</f>
        <v/>
      </c>
      <c r="P74" s="23">
        <f>IF(V74&lt;&gt;"",V74,IF($K74=0,0,I74/$K74))</f>
        <v/>
      </c>
      <c r="Q74" s="23">
        <f>IF(W74&lt;&gt;"",W74,IF($K74=0,0,J74/$K74))</f>
        <v/>
      </c>
      <c r="R74" s="24" t="n"/>
      <c r="S74" s="24" t="n"/>
      <c r="T74" s="24" t="n"/>
      <c r="U74" s="24" t="n"/>
      <c r="V74" s="24" t="n"/>
      <c r="W74" s="24" t="n"/>
    </row>
    <row r="75">
      <c r="A75" s="4" t="inlineStr">
        <is>
          <t>EF</t>
        </is>
      </c>
      <c r="B75" s="4" t="n">
        <v>2035</v>
      </c>
      <c r="C75" s="4" t="inlineStr">
        <is>
          <t>Share_Mode</t>
        </is>
      </c>
      <c r="D75" s="4">
        <f>Conversion!$B$19</f>
        <v/>
      </c>
      <c r="E75" s="23">
        <f>IF($D75="Conservative",IF(INDEX(Report_Scenarios!$A$7:$A$13,MIN(MATCH(MEDIAN($B75-Conversion!$B$14,2020,2050),Report_Scenarios!$A$7:$A$13,1)+1,7))=INDEX(Report_Scenarios!$A$7:$A$13,MATCH(MEDIAN($B75-Conversion!$B$14,2020,2050),Report_Scenarios!$A$7:$A$13,1)),INDEX(Report_Scenarios!$B$7:$B$13,MATCH(MEDIAN($B75-Conversion!$B$14,2020,2050),Report_Scenarios!$A$7:$A$13,1)),INDEX(Report_Scenarios!$B$7:$B$13,MATCH(MEDIAN($B75-Conversion!$B$14,2020,2050),Report_Scenarios!$A$7:$A$13,1))+(INDEX(Report_Scenarios!$B$7:$B$13,MIN(MATCH(MEDIAN($B75-Conversion!$B$14,2020,2050),Report_Scenarios!$A$7:$A$13,1)+1,7))-INDEX(Report_Scenarios!$B$7:$B$13,MATCH(MEDIAN($B75-Conversion!$B$14,2020,2050),Report_Scenarios!$A$7:$A$13,1)))*(MEDIAN($B75-Conversion!$B$14,2020,2050)-INDEX(Report_Scenarios!$A$7:$A$13,MATCH(MEDIAN($B75-Conversion!$B$14,2020,2050),Report_Scenarios!$A$7:$A$13,1)))/(INDEX(Report_Scenarios!$A$7:$A$13,MIN(MATCH(MEDIAN($B75-Conversion!$B$14,2020,2050),Report_Scenarios!$A$7:$A$13,1)+1,7))-INDEX(Report_Scenarios!$A$7:$A$13,MATCH(MEDIAN($B75-Conversion!$B$14,2020,2050),Report_Scenarios!$A$7:$A$13,1)))),IF($D75="Central",IF(INDEX(Report_Scenarios!$A$18:$A$24,MIN(MATCH(MEDIAN($B75-Conversion!$B$14,2020,2050),Report_Scenarios!$A$18:$A$24,1)+1,7))=INDEX(Report_Scenarios!$A$18:$A$24,MATCH(MEDIAN($B75-Conversion!$B$14,2020,2050),Report_Scenarios!$A$18:$A$24,1)),INDEX(Report_Scenarios!$B$18:$B$24,MATCH(MEDIAN($B75-Conversion!$B$14,2020,2050),Report_Scenarios!$A$18:$A$24,1)),INDEX(Report_Scenarios!$B$18:$B$24,MATCH(MEDIAN($B75-Conversion!$B$14,2020,2050),Report_Scenarios!$A$18:$A$24,1))+(INDEX(Report_Scenarios!$B$18:$B$24,MIN(MATCH(MEDIAN($B75-Conversion!$B$14,2020,2050),Report_Scenarios!$A$18:$A$24,1)+1,7))-INDEX(Report_Scenarios!$B$18:$B$24,MATCH(MEDIAN($B75-Conversion!$B$14,2020,2050),Report_Scenarios!$A$18:$A$24,1)))*(MEDIAN($B75-Conversion!$B$14,2020,2050)-INDEX(Report_Scenarios!$A$18:$A$24,MATCH(MEDIAN($B75-Conversion!$B$14,2020,2050),Report_Scenarios!$A$18:$A$24,1)))/(INDEX(Report_Scenarios!$A$18:$A$24,MIN(MATCH(MEDIAN($B75-Conversion!$B$14,2020,2050),Report_Scenarios!$A$18:$A$24,1)+1,7))-INDEX(Report_Scenarios!$A$18:$A$24,MATCH(MEDIAN($B75-Conversion!$B$14,2020,2050),Report_Scenarios!$A$18:$A$24,1)))),IF(INDEX(Report_Scenarios!$A$29:$A$35,MIN(MATCH(MEDIAN($B75-Conversion!$B$14,2020,2050),Report_Scenarios!$A$29:$A$35,1)+1,7))=INDEX(Report_Scenarios!$A$29:$A$35,MATCH(MEDIAN($B75-Conversion!$B$14,2020,2050),Report_Scenarios!$A$29:$A$35,1)),INDEX(Report_Scenarios!$B$29:$B$35,MATCH(MEDIAN($B75-Conversion!$B$14,2020,2050),Report_Scenarios!$A$29:$A$35,1)),INDEX(Report_Scenarios!$B$29:$B$35,MATCH(MEDIAN($B75-Conversion!$B$14,2020,2050),Report_Scenarios!$A$29:$A$35,1))+(INDEX(Report_Scenarios!$B$29:$B$35,MIN(MATCH(MEDIAN($B75-Conversion!$B$14,2020,2050),Report_Scenarios!$A$29:$A$35,1)+1,7))-INDEX(Report_Scenarios!$B$29:$B$35,MATCH(MEDIAN($B75-Conversion!$B$14,2020,2050),Report_Scenarios!$A$29:$A$35,1)))*(MEDIAN($B75-Conversion!$B$14,2020,2050)-INDEX(Report_Scenarios!$A$29:$A$35,MATCH(MEDIAN($B75-Conversion!$B$14,2020,2050),Report_Scenarios!$A$29:$A$35,1)))/(INDEX(Report_Scenarios!$A$29:$A$35,MIN(MATCH(MEDIAN($B75-Conversion!$B$14,2020,2050),Report_Scenarios!$A$29:$A$35,1)+1,7))-INDEX(Report_Scenarios!$A$29:$A$35,MATCH(MEDIAN($B75-Conversion!$B$14,2020,2050),Report_Scenarios!$A$29:$A$35,1))))))</f>
        <v/>
      </c>
      <c r="F75" s="23">
        <f>IF($D75="Conservative",IF(INDEX(Report_Scenarios!$A$7:$A$13,MIN(MATCH(MEDIAN($B75-Conversion!$B$14,2020,2050),Report_Scenarios!$A$7:$A$13,1)+1,7))=INDEX(Report_Scenarios!$A$7:$A$13,MATCH(MEDIAN($B75-Conversion!$B$14,2020,2050),Report_Scenarios!$A$7:$A$13,1)),INDEX(Report_Scenarios!$C$7:$C$13,MATCH(MEDIAN($B75-Conversion!$B$14,2020,2050),Report_Scenarios!$A$7:$A$13,1)),INDEX(Report_Scenarios!$C$7:$C$13,MATCH(MEDIAN($B75-Conversion!$B$14,2020,2050),Report_Scenarios!$A$7:$A$13,1))+(INDEX(Report_Scenarios!$C$7:$C$13,MIN(MATCH(MEDIAN($B75-Conversion!$B$14,2020,2050),Report_Scenarios!$A$7:$A$13,1)+1,7))-INDEX(Report_Scenarios!$C$7:$C$13,MATCH(MEDIAN($B75-Conversion!$B$14,2020,2050),Report_Scenarios!$A$7:$A$13,1)))*(MEDIAN($B75-Conversion!$B$14,2020,2050)-INDEX(Report_Scenarios!$A$7:$A$13,MATCH(MEDIAN($B75-Conversion!$B$14,2020,2050),Report_Scenarios!$A$7:$A$13,1)))/(INDEX(Report_Scenarios!$A$7:$A$13,MIN(MATCH(MEDIAN($B75-Conversion!$B$14,2020,2050),Report_Scenarios!$A$7:$A$13,1)+1,7))-INDEX(Report_Scenarios!$A$7:$A$13,MATCH(MEDIAN($B75-Conversion!$B$14,2020,2050),Report_Scenarios!$A$7:$A$13,1)))),IF($D75="Central",IF(INDEX(Report_Scenarios!$A$18:$A$24,MIN(MATCH(MEDIAN($B75-Conversion!$B$14,2020,2050),Report_Scenarios!$A$18:$A$24,1)+1,7))=INDEX(Report_Scenarios!$A$18:$A$24,MATCH(MEDIAN($B75-Conversion!$B$14,2020,2050),Report_Scenarios!$A$18:$A$24,1)),INDEX(Report_Scenarios!$C$18:$C$24,MATCH(MEDIAN($B75-Conversion!$B$14,2020,2050),Report_Scenarios!$A$18:$A$24,1)),INDEX(Report_Scenarios!$C$18:$C$24,MATCH(MEDIAN($B75-Conversion!$B$14,2020,2050),Report_Scenarios!$A$18:$A$24,1))+(INDEX(Report_Scenarios!$C$18:$C$24,MIN(MATCH(MEDIAN($B75-Conversion!$B$14,2020,2050),Report_Scenarios!$A$18:$A$24,1)+1,7))-INDEX(Report_Scenarios!$C$18:$C$24,MATCH(MEDIAN($B75-Conversion!$B$14,2020,2050),Report_Scenarios!$A$18:$A$24,1)))*(MEDIAN($B75-Conversion!$B$14,2020,2050)-INDEX(Report_Scenarios!$A$18:$A$24,MATCH(MEDIAN($B75-Conversion!$B$14,2020,2050),Report_Scenarios!$A$18:$A$24,1)))/(INDEX(Report_Scenarios!$A$18:$A$24,MIN(MATCH(MEDIAN($B75-Conversion!$B$14,2020,2050),Report_Scenarios!$A$18:$A$24,1)+1,7))-INDEX(Report_Scenarios!$A$18:$A$24,MATCH(MEDIAN($B75-Conversion!$B$14,2020,2050),Report_Scenarios!$A$18:$A$24,1)))),IF(INDEX(Report_Scenarios!$A$29:$A$35,MIN(MATCH(MEDIAN($B75-Conversion!$B$14,2020,2050),Report_Scenarios!$A$29:$A$35,1)+1,7))=INDEX(Report_Scenarios!$A$29:$A$35,MATCH(MEDIAN($B75-Conversion!$B$14,2020,2050),Report_Scenarios!$A$29:$A$35,1)),INDEX(Report_Scenarios!$C$29:$C$35,MATCH(MEDIAN($B75-Conversion!$B$14,2020,2050),Report_Scenarios!$A$29:$A$35,1)),INDEX(Report_Scenarios!$C$29:$C$35,MATCH(MEDIAN($B75-Conversion!$B$14,2020,2050),Report_Scenarios!$A$29:$A$35,1))+(INDEX(Report_Scenarios!$C$29:$C$35,MIN(MATCH(MEDIAN($B75-Conversion!$B$14,2020,2050),Report_Scenarios!$A$29:$A$35,1)+1,7))-INDEX(Report_Scenarios!$C$29:$C$35,MATCH(MEDIAN($B75-Conversion!$B$14,2020,2050),Report_Scenarios!$A$29:$A$35,1)))*(MEDIAN($B75-Conversion!$B$14,2020,2050)-INDEX(Report_Scenarios!$A$29:$A$35,MATCH(MEDIAN($B75-Conversion!$B$14,2020,2050),Report_Scenarios!$A$29:$A$35,1)))/(INDEX(Report_Scenarios!$A$29:$A$35,MIN(MATCH(MEDIAN($B75-Conversion!$B$14,2020,2050),Report_Scenarios!$A$29:$A$35,1)+1,7))-INDEX(Report_Scenarios!$A$29:$A$35,MATCH(MEDIAN($B75-Conversion!$B$14,2020,2050),Report_Scenarios!$A$29:$A$35,1))))))</f>
        <v/>
      </c>
      <c r="G75" s="23">
        <f>IF($D75="Conservative",IF(INDEX(Report_Scenarios!$A$7:$A$13,MIN(MATCH(MEDIAN($B75-Conversion!$B$14,2020,2050),Report_Scenarios!$A$7:$A$13,1)+1,7))=INDEX(Report_Scenarios!$A$7:$A$13,MATCH(MEDIAN($B75-Conversion!$B$14,2020,2050),Report_Scenarios!$A$7:$A$13,1)),INDEX(Report_Scenarios!$D$7:$D$13,MATCH(MEDIAN($B75-Conversion!$B$14,2020,2050),Report_Scenarios!$A$7:$A$13,1)),INDEX(Report_Scenarios!$D$7:$D$13,MATCH(MEDIAN($B75-Conversion!$B$14,2020,2050),Report_Scenarios!$A$7:$A$13,1))+(INDEX(Report_Scenarios!$D$7:$D$13,MIN(MATCH(MEDIAN($B75-Conversion!$B$14,2020,2050),Report_Scenarios!$A$7:$A$13,1)+1,7))-INDEX(Report_Scenarios!$D$7:$D$13,MATCH(MEDIAN($B75-Conversion!$B$14,2020,2050),Report_Scenarios!$A$7:$A$13,1)))*(MEDIAN($B75-Conversion!$B$14,2020,2050)-INDEX(Report_Scenarios!$A$7:$A$13,MATCH(MEDIAN($B75-Conversion!$B$14,2020,2050),Report_Scenarios!$A$7:$A$13,1)))/(INDEX(Report_Scenarios!$A$7:$A$13,MIN(MATCH(MEDIAN($B75-Conversion!$B$14,2020,2050),Report_Scenarios!$A$7:$A$13,1)+1,7))-INDEX(Report_Scenarios!$A$7:$A$13,MATCH(MEDIAN($B75-Conversion!$B$14,2020,2050),Report_Scenarios!$A$7:$A$13,1)))),IF($D75="Central",IF(INDEX(Report_Scenarios!$A$18:$A$24,MIN(MATCH(MEDIAN($B75-Conversion!$B$14,2020,2050),Report_Scenarios!$A$18:$A$24,1)+1,7))=INDEX(Report_Scenarios!$A$18:$A$24,MATCH(MEDIAN($B75-Conversion!$B$14,2020,2050),Report_Scenarios!$A$18:$A$24,1)),INDEX(Report_Scenarios!$D$18:$D$24,MATCH(MEDIAN($B75-Conversion!$B$14,2020,2050),Report_Scenarios!$A$18:$A$24,1)),INDEX(Report_Scenarios!$D$18:$D$24,MATCH(MEDIAN($B75-Conversion!$B$14,2020,2050),Report_Scenarios!$A$18:$A$24,1))+(INDEX(Report_Scenarios!$D$18:$D$24,MIN(MATCH(MEDIAN($B75-Conversion!$B$14,2020,2050),Report_Scenarios!$A$18:$A$24,1)+1,7))-INDEX(Report_Scenarios!$D$18:$D$24,MATCH(MEDIAN($B75-Conversion!$B$14,2020,2050),Report_Scenarios!$A$18:$A$24,1)))*(MEDIAN($B75-Conversion!$B$14,2020,2050)-INDEX(Report_Scenarios!$A$18:$A$24,MATCH(MEDIAN($B75-Conversion!$B$14,2020,2050),Report_Scenarios!$A$18:$A$24,1)))/(INDEX(Report_Scenarios!$A$18:$A$24,MIN(MATCH(MEDIAN($B75-Conversion!$B$14,2020,2050),Report_Scenarios!$A$18:$A$24,1)+1,7))-INDEX(Report_Scenarios!$A$18:$A$24,MATCH(MEDIAN($B75-Conversion!$B$14,2020,2050),Report_Scenarios!$A$18:$A$24,1)))),IF(INDEX(Report_Scenarios!$A$29:$A$35,MIN(MATCH(MEDIAN($B75-Conversion!$B$14,2020,2050),Report_Scenarios!$A$29:$A$35,1)+1,7))=INDEX(Report_Scenarios!$A$29:$A$35,MATCH(MEDIAN($B75-Conversion!$B$14,2020,2050),Report_Scenarios!$A$29:$A$35,1)),INDEX(Report_Scenarios!$D$29:$D$35,MATCH(MEDIAN($B75-Conversion!$B$14,2020,2050),Report_Scenarios!$A$29:$A$35,1)),INDEX(Report_Scenarios!$D$29:$D$35,MATCH(MEDIAN($B75-Conversion!$B$14,2020,2050),Report_Scenarios!$A$29:$A$35,1))+(INDEX(Report_Scenarios!$D$29:$D$35,MIN(MATCH(MEDIAN($B75-Conversion!$B$14,2020,2050),Report_Scenarios!$A$29:$A$35,1)+1,7))-INDEX(Report_Scenarios!$D$29:$D$35,MATCH(MEDIAN($B75-Conversion!$B$14,2020,2050),Report_Scenarios!$A$29:$A$35,1)))*(MEDIAN($B75-Conversion!$B$14,2020,2050)-INDEX(Report_Scenarios!$A$29:$A$35,MATCH(MEDIAN($B75-Conversion!$B$14,2020,2050),Report_Scenarios!$A$29:$A$35,1)))/(INDEX(Report_Scenarios!$A$29:$A$35,MIN(MATCH(MEDIAN($B75-Conversion!$B$14,2020,2050),Report_Scenarios!$A$29:$A$35,1)+1,7))-INDEX(Report_Scenarios!$A$29:$A$35,MATCH(MEDIAN($B75-Conversion!$B$14,2020,2050),Report_Scenarios!$A$29:$A$35,1))))))</f>
        <v/>
      </c>
      <c r="H75" s="23">
        <f>IF($D75="Conservative",IF(INDEX(Report_Scenarios!$A$7:$A$13,MIN(MATCH(MEDIAN($B75-Conversion!$B$14,2020,2050),Report_Scenarios!$A$7:$A$13,1)+1,7))=INDEX(Report_Scenarios!$A$7:$A$13,MATCH(MEDIAN($B75-Conversion!$B$14,2020,2050),Report_Scenarios!$A$7:$A$13,1)),INDEX(Report_Scenarios!$E$7:$E$13,MATCH(MEDIAN($B75-Conversion!$B$14,2020,2050),Report_Scenarios!$A$7:$A$13,1)),INDEX(Report_Scenarios!$E$7:$E$13,MATCH(MEDIAN($B75-Conversion!$B$14,2020,2050),Report_Scenarios!$A$7:$A$13,1))+(INDEX(Report_Scenarios!$E$7:$E$13,MIN(MATCH(MEDIAN($B75-Conversion!$B$14,2020,2050),Report_Scenarios!$A$7:$A$13,1)+1,7))-INDEX(Report_Scenarios!$E$7:$E$13,MATCH(MEDIAN($B75-Conversion!$B$14,2020,2050),Report_Scenarios!$A$7:$A$13,1)))*(MEDIAN($B75-Conversion!$B$14,2020,2050)-INDEX(Report_Scenarios!$A$7:$A$13,MATCH(MEDIAN($B75-Conversion!$B$14,2020,2050),Report_Scenarios!$A$7:$A$13,1)))/(INDEX(Report_Scenarios!$A$7:$A$13,MIN(MATCH(MEDIAN($B75-Conversion!$B$14,2020,2050),Report_Scenarios!$A$7:$A$13,1)+1,7))-INDEX(Report_Scenarios!$A$7:$A$13,MATCH(MEDIAN($B75-Conversion!$B$14,2020,2050),Report_Scenarios!$A$7:$A$13,1)))),IF($D75="Central",IF(INDEX(Report_Scenarios!$A$18:$A$24,MIN(MATCH(MEDIAN($B75-Conversion!$B$14,2020,2050),Report_Scenarios!$A$18:$A$24,1)+1,7))=INDEX(Report_Scenarios!$A$18:$A$24,MATCH(MEDIAN($B75-Conversion!$B$14,2020,2050),Report_Scenarios!$A$18:$A$24,1)),INDEX(Report_Scenarios!$E$18:$E$24,MATCH(MEDIAN($B75-Conversion!$B$14,2020,2050),Report_Scenarios!$A$18:$A$24,1)),INDEX(Report_Scenarios!$E$18:$E$24,MATCH(MEDIAN($B75-Conversion!$B$14,2020,2050),Report_Scenarios!$A$18:$A$24,1))+(INDEX(Report_Scenarios!$E$18:$E$24,MIN(MATCH(MEDIAN($B75-Conversion!$B$14,2020,2050),Report_Scenarios!$A$18:$A$24,1)+1,7))-INDEX(Report_Scenarios!$E$18:$E$24,MATCH(MEDIAN($B75-Conversion!$B$14,2020,2050),Report_Scenarios!$A$18:$A$24,1)))*(MEDIAN($B75-Conversion!$B$14,2020,2050)-INDEX(Report_Scenarios!$A$18:$A$24,MATCH(MEDIAN($B75-Conversion!$B$14,2020,2050),Report_Scenarios!$A$18:$A$24,1)))/(INDEX(Report_Scenarios!$A$18:$A$24,MIN(MATCH(MEDIAN($B75-Conversion!$B$14,2020,2050),Report_Scenarios!$A$18:$A$24,1)+1,7))-INDEX(Report_Scenarios!$A$18:$A$24,MATCH(MEDIAN($B75-Conversion!$B$14,2020,2050),Report_Scenarios!$A$18:$A$24,1)))),IF(INDEX(Report_Scenarios!$A$29:$A$35,MIN(MATCH(MEDIAN($B75-Conversion!$B$14,2020,2050),Report_Scenarios!$A$29:$A$35,1)+1,7))=INDEX(Report_Scenarios!$A$29:$A$35,MATCH(MEDIAN($B75-Conversion!$B$14,2020,2050),Report_Scenarios!$A$29:$A$35,1)),INDEX(Report_Scenarios!$E$29:$E$35,MATCH(MEDIAN($B75-Conversion!$B$14,2020,2050),Report_Scenarios!$A$29:$A$35,1)),INDEX(Report_Scenarios!$E$29:$E$35,MATCH(MEDIAN($B75-Conversion!$B$14,2020,2050),Report_Scenarios!$A$29:$A$35,1))+(INDEX(Report_Scenarios!$E$29:$E$35,MIN(MATCH(MEDIAN($B75-Conversion!$B$14,2020,2050),Report_Scenarios!$A$29:$A$35,1)+1,7))-INDEX(Report_Scenarios!$E$29:$E$35,MATCH(MEDIAN($B75-Conversion!$B$14,2020,2050),Report_Scenarios!$A$29:$A$35,1)))*(MEDIAN($B75-Conversion!$B$14,2020,2050)-INDEX(Report_Scenarios!$A$29:$A$35,MATCH(MEDIAN($B75-Conversion!$B$14,2020,2050),Report_Scenarios!$A$29:$A$35,1)))/(INDEX(Report_Scenarios!$A$29:$A$35,MIN(MATCH(MEDIAN($B75-Conversion!$B$14,2020,2050),Report_Scenarios!$A$29:$A$35,1)+1,7))-INDEX(Report_Scenarios!$A$29:$A$35,MATCH(MEDIAN($B75-Conversion!$B$14,2020,2050),Report_Scenarios!$A$29:$A$35,1))))))</f>
        <v/>
      </c>
      <c r="I75" s="23">
        <f>IF($D75="Conservative",IF(INDEX(Report_Scenarios!$A$7:$A$13,MIN(MATCH(MEDIAN($B75-Conversion!$B$14,2020,2050),Report_Scenarios!$A$7:$A$13,1)+1,7))=INDEX(Report_Scenarios!$A$7:$A$13,MATCH(MEDIAN($B75-Conversion!$B$14,2020,2050),Report_Scenarios!$A$7:$A$13,1)),INDEX(Report_Scenarios!$F$7:$F$13,MATCH(MEDIAN($B75-Conversion!$B$14,2020,2050),Report_Scenarios!$A$7:$A$13,1)),INDEX(Report_Scenarios!$F$7:$F$13,MATCH(MEDIAN($B75-Conversion!$B$14,2020,2050),Report_Scenarios!$A$7:$A$13,1))+(INDEX(Report_Scenarios!$F$7:$F$13,MIN(MATCH(MEDIAN($B75-Conversion!$B$14,2020,2050),Report_Scenarios!$A$7:$A$13,1)+1,7))-INDEX(Report_Scenarios!$F$7:$F$13,MATCH(MEDIAN($B75-Conversion!$B$14,2020,2050),Report_Scenarios!$A$7:$A$13,1)))*(MEDIAN($B75-Conversion!$B$14,2020,2050)-INDEX(Report_Scenarios!$A$7:$A$13,MATCH(MEDIAN($B75-Conversion!$B$14,2020,2050),Report_Scenarios!$A$7:$A$13,1)))/(INDEX(Report_Scenarios!$A$7:$A$13,MIN(MATCH(MEDIAN($B75-Conversion!$B$14,2020,2050),Report_Scenarios!$A$7:$A$13,1)+1,7))-INDEX(Report_Scenarios!$A$7:$A$13,MATCH(MEDIAN($B75-Conversion!$B$14,2020,2050),Report_Scenarios!$A$7:$A$13,1)))),IF($D75="Central",IF(INDEX(Report_Scenarios!$A$18:$A$24,MIN(MATCH(MEDIAN($B75-Conversion!$B$14,2020,2050),Report_Scenarios!$A$18:$A$24,1)+1,7))=INDEX(Report_Scenarios!$A$18:$A$24,MATCH(MEDIAN($B75-Conversion!$B$14,2020,2050),Report_Scenarios!$A$18:$A$24,1)),INDEX(Report_Scenarios!$F$18:$F$24,MATCH(MEDIAN($B75-Conversion!$B$14,2020,2050),Report_Scenarios!$A$18:$A$24,1)),INDEX(Report_Scenarios!$F$18:$F$24,MATCH(MEDIAN($B75-Conversion!$B$14,2020,2050),Report_Scenarios!$A$18:$A$24,1))+(INDEX(Report_Scenarios!$F$18:$F$24,MIN(MATCH(MEDIAN($B75-Conversion!$B$14,2020,2050),Report_Scenarios!$A$18:$A$24,1)+1,7))-INDEX(Report_Scenarios!$F$18:$F$24,MATCH(MEDIAN($B75-Conversion!$B$14,2020,2050),Report_Scenarios!$A$18:$A$24,1)))*(MEDIAN($B75-Conversion!$B$14,2020,2050)-INDEX(Report_Scenarios!$A$18:$A$24,MATCH(MEDIAN($B75-Conversion!$B$14,2020,2050),Report_Scenarios!$A$18:$A$24,1)))/(INDEX(Report_Scenarios!$A$18:$A$24,MIN(MATCH(MEDIAN($B75-Conversion!$B$14,2020,2050),Report_Scenarios!$A$18:$A$24,1)+1,7))-INDEX(Report_Scenarios!$A$18:$A$24,MATCH(MEDIAN($B75-Conversion!$B$14,2020,2050),Report_Scenarios!$A$18:$A$24,1)))),IF(INDEX(Report_Scenarios!$A$29:$A$35,MIN(MATCH(MEDIAN($B75-Conversion!$B$14,2020,2050),Report_Scenarios!$A$29:$A$35,1)+1,7))=INDEX(Report_Scenarios!$A$29:$A$35,MATCH(MEDIAN($B75-Conversion!$B$14,2020,2050),Report_Scenarios!$A$29:$A$35,1)),INDEX(Report_Scenarios!$F$29:$F$35,MATCH(MEDIAN($B75-Conversion!$B$14,2020,2050),Report_Scenarios!$A$29:$A$35,1)),INDEX(Report_Scenarios!$F$29:$F$35,MATCH(MEDIAN($B75-Conversion!$B$14,2020,2050),Report_Scenarios!$A$29:$A$35,1))+(INDEX(Report_Scenarios!$F$29:$F$35,MIN(MATCH(MEDIAN($B75-Conversion!$B$14,2020,2050),Report_Scenarios!$A$29:$A$35,1)+1,7))-INDEX(Report_Scenarios!$F$29:$F$35,MATCH(MEDIAN($B75-Conversion!$B$14,2020,2050),Report_Scenarios!$A$29:$A$35,1)))*(MEDIAN($B75-Conversion!$B$14,2020,2050)-INDEX(Report_Scenarios!$A$29:$A$35,MATCH(MEDIAN($B75-Conversion!$B$14,2020,2050),Report_Scenarios!$A$29:$A$35,1)))/(INDEX(Report_Scenarios!$A$29:$A$35,MIN(MATCH(MEDIAN($B75-Conversion!$B$14,2020,2050),Report_Scenarios!$A$29:$A$35,1)+1,7))-INDEX(Report_Scenarios!$A$29:$A$35,MATCH(MEDIAN($B75-Conversion!$B$14,2020,2050),Report_Scenarios!$A$29:$A$35,1))))))</f>
        <v/>
      </c>
      <c r="J75" s="23">
        <f>IF($D75="Conservative",IF(INDEX(Report_Scenarios!$A$7:$A$13,MIN(MATCH(MEDIAN($B75-Conversion!$B$14,2020,2050),Report_Scenarios!$A$7:$A$13,1)+1,7))=INDEX(Report_Scenarios!$A$7:$A$13,MATCH(MEDIAN($B75-Conversion!$B$14,2020,2050),Report_Scenarios!$A$7:$A$13,1)),INDEX(Report_Scenarios!$G$7:$G$13,MATCH(MEDIAN($B75-Conversion!$B$14,2020,2050),Report_Scenarios!$A$7:$A$13,1)),INDEX(Report_Scenarios!$G$7:$G$13,MATCH(MEDIAN($B75-Conversion!$B$14,2020,2050),Report_Scenarios!$A$7:$A$13,1))+(INDEX(Report_Scenarios!$G$7:$G$13,MIN(MATCH(MEDIAN($B75-Conversion!$B$14,2020,2050),Report_Scenarios!$A$7:$A$13,1)+1,7))-INDEX(Report_Scenarios!$G$7:$G$13,MATCH(MEDIAN($B75-Conversion!$B$14,2020,2050),Report_Scenarios!$A$7:$A$13,1)))*(MEDIAN($B75-Conversion!$B$14,2020,2050)-INDEX(Report_Scenarios!$A$7:$A$13,MATCH(MEDIAN($B75-Conversion!$B$14,2020,2050),Report_Scenarios!$A$7:$A$13,1)))/(INDEX(Report_Scenarios!$A$7:$A$13,MIN(MATCH(MEDIAN($B75-Conversion!$B$14,2020,2050),Report_Scenarios!$A$7:$A$13,1)+1,7))-INDEX(Report_Scenarios!$A$7:$A$13,MATCH(MEDIAN($B75-Conversion!$B$14,2020,2050),Report_Scenarios!$A$7:$A$13,1)))),IF($D75="Central",IF(INDEX(Report_Scenarios!$A$18:$A$24,MIN(MATCH(MEDIAN($B75-Conversion!$B$14,2020,2050),Report_Scenarios!$A$18:$A$24,1)+1,7))=INDEX(Report_Scenarios!$A$18:$A$24,MATCH(MEDIAN($B75-Conversion!$B$14,2020,2050),Report_Scenarios!$A$18:$A$24,1)),INDEX(Report_Scenarios!$G$18:$G$24,MATCH(MEDIAN($B75-Conversion!$B$14,2020,2050),Report_Scenarios!$A$18:$A$24,1)),INDEX(Report_Scenarios!$G$18:$G$24,MATCH(MEDIAN($B75-Conversion!$B$14,2020,2050),Report_Scenarios!$A$18:$A$24,1))+(INDEX(Report_Scenarios!$G$18:$G$24,MIN(MATCH(MEDIAN($B75-Conversion!$B$14,2020,2050),Report_Scenarios!$A$18:$A$24,1)+1,7))-INDEX(Report_Scenarios!$G$18:$G$24,MATCH(MEDIAN($B75-Conversion!$B$14,2020,2050),Report_Scenarios!$A$18:$A$24,1)))*(MEDIAN($B75-Conversion!$B$14,2020,2050)-INDEX(Report_Scenarios!$A$18:$A$24,MATCH(MEDIAN($B75-Conversion!$B$14,2020,2050),Report_Scenarios!$A$18:$A$24,1)))/(INDEX(Report_Scenarios!$A$18:$A$24,MIN(MATCH(MEDIAN($B75-Conversion!$B$14,2020,2050),Report_Scenarios!$A$18:$A$24,1)+1,7))-INDEX(Report_Scenarios!$A$18:$A$24,MATCH(MEDIAN($B75-Conversion!$B$14,2020,2050),Report_Scenarios!$A$18:$A$24,1)))),IF(INDEX(Report_Scenarios!$A$29:$A$35,MIN(MATCH(MEDIAN($B75-Conversion!$B$14,2020,2050),Report_Scenarios!$A$29:$A$35,1)+1,7))=INDEX(Report_Scenarios!$A$29:$A$35,MATCH(MEDIAN($B75-Conversion!$B$14,2020,2050),Report_Scenarios!$A$29:$A$35,1)),INDEX(Report_Scenarios!$G$29:$G$35,MATCH(MEDIAN($B75-Conversion!$B$14,2020,2050),Report_Scenarios!$A$29:$A$35,1)),INDEX(Report_Scenarios!$G$29:$G$35,MATCH(MEDIAN($B75-Conversion!$B$14,2020,2050),Report_Scenarios!$A$29:$A$35,1))+(INDEX(Report_Scenarios!$G$29:$G$35,MIN(MATCH(MEDIAN($B75-Conversion!$B$14,2020,2050),Report_Scenarios!$A$29:$A$35,1)+1,7))-INDEX(Report_Scenarios!$G$29:$G$35,MATCH(MEDIAN($B75-Conversion!$B$14,2020,2050),Report_Scenarios!$A$29:$A$35,1)))*(MEDIAN($B75-Conversion!$B$14,2020,2050)-INDEX(Report_Scenarios!$A$29:$A$35,MATCH(MEDIAN($B75-Conversion!$B$14,2020,2050),Report_Scenarios!$A$29:$A$35,1)))/(INDEX(Report_Scenarios!$A$29:$A$35,MIN(MATCH(MEDIAN($B75-Conversion!$B$14,2020,2050),Report_Scenarios!$A$29:$A$35,1)+1,7))-INDEX(Report_Scenarios!$A$29:$A$35,MATCH(MEDIAN($B75-Conversion!$B$14,2020,2050),Report_Scenarios!$A$29:$A$35,1))))))</f>
        <v/>
      </c>
      <c r="K75" s="23">
        <f>SUM(E75:J75)</f>
        <v/>
      </c>
      <c r="L75" s="23">
        <f>IF(R75&lt;&gt;"",R75,IF($K75=0,0,E75/$K75))</f>
        <v/>
      </c>
      <c r="M75" s="23">
        <f>IF(S75&lt;&gt;"",S75,IF($K75=0,0,F75/$K75))</f>
        <v/>
      </c>
      <c r="N75" s="23">
        <f>IF(T75&lt;&gt;"",T75,IF($K75=0,0,G75/$K75))</f>
        <v/>
      </c>
      <c r="O75" s="23">
        <f>IF(U75&lt;&gt;"",U75,IF($K75=0,0,H75/$K75))</f>
        <v/>
      </c>
      <c r="P75" s="23">
        <f>IF(V75&lt;&gt;"",V75,IF($K75=0,0,I75/$K75))</f>
        <v/>
      </c>
      <c r="Q75" s="23">
        <f>IF(W75&lt;&gt;"",W75,IF($K75=0,0,J75/$K75))</f>
        <v/>
      </c>
      <c r="R75" s="24" t="n"/>
      <c r="S75" s="24" t="n"/>
      <c r="T75" s="24" t="n"/>
      <c r="U75" s="24" t="n"/>
      <c r="V75" s="24" t="n"/>
      <c r="W75" s="24" t="n"/>
    </row>
    <row r="76">
      <c r="A76" s="4" t="inlineStr">
        <is>
          <t>EF</t>
        </is>
      </c>
      <c r="B76" s="4" t="n">
        <v>2035</v>
      </c>
      <c r="C76" s="4" t="inlineStr">
        <is>
          <t>Share_Max</t>
        </is>
      </c>
      <c r="D76" s="4">
        <f>Conversion!$B$20</f>
        <v/>
      </c>
      <c r="E76" s="23">
        <f>IF($D76="Conservative",IF(INDEX(Report_Scenarios!$A$7:$A$13,MIN(MATCH(MEDIAN($B76-Conversion!$B$14,2020,2050),Report_Scenarios!$A$7:$A$13,1)+1,7))=INDEX(Report_Scenarios!$A$7:$A$13,MATCH(MEDIAN($B76-Conversion!$B$14,2020,2050),Report_Scenarios!$A$7:$A$13,1)),INDEX(Report_Scenarios!$B$7:$B$13,MATCH(MEDIAN($B76-Conversion!$B$14,2020,2050),Report_Scenarios!$A$7:$A$13,1)),INDEX(Report_Scenarios!$B$7:$B$13,MATCH(MEDIAN($B76-Conversion!$B$14,2020,2050),Report_Scenarios!$A$7:$A$13,1))+(INDEX(Report_Scenarios!$B$7:$B$13,MIN(MATCH(MEDIAN($B76-Conversion!$B$14,2020,2050),Report_Scenarios!$A$7:$A$13,1)+1,7))-INDEX(Report_Scenarios!$B$7:$B$13,MATCH(MEDIAN($B76-Conversion!$B$14,2020,2050),Report_Scenarios!$A$7:$A$13,1)))*(MEDIAN($B76-Conversion!$B$14,2020,2050)-INDEX(Report_Scenarios!$A$7:$A$13,MATCH(MEDIAN($B76-Conversion!$B$14,2020,2050),Report_Scenarios!$A$7:$A$13,1)))/(INDEX(Report_Scenarios!$A$7:$A$13,MIN(MATCH(MEDIAN($B76-Conversion!$B$14,2020,2050),Report_Scenarios!$A$7:$A$13,1)+1,7))-INDEX(Report_Scenarios!$A$7:$A$13,MATCH(MEDIAN($B76-Conversion!$B$14,2020,2050),Report_Scenarios!$A$7:$A$13,1)))),IF($D76="Central",IF(INDEX(Report_Scenarios!$A$18:$A$24,MIN(MATCH(MEDIAN($B76-Conversion!$B$14,2020,2050),Report_Scenarios!$A$18:$A$24,1)+1,7))=INDEX(Report_Scenarios!$A$18:$A$24,MATCH(MEDIAN($B76-Conversion!$B$14,2020,2050),Report_Scenarios!$A$18:$A$24,1)),INDEX(Report_Scenarios!$B$18:$B$24,MATCH(MEDIAN($B76-Conversion!$B$14,2020,2050),Report_Scenarios!$A$18:$A$24,1)),INDEX(Report_Scenarios!$B$18:$B$24,MATCH(MEDIAN($B76-Conversion!$B$14,2020,2050),Report_Scenarios!$A$18:$A$24,1))+(INDEX(Report_Scenarios!$B$18:$B$24,MIN(MATCH(MEDIAN($B76-Conversion!$B$14,2020,2050),Report_Scenarios!$A$18:$A$24,1)+1,7))-INDEX(Report_Scenarios!$B$18:$B$24,MATCH(MEDIAN($B76-Conversion!$B$14,2020,2050),Report_Scenarios!$A$18:$A$24,1)))*(MEDIAN($B76-Conversion!$B$14,2020,2050)-INDEX(Report_Scenarios!$A$18:$A$24,MATCH(MEDIAN($B76-Conversion!$B$14,2020,2050),Report_Scenarios!$A$18:$A$24,1)))/(INDEX(Report_Scenarios!$A$18:$A$24,MIN(MATCH(MEDIAN($B76-Conversion!$B$14,2020,2050),Report_Scenarios!$A$18:$A$24,1)+1,7))-INDEX(Report_Scenarios!$A$18:$A$24,MATCH(MEDIAN($B76-Conversion!$B$14,2020,2050),Report_Scenarios!$A$18:$A$24,1)))),IF(INDEX(Report_Scenarios!$A$29:$A$35,MIN(MATCH(MEDIAN($B76-Conversion!$B$14,2020,2050),Report_Scenarios!$A$29:$A$35,1)+1,7))=INDEX(Report_Scenarios!$A$29:$A$35,MATCH(MEDIAN($B76-Conversion!$B$14,2020,2050),Report_Scenarios!$A$29:$A$35,1)),INDEX(Report_Scenarios!$B$29:$B$35,MATCH(MEDIAN($B76-Conversion!$B$14,2020,2050),Report_Scenarios!$A$29:$A$35,1)),INDEX(Report_Scenarios!$B$29:$B$35,MATCH(MEDIAN($B76-Conversion!$B$14,2020,2050),Report_Scenarios!$A$29:$A$35,1))+(INDEX(Report_Scenarios!$B$29:$B$35,MIN(MATCH(MEDIAN($B76-Conversion!$B$14,2020,2050),Report_Scenarios!$A$29:$A$35,1)+1,7))-INDEX(Report_Scenarios!$B$29:$B$35,MATCH(MEDIAN($B76-Conversion!$B$14,2020,2050),Report_Scenarios!$A$29:$A$35,1)))*(MEDIAN($B76-Conversion!$B$14,2020,2050)-INDEX(Report_Scenarios!$A$29:$A$35,MATCH(MEDIAN($B76-Conversion!$B$14,2020,2050),Report_Scenarios!$A$29:$A$35,1)))/(INDEX(Report_Scenarios!$A$29:$A$35,MIN(MATCH(MEDIAN($B76-Conversion!$B$14,2020,2050),Report_Scenarios!$A$29:$A$35,1)+1,7))-INDEX(Report_Scenarios!$A$29:$A$35,MATCH(MEDIAN($B76-Conversion!$B$14,2020,2050),Report_Scenarios!$A$29:$A$35,1))))))</f>
        <v/>
      </c>
      <c r="F76" s="23">
        <f>IF($D76="Conservative",IF(INDEX(Report_Scenarios!$A$7:$A$13,MIN(MATCH(MEDIAN($B76-Conversion!$B$14,2020,2050),Report_Scenarios!$A$7:$A$13,1)+1,7))=INDEX(Report_Scenarios!$A$7:$A$13,MATCH(MEDIAN($B76-Conversion!$B$14,2020,2050),Report_Scenarios!$A$7:$A$13,1)),INDEX(Report_Scenarios!$C$7:$C$13,MATCH(MEDIAN($B76-Conversion!$B$14,2020,2050),Report_Scenarios!$A$7:$A$13,1)),INDEX(Report_Scenarios!$C$7:$C$13,MATCH(MEDIAN($B76-Conversion!$B$14,2020,2050),Report_Scenarios!$A$7:$A$13,1))+(INDEX(Report_Scenarios!$C$7:$C$13,MIN(MATCH(MEDIAN($B76-Conversion!$B$14,2020,2050),Report_Scenarios!$A$7:$A$13,1)+1,7))-INDEX(Report_Scenarios!$C$7:$C$13,MATCH(MEDIAN($B76-Conversion!$B$14,2020,2050),Report_Scenarios!$A$7:$A$13,1)))*(MEDIAN($B76-Conversion!$B$14,2020,2050)-INDEX(Report_Scenarios!$A$7:$A$13,MATCH(MEDIAN($B76-Conversion!$B$14,2020,2050),Report_Scenarios!$A$7:$A$13,1)))/(INDEX(Report_Scenarios!$A$7:$A$13,MIN(MATCH(MEDIAN($B76-Conversion!$B$14,2020,2050),Report_Scenarios!$A$7:$A$13,1)+1,7))-INDEX(Report_Scenarios!$A$7:$A$13,MATCH(MEDIAN($B76-Conversion!$B$14,2020,2050),Report_Scenarios!$A$7:$A$13,1)))),IF($D76="Central",IF(INDEX(Report_Scenarios!$A$18:$A$24,MIN(MATCH(MEDIAN($B76-Conversion!$B$14,2020,2050),Report_Scenarios!$A$18:$A$24,1)+1,7))=INDEX(Report_Scenarios!$A$18:$A$24,MATCH(MEDIAN($B76-Conversion!$B$14,2020,2050),Report_Scenarios!$A$18:$A$24,1)),INDEX(Report_Scenarios!$C$18:$C$24,MATCH(MEDIAN($B76-Conversion!$B$14,2020,2050),Report_Scenarios!$A$18:$A$24,1)),INDEX(Report_Scenarios!$C$18:$C$24,MATCH(MEDIAN($B76-Conversion!$B$14,2020,2050),Report_Scenarios!$A$18:$A$24,1))+(INDEX(Report_Scenarios!$C$18:$C$24,MIN(MATCH(MEDIAN($B76-Conversion!$B$14,2020,2050),Report_Scenarios!$A$18:$A$24,1)+1,7))-INDEX(Report_Scenarios!$C$18:$C$24,MATCH(MEDIAN($B76-Conversion!$B$14,2020,2050),Report_Scenarios!$A$18:$A$24,1)))*(MEDIAN($B76-Conversion!$B$14,2020,2050)-INDEX(Report_Scenarios!$A$18:$A$24,MATCH(MEDIAN($B76-Conversion!$B$14,2020,2050),Report_Scenarios!$A$18:$A$24,1)))/(INDEX(Report_Scenarios!$A$18:$A$24,MIN(MATCH(MEDIAN($B76-Conversion!$B$14,2020,2050),Report_Scenarios!$A$18:$A$24,1)+1,7))-INDEX(Report_Scenarios!$A$18:$A$24,MATCH(MEDIAN($B76-Conversion!$B$14,2020,2050),Report_Scenarios!$A$18:$A$24,1)))),IF(INDEX(Report_Scenarios!$A$29:$A$35,MIN(MATCH(MEDIAN($B76-Conversion!$B$14,2020,2050),Report_Scenarios!$A$29:$A$35,1)+1,7))=INDEX(Report_Scenarios!$A$29:$A$35,MATCH(MEDIAN($B76-Conversion!$B$14,2020,2050),Report_Scenarios!$A$29:$A$35,1)),INDEX(Report_Scenarios!$C$29:$C$35,MATCH(MEDIAN($B76-Conversion!$B$14,2020,2050),Report_Scenarios!$A$29:$A$35,1)),INDEX(Report_Scenarios!$C$29:$C$35,MATCH(MEDIAN($B76-Conversion!$B$14,2020,2050),Report_Scenarios!$A$29:$A$35,1))+(INDEX(Report_Scenarios!$C$29:$C$35,MIN(MATCH(MEDIAN($B76-Conversion!$B$14,2020,2050),Report_Scenarios!$A$29:$A$35,1)+1,7))-INDEX(Report_Scenarios!$C$29:$C$35,MATCH(MEDIAN($B76-Conversion!$B$14,2020,2050),Report_Scenarios!$A$29:$A$35,1)))*(MEDIAN($B76-Conversion!$B$14,2020,2050)-INDEX(Report_Scenarios!$A$29:$A$35,MATCH(MEDIAN($B76-Conversion!$B$14,2020,2050),Report_Scenarios!$A$29:$A$35,1)))/(INDEX(Report_Scenarios!$A$29:$A$35,MIN(MATCH(MEDIAN($B76-Conversion!$B$14,2020,2050),Report_Scenarios!$A$29:$A$35,1)+1,7))-INDEX(Report_Scenarios!$A$29:$A$35,MATCH(MEDIAN($B76-Conversion!$B$14,2020,2050),Report_Scenarios!$A$29:$A$35,1))))))</f>
        <v/>
      </c>
      <c r="G76" s="23">
        <f>IF($D76="Conservative",IF(INDEX(Report_Scenarios!$A$7:$A$13,MIN(MATCH(MEDIAN($B76-Conversion!$B$14,2020,2050),Report_Scenarios!$A$7:$A$13,1)+1,7))=INDEX(Report_Scenarios!$A$7:$A$13,MATCH(MEDIAN($B76-Conversion!$B$14,2020,2050),Report_Scenarios!$A$7:$A$13,1)),INDEX(Report_Scenarios!$D$7:$D$13,MATCH(MEDIAN($B76-Conversion!$B$14,2020,2050),Report_Scenarios!$A$7:$A$13,1)),INDEX(Report_Scenarios!$D$7:$D$13,MATCH(MEDIAN($B76-Conversion!$B$14,2020,2050),Report_Scenarios!$A$7:$A$13,1))+(INDEX(Report_Scenarios!$D$7:$D$13,MIN(MATCH(MEDIAN($B76-Conversion!$B$14,2020,2050),Report_Scenarios!$A$7:$A$13,1)+1,7))-INDEX(Report_Scenarios!$D$7:$D$13,MATCH(MEDIAN($B76-Conversion!$B$14,2020,2050),Report_Scenarios!$A$7:$A$13,1)))*(MEDIAN($B76-Conversion!$B$14,2020,2050)-INDEX(Report_Scenarios!$A$7:$A$13,MATCH(MEDIAN($B76-Conversion!$B$14,2020,2050),Report_Scenarios!$A$7:$A$13,1)))/(INDEX(Report_Scenarios!$A$7:$A$13,MIN(MATCH(MEDIAN($B76-Conversion!$B$14,2020,2050),Report_Scenarios!$A$7:$A$13,1)+1,7))-INDEX(Report_Scenarios!$A$7:$A$13,MATCH(MEDIAN($B76-Conversion!$B$14,2020,2050),Report_Scenarios!$A$7:$A$13,1)))),IF($D76="Central",IF(INDEX(Report_Scenarios!$A$18:$A$24,MIN(MATCH(MEDIAN($B76-Conversion!$B$14,2020,2050),Report_Scenarios!$A$18:$A$24,1)+1,7))=INDEX(Report_Scenarios!$A$18:$A$24,MATCH(MEDIAN($B76-Conversion!$B$14,2020,2050),Report_Scenarios!$A$18:$A$24,1)),INDEX(Report_Scenarios!$D$18:$D$24,MATCH(MEDIAN($B76-Conversion!$B$14,2020,2050),Report_Scenarios!$A$18:$A$24,1)),INDEX(Report_Scenarios!$D$18:$D$24,MATCH(MEDIAN($B76-Conversion!$B$14,2020,2050),Report_Scenarios!$A$18:$A$24,1))+(INDEX(Report_Scenarios!$D$18:$D$24,MIN(MATCH(MEDIAN($B76-Conversion!$B$14,2020,2050),Report_Scenarios!$A$18:$A$24,1)+1,7))-INDEX(Report_Scenarios!$D$18:$D$24,MATCH(MEDIAN($B76-Conversion!$B$14,2020,2050),Report_Scenarios!$A$18:$A$24,1)))*(MEDIAN($B76-Conversion!$B$14,2020,2050)-INDEX(Report_Scenarios!$A$18:$A$24,MATCH(MEDIAN($B76-Conversion!$B$14,2020,2050),Report_Scenarios!$A$18:$A$24,1)))/(INDEX(Report_Scenarios!$A$18:$A$24,MIN(MATCH(MEDIAN($B76-Conversion!$B$14,2020,2050),Report_Scenarios!$A$18:$A$24,1)+1,7))-INDEX(Report_Scenarios!$A$18:$A$24,MATCH(MEDIAN($B76-Conversion!$B$14,2020,2050),Report_Scenarios!$A$18:$A$24,1)))),IF(INDEX(Report_Scenarios!$A$29:$A$35,MIN(MATCH(MEDIAN($B76-Conversion!$B$14,2020,2050),Report_Scenarios!$A$29:$A$35,1)+1,7))=INDEX(Report_Scenarios!$A$29:$A$35,MATCH(MEDIAN($B76-Conversion!$B$14,2020,2050),Report_Scenarios!$A$29:$A$35,1)),INDEX(Report_Scenarios!$D$29:$D$35,MATCH(MEDIAN($B76-Conversion!$B$14,2020,2050),Report_Scenarios!$A$29:$A$35,1)),INDEX(Report_Scenarios!$D$29:$D$35,MATCH(MEDIAN($B76-Conversion!$B$14,2020,2050),Report_Scenarios!$A$29:$A$35,1))+(INDEX(Report_Scenarios!$D$29:$D$35,MIN(MATCH(MEDIAN($B76-Conversion!$B$14,2020,2050),Report_Scenarios!$A$29:$A$35,1)+1,7))-INDEX(Report_Scenarios!$D$29:$D$35,MATCH(MEDIAN($B76-Conversion!$B$14,2020,2050),Report_Scenarios!$A$29:$A$35,1)))*(MEDIAN($B76-Conversion!$B$14,2020,2050)-INDEX(Report_Scenarios!$A$29:$A$35,MATCH(MEDIAN($B76-Conversion!$B$14,2020,2050),Report_Scenarios!$A$29:$A$35,1)))/(INDEX(Report_Scenarios!$A$29:$A$35,MIN(MATCH(MEDIAN($B76-Conversion!$B$14,2020,2050),Report_Scenarios!$A$29:$A$35,1)+1,7))-INDEX(Report_Scenarios!$A$29:$A$35,MATCH(MEDIAN($B76-Conversion!$B$14,2020,2050),Report_Scenarios!$A$29:$A$35,1))))))</f>
        <v/>
      </c>
      <c r="H76" s="23">
        <f>IF($D76="Conservative",IF(INDEX(Report_Scenarios!$A$7:$A$13,MIN(MATCH(MEDIAN($B76-Conversion!$B$14,2020,2050),Report_Scenarios!$A$7:$A$13,1)+1,7))=INDEX(Report_Scenarios!$A$7:$A$13,MATCH(MEDIAN($B76-Conversion!$B$14,2020,2050),Report_Scenarios!$A$7:$A$13,1)),INDEX(Report_Scenarios!$E$7:$E$13,MATCH(MEDIAN($B76-Conversion!$B$14,2020,2050),Report_Scenarios!$A$7:$A$13,1)),INDEX(Report_Scenarios!$E$7:$E$13,MATCH(MEDIAN($B76-Conversion!$B$14,2020,2050),Report_Scenarios!$A$7:$A$13,1))+(INDEX(Report_Scenarios!$E$7:$E$13,MIN(MATCH(MEDIAN($B76-Conversion!$B$14,2020,2050),Report_Scenarios!$A$7:$A$13,1)+1,7))-INDEX(Report_Scenarios!$E$7:$E$13,MATCH(MEDIAN($B76-Conversion!$B$14,2020,2050),Report_Scenarios!$A$7:$A$13,1)))*(MEDIAN($B76-Conversion!$B$14,2020,2050)-INDEX(Report_Scenarios!$A$7:$A$13,MATCH(MEDIAN($B76-Conversion!$B$14,2020,2050),Report_Scenarios!$A$7:$A$13,1)))/(INDEX(Report_Scenarios!$A$7:$A$13,MIN(MATCH(MEDIAN($B76-Conversion!$B$14,2020,2050),Report_Scenarios!$A$7:$A$13,1)+1,7))-INDEX(Report_Scenarios!$A$7:$A$13,MATCH(MEDIAN($B76-Conversion!$B$14,2020,2050),Report_Scenarios!$A$7:$A$13,1)))),IF($D76="Central",IF(INDEX(Report_Scenarios!$A$18:$A$24,MIN(MATCH(MEDIAN($B76-Conversion!$B$14,2020,2050),Report_Scenarios!$A$18:$A$24,1)+1,7))=INDEX(Report_Scenarios!$A$18:$A$24,MATCH(MEDIAN($B76-Conversion!$B$14,2020,2050),Report_Scenarios!$A$18:$A$24,1)),INDEX(Report_Scenarios!$E$18:$E$24,MATCH(MEDIAN($B76-Conversion!$B$14,2020,2050),Report_Scenarios!$A$18:$A$24,1)),INDEX(Report_Scenarios!$E$18:$E$24,MATCH(MEDIAN($B76-Conversion!$B$14,2020,2050),Report_Scenarios!$A$18:$A$24,1))+(INDEX(Report_Scenarios!$E$18:$E$24,MIN(MATCH(MEDIAN($B76-Conversion!$B$14,2020,2050),Report_Scenarios!$A$18:$A$24,1)+1,7))-INDEX(Report_Scenarios!$E$18:$E$24,MATCH(MEDIAN($B76-Conversion!$B$14,2020,2050),Report_Scenarios!$A$18:$A$24,1)))*(MEDIAN($B76-Conversion!$B$14,2020,2050)-INDEX(Report_Scenarios!$A$18:$A$24,MATCH(MEDIAN($B76-Conversion!$B$14,2020,2050),Report_Scenarios!$A$18:$A$24,1)))/(INDEX(Report_Scenarios!$A$18:$A$24,MIN(MATCH(MEDIAN($B76-Conversion!$B$14,2020,2050),Report_Scenarios!$A$18:$A$24,1)+1,7))-INDEX(Report_Scenarios!$A$18:$A$24,MATCH(MEDIAN($B76-Conversion!$B$14,2020,2050),Report_Scenarios!$A$18:$A$24,1)))),IF(INDEX(Report_Scenarios!$A$29:$A$35,MIN(MATCH(MEDIAN($B76-Conversion!$B$14,2020,2050),Report_Scenarios!$A$29:$A$35,1)+1,7))=INDEX(Report_Scenarios!$A$29:$A$35,MATCH(MEDIAN($B76-Conversion!$B$14,2020,2050),Report_Scenarios!$A$29:$A$35,1)),INDEX(Report_Scenarios!$E$29:$E$35,MATCH(MEDIAN($B76-Conversion!$B$14,2020,2050),Report_Scenarios!$A$29:$A$35,1)),INDEX(Report_Scenarios!$E$29:$E$35,MATCH(MEDIAN($B76-Conversion!$B$14,2020,2050),Report_Scenarios!$A$29:$A$35,1))+(INDEX(Report_Scenarios!$E$29:$E$35,MIN(MATCH(MEDIAN($B76-Conversion!$B$14,2020,2050),Report_Scenarios!$A$29:$A$35,1)+1,7))-INDEX(Report_Scenarios!$E$29:$E$35,MATCH(MEDIAN($B76-Conversion!$B$14,2020,2050),Report_Scenarios!$A$29:$A$35,1)))*(MEDIAN($B76-Conversion!$B$14,2020,2050)-INDEX(Report_Scenarios!$A$29:$A$35,MATCH(MEDIAN($B76-Conversion!$B$14,2020,2050),Report_Scenarios!$A$29:$A$35,1)))/(INDEX(Report_Scenarios!$A$29:$A$35,MIN(MATCH(MEDIAN($B76-Conversion!$B$14,2020,2050),Report_Scenarios!$A$29:$A$35,1)+1,7))-INDEX(Report_Scenarios!$A$29:$A$35,MATCH(MEDIAN($B76-Conversion!$B$14,2020,2050),Report_Scenarios!$A$29:$A$35,1))))))</f>
        <v/>
      </c>
      <c r="I76" s="23">
        <f>IF($D76="Conservative",IF(INDEX(Report_Scenarios!$A$7:$A$13,MIN(MATCH(MEDIAN($B76-Conversion!$B$14,2020,2050),Report_Scenarios!$A$7:$A$13,1)+1,7))=INDEX(Report_Scenarios!$A$7:$A$13,MATCH(MEDIAN($B76-Conversion!$B$14,2020,2050),Report_Scenarios!$A$7:$A$13,1)),INDEX(Report_Scenarios!$F$7:$F$13,MATCH(MEDIAN($B76-Conversion!$B$14,2020,2050),Report_Scenarios!$A$7:$A$13,1)),INDEX(Report_Scenarios!$F$7:$F$13,MATCH(MEDIAN($B76-Conversion!$B$14,2020,2050),Report_Scenarios!$A$7:$A$13,1))+(INDEX(Report_Scenarios!$F$7:$F$13,MIN(MATCH(MEDIAN($B76-Conversion!$B$14,2020,2050),Report_Scenarios!$A$7:$A$13,1)+1,7))-INDEX(Report_Scenarios!$F$7:$F$13,MATCH(MEDIAN($B76-Conversion!$B$14,2020,2050),Report_Scenarios!$A$7:$A$13,1)))*(MEDIAN($B76-Conversion!$B$14,2020,2050)-INDEX(Report_Scenarios!$A$7:$A$13,MATCH(MEDIAN($B76-Conversion!$B$14,2020,2050),Report_Scenarios!$A$7:$A$13,1)))/(INDEX(Report_Scenarios!$A$7:$A$13,MIN(MATCH(MEDIAN($B76-Conversion!$B$14,2020,2050),Report_Scenarios!$A$7:$A$13,1)+1,7))-INDEX(Report_Scenarios!$A$7:$A$13,MATCH(MEDIAN($B76-Conversion!$B$14,2020,2050),Report_Scenarios!$A$7:$A$13,1)))),IF($D76="Central",IF(INDEX(Report_Scenarios!$A$18:$A$24,MIN(MATCH(MEDIAN($B76-Conversion!$B$14,2020,2050),Report_Scenarios!$A$18:$A$24,1)+1,7))=INDEX(Report_Scenarios!$A$18:$A$24,MATCH(MEDIAN($B76-Conversion!$B$14,2020,2050),Report_Scenarios!$A$18:$A$24,1)),INDEX(Report_Scenarios!$F$18:$F$24,MATCH(MEDIAN($B76-Conversion!$B$14,2020,2050),Report_Scenarios!$A$18:$A$24,1)),INDEX(Report_Scenarios!$F$18:$F$24,MATCH(MEDIAN($B76-Conversion!$B$14,2020,2050),Report_Scenarios!$A$18:$A$24,1))+(INDEX(Report_Scenarios!$F$18:$F$24,MIN(MATCH(MEDIAN($B76-Conversion!$B$14,2020,2050),Report_Scenarios!$A$18:$A$24,1)+1,7))-INDEX(Report_Scenarios!$F$18:$F$24,MATCH(MEDIAN($B76-Conversion!$B$14,2020,2050),Report_Scenarios!$A$18:$A$24,1)))*(MEDIAN($B76-Conversion!$B$14,2020,2050)-INDEX(Report_Scenarios!$A$18:$A$24,MATCH(MEDIAN($B76-Conversion!$B$14,2020,2050),Report_Scenarios!$A$18:$A$24,1)))/(INDEX(Report_Scenarios!$A$18:$A$24,MIN(MATCH(MEDIAN($B76-Conversion!$B$14,2020,2050),Report_Scenarios!$A$18:$A$24,1)+1,7))-INDEX(Report_Scenarios!$A$18:$A$24,MATCH(MEDIAN($B76-Conversion!$B$14,2020,2050),Report_Scenarios!$A$18:$A$24,1)))),IF(INDEX(Report_Scenarios!$A$29:$A$35,MIN(MATCH(MEDIAN($B76-Conversion!$B$14,2020,2050),Report_Scenarios!$A$29:$A$35,1)+1,7))=INDEX(Report_Scenarios!$A$29:$A$35,MATCH(MEDIAN($B76-Conversion!$B$14,2020,2050),Report_Scenarios!$A$29:$A$35,1)),INDEX(Report_Scenarios!$F$29:$F$35,MATCH(MEDIAN($B76-Conversion!$B$14,2020,2050),Report_Scenarios!$A$29:$A$35,1)),INDEX(Report_Scenarios!$F$29:$F$35,MATCH(MEDIAN($B76-Conversion!$B$14,2020,2050),Report_Scenarios!$A$29:$A$35,1))+(INDEX(Report_Scenarios!$F$29:$F$35,MIN(MATCH(MEDIAN($B76-Conversion!$B$14,2020,2050),Report_Scenarios!$A$29:$A$35,1)+1,7))-INDEX(Report_Scenarios!$F$29:$F$35,MATCH(MEDIAN($B76-Conversion!$B$14,2020,2050),Report_Scenarios!$A$29:$A$35,1)))*(MEDIAN($B76-Conversion!$B$14,2020,2050)-INDEX(Report_Scenarios!$A$29:$A$35,MATCH(MEDIAN($B76-Conversion!$B$14,2020,2050),Report_Scenarios!$A$29:$A$35,1)))/(INDEX(Report_Scenarios!$A$29:$A$35,MIN(MATCH(MEDIAN($B76-Conversion!$B$14,2020,2050),Report_Scenarios!$A$29:$A$35,1)+1,7))-INDEX(Report_Scenarios!$A$29:$A$35,MATCH(MEDIAN($B76-Conversion!$B$14,2020,2050),Report_Scenarios!$A$29:$A$35,1))))))</f>
        <v/>
      </c>
      <c r="J76" s="23">
        <f>IF($D76="Conservative",IF(INDEX(Report_Scenarios!$A$7:$A$13,MIN(MATCH(MEDIAN($B76-Conversion!$B$14,2020,2050),Report_Scenarios!$A$7:$A$13,1)+1,7))=INDEX(Report_Scenarios!$A$7:$A$13,MATCH(MEDIAN($B76-Conversion!$B$14,2020,2050),Report_Scenarios!$A$7:$A$13,1)),INDEX(Report_Scenarios!$G$7:$G$13,MATCH(MEDIAN($B76-Conversion!$B$14,2020,2050),Report_Scenarios!$A$7:$A$13,1)),INDEX(Report_Scenarios!$G$7:$G$13,MATCH(MEDIAN($B76-Conversion!$B$14,2020,2050),Report_Scenarios!$A$7:$A$13,1))+(INDEX(Report_Scenarios!$G$7:$G$13,MIN(MATCH(MEDIAN($B76-Conversion!$B$14,2020,2050),Report_Scenarios!$A$7:$A$13,1)+1,7))-INDEX(Report_Scenarios!$G$7:$G$13,MATCH(MEDIAN($B76-Conversion!$B$14,2020,2050),Report_Scenarios!$A$7:$A$13,1)))*(MEDIAN($B76-Conversion!$B$14,2020,2050)-INDEX(Report_Scenarios!$A$7:$A$13,MATCH(MEDIAN($B76-Conversion!$B$14,2020,2050),Report_Scenarios!$A$7:$A$13,1)))/(INDEX(Report_Scenarios!$A$7:$A$13,MIN(MATCH(MEDIAN($B76-Conversion!$B$14,2020,2050),Report_Scenarios!$A$7:$A$13,1)+1,7))-INDEX(Report_Scenarios!$A$7:$A$13,MATCH(MEDIAN($B76-Conversion!$B$14,2020,2050),Report_Scenarios!$A$7:$A$13,1)))),IF($D76="Central",IF(INDEX(Report_Scenarios!$A$18:$A$24,MIN(MATCH(MEDIAN($B76-Conversion!$B$14,2020,2050),Report_Scenarios!$A$18:$A$24,1)+1,7))=INDEX(Report_Scenarios!$A$18:$A$24,MATCH(MEDIAN($B76-Conversion!$B$14,2020,2050),Report_Scenarios!$A$18:$A$24,1)),INDEX(Report_Scenarios!$G$18:$G$24,MATCH(MEDIAN($B76-Conversion!$B$14,2020,2050),Report_Scenarios!$A$18:$A$24,1)),INDEX(Report_Scenarios!$G$18:$G$24,MATCH(MEDIAN($B76-Conversion!$B$14,2020,2050),Report_Scenarios!$A$18:$A$24,1))+(INDEX(Report_Scenarios!$G$18:$G$24,MIN(MATCH(MEDIAN($B76-Conversion!$B$14,2020,2050),Report_Scenarios!$A$18:$A$24,1)+1,7))-INDEX(Report_Scenarios!$G$18:$G$24,MATCH(MEDIAN($B76-Conversion!$B$14,2020,2050),Report_Scenarios!$A$18:$A$24,1)))*(MEDIAN($B76-Conversion!$B$14,2020,2050)-INDEX(Report_Scenarios!$A$18:$A$24,MATCH(MEDIAN($B76-Conversion!$B$14,2020,2050),Report_Scenarios!$A$18:$A$24,1)))/(INDEX(Report_Scenarios!$A$18:$A$24,MIN(MATCH(MEDIAN($B76-Conversion!$B$14,2020,2050),Report_Scenarios!$A$18:$A$24,1)+1,7))-INDEX(Report_Scenarios!$A$18:$A$24,MATCH(MEDIAN($B76-Conversion!$B$14,2020,2050),Report_Scenarios!$A$18:$A$24,1)))),IF(INDEX(Report_Scenarios!$A$29:$A$35,MIN(MATCH(MEDIAN($B76-Conversion!$B$14,2020,2050),Report_Scenarios!$A$29:$A$35,1)+1,7))=INDEX(Report_Scenarios!$A$29:$A$35,MATCH(MEDIAN($B76-Conversion!$B$14,2020,2050),Report_Scenarios!$A$29:$A$35,1)),INDEX(Report_Scenarios!$G$29:$G$35,MATCH(MEDIAN($B76-Conversion!$B$14,2020,2050),Report_Scenarios!$A$29:$A$35,1)),INDEX(Report_Scenarios!$G$29:$G$35,MATCH(MEDIAN($B76-Conversion!$B$14,2020,2050),Report_Scenarios!$A$29:$A$35,1))+(INDEX(Report_Scenarios!$G$29:$G$35,MIN(MATCH(MEDIAN($B76-Conversion!$B$14,2020,2050),Report_Scenarios!$A$29:$A$35,1)+1,7))-INDEX(Report_Scenarios!$G$29:$G$35,MATCH(MEDIAN($B76-Conversion!$B$14,2020,2050),Report_Scenarios!$A$29:$A$35,1)))*(MEDIAN($B76-Conversion!$B$14,2020,2050)-INDEX(Report_Scenarios!$A$29:$A$35,MATCH(MEDIAN($B76-Conversion!$B$14,2020,2050),Report_Scenarios!$A$29:$A$35,1)))/(INDEX(Report_Scenarios!$A$29:$A$35,MIN(MATCH(MEDIAN($B76-Conversion!$B$14,2020,2050),Report_Scenarios!$A$29:$A$35,1)+1,7))-INDEX(Report_Scenarios!$A$29:$A$35,MATCH(MEDIAN($B76-Conversion!$B$14,2020,2050),Report_Scenarios!$A$29:$A$35,1))))))</f>
        <v/>
      </c>
      <c r="K76" s="23">
        <f>SUM(E76:J76)</f>
        <v/>
      </c>
      <c r="L76" s="23">
        <f>IF(R76&lt;&gt;"",R76,IF($K76=0,0,E76/$K76))</f>
        <v/>
      </c>
      <c r="M76" s="23">
        <f>IF(S76&lt;&gt;"",S76,IF($K76=0,0,F76/$K76))</f>
        <v/>
      </c>
      <c r="N76" s="23">
        <f>IF(T76&lt;&gt;"",T76,IF($K76=0,0,G76/$K76))</f>
        <v/>
      </c>
      <c r="O76" s="23">
        <f>IF(U76&lt;&gt;"",U76,IF($K76=0,0,H76/$K76))</f>
        <v/>
      </c>
      <c r="P76" s="23">
        <f>IF(V76&lt;&gt;"",V76,IF($K76=0,0,I76/$K76))</f>
        <v/>
      </c>
      <c r="Q76" s="23">
        <f>IF(W76&lt;&gt;"",W76,IF($K76=0,0,J76/$K76))</f>
        <v/>
      </c>
      <c r="R76" s="24" t="n"/>
      <c r="S76" s="24" t="n"/>
      <c r="T76" s="24" t="n"/>
      <c r="U76" s="24" t="n"/>
      <c r="V76" s="24" t="n"/>
      <c r="W76" s="24" t="n"/>
    </row>
    <row r="77">
      <c r="A77" s="4" t="inlineStr">
        <is>
          <t>EF</t>
        </is>
      </c>
      <c r="B77" s="4" t="n">
        <v>2040</v>
      </c>
      <c r="C77" s="4" t="inlineStr">
        <is>
          <t>Share_Min</t>
        </is>
      </c>
      <c r="D77" s="4">
        <f>Conversion!$B$18</f>
        <v/>
      </c>
      <c r="E77" s="23">
        <f>IF($D77="Conservative",IF(INDEX(Report_Scenarios!$A$7:$A$13,MIN(MATCH(MEDIAN($B77-Conversion!$B$14,2020,2050),Report_Scenarios!$A$7:$A$13,1)+1,7))=INDEX(Report_Scenarios!$A$7:$A$13,MATCH(MEDIAN($B77-Conversion!$B$14,2020,2050),Report_Scenarios!$A$7:$A$13,1)),INDEX(Report_Scenarios!$B$7:$B$13,MATCH(MEDIAN($B77-Conversion!$B$14,2020,2050),Report_Scenarios!$A$7:$A$13,1)),INDEX(Report_Scenarios!$B$7:$B$13,MATCH(MEDIAN($B77-Conversion!$B$14,2020,2050),Report_Scenarios!$A$7:$A$13,1))+(INDEX(Report_Scenarios!$B$7:$B$13,MIN(MATCH(MEDIAN($B77-Conversion!$B$14,2020,2050),Report_Scenarios!$A$7:$A$13,1)+1,7))-INDEX(Report_Scenarios!$B$7:$B$13,MATCH(MEDIAN($B77-Conversion!$B$14,2020,2050),Report_Scenarios!$A$7:$A$13,1)))*(MEDIAN($B77-Conversion!$B$14,2020,2050)-INDEX(Report_Scenarios!$A$7:$A$13,MATCH(MEDIAN($B77-Conversion!$B$14,2020,2050),Report_Scenarios!$A$7:$A$13,1)))/(INDEX(Report_Scenarios!$A$7:$A$13,MIN(MATCH(MEDIAN($B77-Conversion!$B$14,2020,2050),Report_Scenarios!$A$7:$A$13,1)+1,7))-INDEX(Report_Scenarios!$A$7:$A$13,MATCH(MEDIAN($B77-Conversion!$B$14,2020,2050),Report_Scenarios!$A$7:$A$13,1)))),IF($D77="Central",IF(INDEX(Report_Scenarios!$A$18:$A$24,MIN(MATCH(MEDIAN($B77-Conversion!$B$14,2020,2050),Report_Scenarios!$A$18:$A$24,1)+1,7))=INDEX(Report_Scenarios!$A$18:$A$24,MATCH(MEDIAN($B77-Conversion!$B$14,2020,2050),Report_Scenarios!$A$18:$A$24,1)),INDEX(Report_Scenarios!$B$18:$B$24,MATCH(MEDIAN($B77-Conversion!$B$14,2020,2050),Report_Scenarios!$A$18:$A$24,1)),INDEX(Report_Scenarios!$B$18:$B$24,MATCH(MEDIAN($B77-Conversion!$B$14,2020,2050),Report_Scenarios!$A$18:$A$24,1))+(INDEX(Report_Scenarios!$B$18:$B$24,MIN(MATCH(MEDIAN($B77-Conversion!$B$14,2020,2050),Report_Scenarios!$A$18:$A$24,1)+1,7))-INDEX(Report_Scenarios!$B$18:$B$24,MATCH(MEDIAN($B77-Conversion!$B$14,2020,2050),Report_Scenarios!$A$18:$A$24,1)))*(MEDIAN($B77-Conversion!$B$14,2020,2050)-INDEX(Report_Scenarios!$A$18:$A$24,MATCH(MEDIAN($B77-Conversion!$B$14,2020,2050),Report_Scenarios!$A$18:$A$24,1)))/(INDEX(Report_Scenarios!$A$18:$A$24,MIN(MATCH(MEDIAN($B77-Conversion!$B$14,2020,2050),Report_Scenarios!$A$18:$A$24,1)+1,7))-INDEX(Report_Scenarios!$A$18:$A$24,MATCH(MEDIAN($B77-Conversion!$B$14,2020,2050),Report_Scenarios!$A$18:$A$24,1)))),IF(INDEX(Report_Scenarios!$A$29:$A$35,MIN(MATCH(MEDIAN($B77-Conversion!$B$14,2020,2050),Report_Scenarios!$A$29:$A$35,1)+1,7))=INDEX(Report_Scenarios!$A$29:$A$35,MATCH(MEDIAN($B77-Conversion!$B$14,2020,2050),Report_Scenarios!$A$29:$A$35,1)),INDEX(Report_Scenarios!$B$29:$B$35,MATCH(MEDIAN($B77-Conversion!$B$14,2020,2050),Report_Scenarios!$A$29:$A$35,1)),INDEX(Report_Scenarios!$B$29:$B$35,MATCH(MEDIAN($B77-Conversion!$B$14,2020,2050),Report_Scenarios!$A$29:$A$35,1))+(INDEX(Report_Scenarios!$B$29:$B$35,MIN(MATCH(MEDIAN($B77-Conversion!$B$14,2020,2050),Report_Scenarios!$A$29:$A$35,1)+1,7))-INDEX(Report_Scenarios!$B$29:$B$35,MATCH(MEDIAN($B77-Conversion!$B$14,2020,2050),Report_Scenarios!$A$29:$A$35,1)))*(MEDIAN($B77-Conversion!$B$14,2020,2050)-INDEX(Report_Scenarios!$A$29:$A$35,MATCH(MEDIAN($B77-Conversion!$B$14,2020,2050),Report_Scenarios!$A$29:$A$35,1)))/(INDEX(Report_Scenarios!$A$29:$A$35,MIN(MATCH(MEDIAN($B77-Conversion!$B$14,2020,2050),Report_Scenarios!$A$29:$A$35,1)+1,7))-INDEX(Report_Scenarios!$A$29:$A$35,MATCH(MEDIAN($B77-Conversion!$B$14,2020,2050),Report_Scenarios!$A$29:$A$35,1))))))</f>
        <v/>
      </c>
      <c r="F77" s="23">
        <f>IF($D77="Conservative",IF(INDEX(Report_Scenarios!$A$7:$A$13,MIN(MATCH(MEDIAN($B77-Conversion!$B$14,2020,2050),Report_Scenarios!$A$7:$A$13,1)+1,7))=INDEX(Report_Scenarios!$A$7:$A$13,MATCH(MEDIAN($B77-Conversion!$B$14,2020,2050),Report_Scenarios!$A$7:$A$13,1)),INDEX(Report_Scenarios!$C$7:$C$13,MATCH(MEDIAN($B77-Conversion!$B$14,2020,2050),Report_Scenarios!$A$7:$A$13,1)),INDEX(Report_Scenarios!$C$7:$C$13,MATCH(MEDIAN($B77-Conversion!$B$14,2020,2050),Report_Scenarios!$A$7:$A$13,1))+(INDEX(Report_Scenarios!$C$7:$C$13,MIN(MATCH(MEDIAN($B77-Conversion!$B$14,2020,2050),Report_Scenarios!$A$7:$A$13,1)+1,7))-INDEX(Report_Scenarios!$C$7:$C$13,MATCH(MEDIAN($B77-Conversion!$B$14,2020,2050),Report_Scenarios!$A$7:$A$13,1)))*(MEDIAN($B77-Conversion!$B$14,2020,2050)-INDEX(Report_Scenarios!$A$7:$A$13,MATCH(MEDIAN($B77-Conversion!$B$14,2020,2050),Report_Scenarios!$A$7:$A$13,1)))/(INDEX(Report_Scenarios!$A$7:$A$13,MIN(MATCH(MEDIAN($B77-Conversion!$B$14,2020,2050),Report_Scenarios!$A$7:$A$13,1)+1,7))-INDEX(Report_Scenarios!$A$7:$A$13,MATCH(MEDIAN($B77-Conversion!$B$14,2020,2050),Report_Scenarios!$A$7:$A$13,1)))),IF($D77="Central",IF(INDEX(Report_Scenarios!$A$18:$A$24,MIN(MATCH(MEDIAN($B77-Conversion!$B$14,2020,2050),Report_Scenarios!$A$18:$A$24,1)+1,7))=INDEX(Report_Scenarios!$A$18:$A$24,MATCH(MEDIAN($B77-Conversion!$B$14,2020,2050),Report_Scenarios!$A$18:$A$24,1)),INDEX(Report_Scenarios!$C$18:$C$24,MATCH(MEDIAN($B77-Conversion!$B$14,2020,2050),Report_Scenarios!$A$18:$A$24,1)),INDEX(Report_Scenarios!$C$18:$C$24,MATCH(MEDIAN($B77-Conversion!$B$14,2020,2050),Report_Scenarios!$A$18:$A$24,1))+(INDEX(Report_Scenarios!$C$18:$C$24,MIN(MATCH(MEDIAN($B77-Conversion!$B$14,2020,2050),Report_Scenarios!$A$18:$A$24,1)+1,7))-INDEX(Report_Scenarios!$C$18:$C$24,MATCH(MEDIAN($B77-Conversion!$B$14,2020,2050),Report_Scenarios!$A$18:$A$24,1)))*(MEDIAN($B77-Conversion!$B$14,2020,2050)-INDEX(Report_Scenarios!$A$18:$A$24,MATCH(MEDIAN($B77-Conversion!$B$14,2020,2050),Report_Scenarios!$A$18:$A$24,1)))/(INDEX(Report_Scenarios!$A$18:$A$24,MIN(MATCH(MEDIAN($B77-Conversion!$B$14,2020,2050),Report_Scenarios!$A$18:$A$24,1)+1,7))-INDEX(Report_Scenarios!$A$18:$A$24,MATCH(MEDIAN($B77-Conversion!$B$14,2020,2050),Report_Scenarios!$A$18:$A$24,1)))),IF(INDEX(Report_Scenarios!$A$29:$A$35,MIN(MATCH(MEDIAN($B77-Conversion!$B$14,2020,2050),Report_Scenarios!$A$29:$A$35,1)+1,7))=INDEX(Report_Scenarios!$A$29:$A$35,MATCH(MEDIAN($B77-Conversion!$B$14,2020,2050),Report_Scenarios!$A$29:$A$35,1)),INDEX(Report_Scenarios!$C$29:$C$35,MATCH(MEDIAN($B77-Conversion!$B$14,2020,2050),Report_Scenarios!$A$29:$A$35,1)),INDEX(Report_Scenarios!$C$29:$C$35,MATCH(MEDIAN($B77-Conversion!$B$14,2020,2050),Report_Scenarios!$A$29:$A$35,1))+(INDEX(Report_Scenarios!$C$29:$C$35,MIN(MATCH(MEDIAN($B77-Conversion!$B$14,2020,2050),Report_Scenarios!$A$29:$A$35,1)+1,7))-INDEX(Report_Scenarios!$C$29:$C$35,MATCH(MEDIAN($B77-Conversion!$B$14,2020,2050),Report_Scenarios!$A$29:$A$35,1)))*(MEDIAN($B77-Conversion!$B$14,2020,2050)-INDEX(Report_Scenarios!$A$29:$A$35,MATCH(MEDIAN($B77-Conversion!$B$14,2020,2050),Report_Scenarios!$A$29:$A$35,1)))/(INDEX(Report_Scenarios!$A$29:$A$35,MIN(MATCH(MEDIAN($B77-Conversion!$B$14,2020,2050),Report_Scenarios!$A$29:$A$35,1)+1,7))-INDEX(Report_Scenarios!$A$29:$A$35,MATCH(MEDIAN($B77-Conversion!$B$14,2020,2050),Report_Scenarios!$A$29:$A$35,1))))))</f>
        <v/>
      </c>
      <c r="G77" s="23">
        <f>IF($D77="Conservative",IF(INDEX(Report_Scenarios!$A$7:$A$13,MIN(MATCH(MEDIAN($B77-Conversion!$B$14,2020,2050),Report_Scenarios!$A$7:$A$13,1)+1,7))=INDEX(Report_Scenarios!$A$7:$A$13,MATCH(MEDIAN($B77-Conversion!$B$14,2020,2050),Report_Scenarios!$A$7:$A$13,1)),INDEX(Report_Scenarios!$D$7:$D$13,MATCH(MEDIAN($B77-Conversion!$B$14,2020,2050),Report_Scenarios!$A$7:$A$13,1)),INDEX(Report_Scenarios!$D$7:$D$13,MATCH(MEDIAN($B77-Conversion!$B$14,2020,2050),Report_Scenarios!$A$7:$A$13,1))+(INDEX(Report_Scenarios!$D$7:$D$13,MIN(MATCH(MEDIAN($B77-Conversion!$B$14,2020,2050),Report_Scenarios!$A$7:$A$13,1)+1,7))-INDEX(Report_Scenarios!$D$7:$D$13,MATCH(MEDIAN($B77-Conversion!$B$14,2020,2050),Report_Scenarios!$A$7:$A$13,1)))*(MEDIAN($B77-Conversion!$B$14,2020,2050)-INDEX(Report_Scenarios!$A$7:$A$13,MATCH(MEDIAN($B77-Conversion!$B$14,2020,2050),Report_Scenarios!$A$7:$A$13,1)))/(INDEX(Report_Scenarios!$A$7:$A$13,MIN(MATCH(MEDIAN($B77-Conversion!$B$14,2020,2050),Report_Scenarios!$A$7:$A$13,1)+1,7))-INDEX(Report_Scenarios!$A$7:$A$13,MATCH(MEDIAN($B77-Conversion!$B$14,2020,2050),Report_Scenarios!$A$7:$A$13,1)))),IF($D77="Central",IF(INDEX(Report_Scenarios!$A$18:$A$24,MIN(MATCH(MEDIAN($B77-Conversion!$B$14,2020,2050),Report_Scenarios!$A$18:$A$24,1)+1,7))=INDEX(Report_Scenarios!$A$18:$A$24,MATCH(MEDIAN($B77-Conversion!$B$14,2020,2050),Report_Scenarios!$A$18:$A$24,1)),INDEX(Report_Scenarios!$D$18:$D$24,MATCH(MEDIAN($B77-Conversion!$B$14,2020,2050),Report_Scenarios!$A$18:$A$24,1)),INDEX(Report_Scenarios!$D$18:$D$24,MATCH(MEDIAN($B77-Conversion!$B$14,2020,2050),Report_Scenarios!$A$18:$A$24,1))+(INDEX(Report_Scenarios!$D$18:$D$24,MIN(MATCH(MEDIAN($B77-Conversion!$B$14,2020,2050),Report_Scenarios!$A$18:$A$24,1)+1,7))-INDEX(Report_Scenarios!$D$18:$D$24,MATCH(MEDIAN($B77-Conversion!$B$14,2020,2050),Report_Scenarios!$A$18:$A$24,1)))*(MEDIAN($B77-Conversion!$B$14,2020,2050)-INDEX(Report_Scenarios!$A$18:$A$24,MATCH(MEDIAN($B77-Conversion!$B$14,2020,2050),Report_Scenarios!$A$18:$A$24,1)))/(INDEX(Report_Scenarios!$A$18:$A$24,MIN(MATCH(MEDIAN($B77-Conversion!$B$14,2020,2050),Report_Scenarios!$A$18:$A$24,1)+1,7))-INDEX(Report_Scenarios!$A$18:$A$24,MATCH(MEDIAN($B77-Conversion!$B$14,2020,2050),Report_Scenarios!$A$18:$A$24,1)))),IF(INDEX(Report_Scenarios!$A$29:$A$35,MIN(MATCH(MEDIAN($B77-Conversion!$B$14,2020,2050),Report_Scenarios!$A$29:$A$35,1)+1,7))=INDEX(Report_Scenarios!$A$29:$A$35,MATCH(MEDIAN($B77-Conversion!$B$14,2020,2050),Report_Scenarios!$A$29:$A$35,1)),INDEX(Report_Scenarios!$D$29:$D$35,MATCH(MEDIAN($B77-Conversion!$B$14,2020,2050),Report_Scenarios!$A$29:$A$35,1)),INDEX(Report_Scenarios!$D$29:$D$35,MATCH(MEDIAN($B77-Conversion!$B$14,2020,2050),Report_Scenarios!$A$29:$A$35,1))+(INDEX(Report_Scenarios!$D$29:$D$35,MIN(MATCH(MEDIAN($B77-Conversion!$B$14,2020,2050),Report_Scenarios!$A$29:$A$35,1)+1,7))-INDEX(Report_Scenarios!$D$29:$D$35,MATCH(MEDIAN($B77-Conversion!$B$14,2020,2050),Report_Scenarios!$A$29:$A$35,1)))*(MEDIAN($B77-Conversion!$B$14,2020,2050)-INDEX(Report_Scenarios!$A$29:$A$35,MATCH(MEDIAN($B77-Conversion!$B$14,2020,2050),Report_Scenarios!$A$29:$A$35,1)))/(INDEX(Report_Scenarios!$A$29:$A$35,MIN(MATCH(MEDIAN($B77-Conversion!$B$14,2020,2050),Report_Scenarios!$A$29:$A$35,1)+1,7))-INDEX(Report_Scenarios!$A$29:$A$35,MATCH(MEDIAN($B77-Conversion!$B$14,2020,2050),Report_Scenarios!$A$29:$A$35,1))))))</f>
        <v/>
      </c>
      <c r="H77" s="23">
        <f>IF($D77="Conservative",IF(INDEX(Report_Scenarios!$A$7:$A$13,MIN(MATCH(MEDIAN($B77-Conversion!$B$14,2020,2050),Report_Scenarios!$A$7:$A$13,1)+1,7))=INDEX(Report_Scenarios!$A$7:$A$13,MATCH(MEDIAN($B77-Conversion!$B$14,2020,2050),Report_Scenarios!$A$7:$A$13,1)),INDEX(Report_Scenarios!$E$7:$E$13,MATCH(MEDIAN($B77-Conversion!$B$14,2020,2050),Report_Scenarios!$A$7:$A$13,1)),INDEX(Report_Scenarios!$E$7:$E$13,MATCH(MEDIAN($B77-Conversion!$B$14,2020,2050),Report_Scenarios!$A$7:$A$13,1))+(INDEX(Report_Scenarios!$E$7:$E$13,MIN(MATCH(MEDIAN($B77-Conversion!$B$14,2020,2050),Report_Scenarios!$A$7:$A$13,1)+1,7))-INDEX(Report_Scenarios!$E$7:$E$13,MATCH(MEDIAN($B77-Conversion!$B$14,2020,2050),Report_Scenarios!$A$7:$A$13,1)))*(MEDIAN($B77-Conversion!$B$14,2020,2050)-INDEX(Report_Scenarios!$A$7:$A$13,MATCH(MEDIAN($B77-Conversion!$B$14,2020,2050),Report_Scenarios!$A$7:$A$13,1)))/(INDEX(Report_Scenarios!$A$7:$A$13,MIN(MATCH(MEDIAN($B77-Conversion!$B$14,2020,2050),Report_Scenarios!$A$7:$A$13,1)+1,7))-INDEX(Report_Scenarios!$A$7:$A$13,MATCH(MEDIAN($B77-Conversion!$B$14,2020,2050),Report_Scenarios!$A$7:$A$13,1)))),IF($D77="Central",IF(INDEX(Report_Scenarios!$A$18:$A$24,MIN(MATCH(MEDIAN($B77-Conversion!$B$14,2020,2050),Report_Scenarios!$A$18:$A$24,1)+1,7))=INDEX(Report_Scenarios!$A$18:$A$24,MATCH(MEDIAN($B77-Conversion!$B$14,2020,2050),Report_Scenarios!$A$18:$A$24,1)),INDEX(Report_Scenarios!$E$18:$E$24,MATCH(MEDIAN($B77-Conversion!$B$14,2020,2050),Report_Scenarios!$A$18:$A$24,1)),INDEX(Report_Scenarios!$E$18:$E$24,MATCH(MEDIAN($B77-Conversion!$B$14,2020,2050),Report_Scenarios!$A$18:$A$24,1))+(INDEX(Report_Scenarios!$E$18:$E$24,MIN(MATCH(MEDIAN($B77-Conversion!$B$14,2020,2050),Report_Scenarios!$A$18:$A$24,1)+1,7))-INDEX(Report_Scenarios!$E$18:$E$24,MATCH(MEDIAN($B77-Conversion!$B$14,2020,2050),Report_Scenarios!$A$18:$A$24,1)))*(MEDIAN($B77-Conversion!$B$14,2020,2050)-INDEX(Report_Scenarios!$A$18:$A$24,MATCH(MEDIAN($B77-Conversion!$B$14,2020,2050),Report_Scenarios!$A$18:$A$24,1)))/(INDEX(Report_Scenarios!$A$18:$A$24,MIN(MATCH(MEDIAN($B77-Conversion!$B$14,2020,2050),Report_Scenarios!$A$18:$A$24,1)+1,7))-INDEX(Report_Scenarios!$A$18:$A$24,MATCH(MEDIAN($B77-Conversion!$B$14,2020,2050),Report_Scenarios!$A$18:$A$24,1)))),IF(INDEX(Report_Scenarios!$A$29:$A$35,MIN(MATCH(MEDIAN($B77-Conversion!$B$14,2020,2050),Report_Scenarios!$A$29:$A$35,1)+1,7))=INDEX(Report_Scenarios!$A$29:$A$35,MATCH(MEDIAN($B77-Conversion!$B$14,2020,2050),Report_Scenarios!$A$29:$A$35,1)),INDEX(Report_Scenarios!$E$29:$E$35,MATCH(MEDIAN($B77-Conversion!$B$14,2020,2050),Report_Scenarios!$A$29:$A$35,1)),INDEX(Report_Scenarios!$E$29:$E$35,MATCH(MEDIAN($B77-Conversion!$B$14,2020,2050),Report_Scenarios!$A$29:$A$35,1))+(INDEX(Report_Scenarios!$E$29:$E$35,MIN(MATCH(MEDIAN($B77-Conversion!$B$14,2020,2050),Report_Scenarios!$A$29:$A$35,1)+1,7))-INDEX(Report_Scenarios!$E$29:$E$35,MATCH(MEDIAN($B77-Conversion!$B$14,2020,2050),Report_Scenarios!$A$29:$A$35,1)))*(MEDIAN($B77-Conversion!$B$14,2020,2050)-INDEX(Report_Scenarios!$A$29:$A$35,MATCH(MEDIAN($B77-Conversion!$B$14,2020,2050),Report_Scenarios!$A$29:$A$35,1)))/(INDEX(Report_Scenarios!$A$29:$A$35,MIN(MATCH(MEDIAN($B77-Conversion!$B$14,2020,2050),Report_Scenarios!$A$29:$A$35,1)+1,7))-INDEX(Report_Scenarios!$A$29:$A$35,MATCH(MEDIAN($B77-Conversion!$B$14,2020,2050),Report_Scenarios!$A$29:$A$35,1))))))</f>
        <v/>
      </c>
      <c r="I77" s="23">
        <f>IF($D77="Conservative",IF(INDEX(Report_Scenarios!$A$7:$A$13,MIN(MATCH(MEDIAN($B77-Conversion!$B$14,2020,2050),Report_Scenarios!$A$7:$A$13,1)+1,7))=INDEX(Report_Scenarios!$A$7:$A$13,MATCH(MEDIAN($B77-Conversion!$B$14,2020,2050),Report_Scenarios!$A$7:$A$13,1)),INDEX(Report_Scenarios!$F$7:$F$13,MATCH(MEDIAN($B77-Conversion!$B$14,2020,2050),Report_Scenarios!$A$7:$A$13,1)),INDEX(Report_Scenarios!$F$7:$F$13,MATCH(MEDIAN($B77-Conversion!$B$14,2020,2050),Report_Scenarios!$A$7:$A$13,1))+(INDEX(Report_Scenarios!$F$7:$F$13,MIN(MATCH(MEDIAN($B77-Conversion!$B$14,2020,2050),Report_Scenarios!$A$7:$A$13,1)+1,7))-INDEX(Report_Scenarios!$F$7:$F$13,MATCH(MEDIAN($B77-Conversion!$B$14,2020,2050),Report_Scenarios!$A$7:$A$13,1)))*(MEDIAN($B77-Conversion!$B$14,2020,2050)-INDEX(Report_Scenarios!$A$7:$A$13,MATCH(MEDIAN($B77-Conversion!$B$14,2020,2050),Report_Scenarios!$A$7:$A$13,1)))/(INDEX(Report_Scenarios!$A$7:$A$13,MIN(MATCH(MEDIAN($B77-Conversion!$B$14,2020,2050),Report_Scenarios!$A$7:$A$13,1)+1,7))-INDEX(Report_Scenarios!$A$7:$A$13,MATCH(MEDIAN($B77-Conversion!$B$14,2020,2050),Report_Scenarios!$A$7:$A$13,1)))),IF($D77="Central",IF(INDEX(Report_Scenarios!$A$18:$A$24,MIN(MATCH(MEDIAN($B77-Conversion!$B$14,2020,2050),Report_Scenarios!$A$18:$A$24,1)+1,7))=INDEX(Report_Scenarios!$A$18:$A$24,MATCH(MEDIAN($B77-Conversion!$B$14,2020,2050),Report_Scenarios!$A$18:$A$24,1)),INDEX(Report_Scenarios!$F$18:$F$24,MATCH(MEDIAN($B77-Conversion!$B$14,2020,2050),Report_Scenarios!$A$18:$A$24,1)),INDEX(Report_Scenarios!$F$18:$F$24,MATCH(MEDIAN($B77-Conversion!$B$14,2020,2050),Report_Scenarios!$A$18:$A$24,1))+(INDEX(Report_Scenarios!$F$18:$F$24,MIN(MATCH(MEDIAN($B77-Conversion!$B$14,2020,2050),Report_Scenarios!$A$18:$A$24,1)+1,7))-INDEX(Report_Scenarios!$F$18:$F$24,MATCH(MEDIAN($B77-Conversion!$B$14,2020,2050),Report_Scenarios!$A$18:$A$24,1)))*(MEDIAN($B77-Conversion!$B$14,2020,2050)-INDEX(Report_Scenarios!$A$18:$A$24,MATCH(MEDIAN($B77-Conversion!$B$14,2020,2050),Report_Scenarios!$A$18:$A$24,1)))/(INDEX(Report_Scenarios!$A$18:$A$24,MIN(MATCH(MEDIAN($B77-Conversion!$B$14,2020,2050),Report_Scenarios!$A$18:$A$24,1)+1,7))-INDEX(Report_Scenarios!$A$18:$A$24,MATCH(MEDIAN($B77-Conversion!$B$14,2020,2050),Report_Scenarios!$A$18:$A$24,1)))),IF(INDEX(Report_Scenarios!$A$29:$A$35,MIN(MATCH(MEDIAN($B77-Conversion!$B$14,2020,2050),Report_Scenarios!$A$29:$A$35,1)+1,7))=INDEX(Report_Scenarios!$A$29:$A$35,MATCH(MEDIAN($B77-Conversion!$B$14,2020,2050),Report_Scenarios!$A$29:$A$35,1)),INDEX(Report_Scenarios!$F$29:$F$35,MATCH(MEDIAN($B77-Conversion!$B$14,2020,2050),Report_Scenarios!$A$29:$A$35,1)),INDEX(Report_Scenarios!$F$29:$F$35,MATCH(MEDIAN($B77-Conversion!$B$14,2020,2050),Report_Scenarios!$A$29:$A$35,1))+(INDEX(Report_Scenarios!$F$29:$F$35,MIN(MATCH(MEDIAN($B77-Conversion!$B$14,2020,2050),Report_Scenarios!$A$29:$A$35,1)+1,7))-INDEX(Report_Scenarios!$F$29:$F$35,MATCH(MEDIAN($B77-Conversion!$B$14,2020,2050),Report_Scenarios!$A$29:$A$35,1)))*(MEDIAN($B77-Conversion!$B$14,2020,2050)-INDEX(Report_Scenarios!$A$29:$A$35,MATCH(MEDIAN($B77-Conversion!$B$14,2020,2050),Report_Scenarios!$A$29:$A$35,1)))/(INDEX(Report_Scenarios!$A$29:$A$35,MIN(MATCH(MEDIAN($B77-Conversion!$B$14,2020,2050),Report_Scenarios!$A$29:$A$35,1)+1,7))-INDEX(Report_Scenarios!$A$29:$A$35,MATCH(MEDIAN($B77-Conversion!$B$14,2020,2050),Report_Scenarios!$A$29:$A$35,1))))))</f>
        <v/>
      </c>
      <c r="J77" s="23">
        <f>IF($D77="Conservative",IF(INDEX(Report_Scenarios!$A$7:$A$13,MIN(MATCH(MEDIAN($B77-Conversion!$B$14,2020,2050),Report_Scenarios!$A$7:$A$13,1)+1,7))=INDEX(Report_Scenarios!$A$7:$A$13,MATCH(MEDIAN($B77-Conversion!$B$14,2020,2050),Report_Scenarios!$A$7:$A$13,1)),INDEX(Report_Scenarios!$G$7:$G$13,MATCH(MEDIAN($B77-Conversion!$B$14,2020,2050),Report_Scenarios!$A$7:$A$13,1)),INDEX(Report_Scenarios!$G$7:$G$13,MATCH(MEDIAN($B77-Conversion!$B$14,2020,2050),Report_Scenarios!$A$7:$A$13,1))+(INDEX(Report_Scenarios!$G$7:$G$13,MIN(MATCH(MEDIAN($B77-Conversion!$B$14,2020,2050),Report_Scenarios!$A$7:$A$13,1)+1,7))-INDEX(Report_Scenarios!$G$7:$G$13,MATCH(MEDIAN($B77-Conversion!$B$14,2020,2050),Report_Scenarios!$A$7:$A$13,1)))*(MEDIAN($B77-Conversion!$B$14,2020,2050)-INDEX(Report_Scenarios!$A$7:$A$13,MATCH(MEDIAN($B77-Conversion!$B$14,2020,2050),Report_Scenarios!$A$7:$A$13,1)))/(INDEX(Report_Scenarios!$A$7:$A$13,MIN(MATCH(MEDIAN($B77-Conversion!$B$14,2020,2050),Report_Scenarios!$A$7:$A$13,1)+1,7))-INDEX(Report_Scenarios!$A$7:$A$13,MATCH(MEDIAN($B77-Conversion!$B$14,2020,2050),Report_Scenarios!$A$7:$A$13,1)))),IF($D77="Central",IF(INDEX(Report_Scenarios!$A$18:$A$24,MIN(MATCH(MEDIAN($B77-Conversion!$B$14,2020,2050),Report_Scenarios!$A$18:$A$24,1)+1,7))=INDEX(Report_Scenarios!$A$18:$A$24,MATCH(MEDIAN($B77-Conversion!$B$14,2020,2050),Report_Scenarios!$A$18:$A$24,1)),INDEX(Report_Scenarios!$G$18:$G$24,MATCH(MEDIAN($B77-Conversion!$B$14,2020,2050),Report_Scenarios!$A$18:$A$24,1)),INDEX(Report_Scenarios!$G$18:$G$24,MATCH(MEDIAN($B77-Conversion!$B$14,2020,2050),Report_Scenarios!$A$18:$A$24,1))+(INDEX(Report_Scenarios!$G$18:$G$24,MIN(MATCH(MEDIAN($B77-Conversion!$B$14,2020,2050),Report_Scenarios!$A$18:$A$24,1)+1,7))-INDEX(Report_Scenarios!$G$18:$G$24,MATCH(MEDIAN($B77-Conversion!$B$14,2020,2050),Report_Scenarios!$A$18:$A$24,1)))*(MEDIAN($B77-Conversion!$B$14,2020,2050)-INDEX(Report_Scenarios!$A$18:$A$24,MATCH(MEDIAN($B77-Conversion!$B$14,2020,2050),Report_Scenarios!$A$18:$A$24,1)))/(INDEX(Report_Scenarios!$A$18:$A$24,MIN(MATCH(MEDIAN($B77-Conversion!$B$14,2020,2050),Report_Scenarios!$A$18:$A$24,1)+1,7))-INDEX(Report_Scenarios!$A$18:$A$24,MATCH(MEDIAN($B77-Conversion!$B$14,2020,2050),Report_Scenarios!$A$18:$A$24,1)))),IF(INDEX(Report_Scenarios!$A$29:$A$35,MIN(MATCH(MEDIAN($B77-Conversion!$B$14,2020,2050),Report_Scenarios!$A$29:$A$35,1)+1,7))=INDEX(Report_Scenarios!$A$29:$A$35,MATCH(MEDIAN($B77-Conversion!$B$14,2020,2050),Report_Scenarios!$A$29:$A$35,1)),INDEX(Report_Scenarios!$G$29:$G$35,MATCH(MEDIAN($B77-Conversion!$B$14,2020,2050),Report_Scenarios!$A$29:$A$35,1)),INDEX(Report_Scenarios!$G$29:$G$35,MATCH(MEDIAN($B77-Conversion!$B$14,2020,2050),Report_Scenarios!$A$29:$A$35,1))+(INDEX(Report_Scenarios!$G$29:$G$35,MIN(MATCH(MEDIAN($B77-Conversion!$B$14,2020,2050),Report_Scenarios!$A$29:$A$35,1)+1,7))-INDEX(Report_Scenarios!$G$29:$G$35,MATCH(MEDIAN($B77-Conversion!$B$14,2020,2050),Report_Scenarios!$A$29:$A$35,1)))*(MEDIAN($B77-Conversion!$B$14,2020,2050)-INDEX(Report_Scenarios!$A$29:$A$35,MATCH(MEDIAN($B77-Conversion!$B$14,2020,2050),Report_Scenarios!$A$29:$A$35,1)))/(INDEX(Report_Scenarios!$A$29:$A$35,MIN(MATCH(MEDIAN($B77-Conversion!$B$14,2020,2050),Report_Scenarios!$A$29:$A$35,1)+1,7))-INDEX(Report_Scenarios!$A$29:$A$35,MATCH(MEDIAN($B77-Conversion!$B$14,2020,2050),Report_Scenarios!$A$29:$A$35,1))))))</f>
        <v/>
      </c>
      <c r="K77" s="23">
        <f>SUM(E77:J77)</f>
        <v/>
      </c>
      <c r="L77" s="23">
        <f>IF(R77&lt;&gt;"",R77,IF($K77=0,0,E77/$K77))</f>
        <v/>
      </c>
      <c r="M77" s="23">
        <f>IF(S77&lt;&gt;"",S77,IF($K77=0,0,F77/$K77))</f>
        <v/>
      </c>
      <c r="N77" s="23">
        <f>IF(T77&lt;&gt;"",T77,IF($K77=0,0,G77/$K77))</f>
        <v/>
      </c>
      <c r="O77" s="23">
        <f>IF(U77&lt;&gt;"",U77,IF($K77=0,0,H77/$K77))</f>
        <v/>
      </c>
      <c r="P77" s="23">
        <f>IF(V77&lt;&gt;"",V77,IF($K77=0,0,I77/$K77))</f>
        <v/>
      </c>
      <c r="Q77" s="23">
        <f>IF(W77&lt;&gt;"",W77,IF($K77=0,0,J77/$K77))</f>
        <v/>
      </c>
      <c r="R77" s="24" t="n"/>
      <c r="S77" s="24" t="n"/>
      <c r="T77" s="24" t="n"/>
      <c r="U77" s="24" t="n"/>
      <c r="V77" s="24" t="n"/>
      <c r="W77" s="24" t="n"/>
    </row>
    <row r="78">
      <c r="A78" s="4" t="inlineStr">
        <is>
          <t>EF</t>
        </is>
      </c>
      <c r="B78" s="4" t="n">
        <v>2040</v>
      </c>
      <c r="C78" s="4" t="inlineStr">
        <is>
          <t>Share_Mode</t>
        </is>
      </c>
      <c r="D78" s="4">
        <f>Conversion!$B$19</f>
        <v/>
      </c>
      <c r="E78" s="23">
        <f>IF($D78="Conservative",IF(INDEX(Report_Scenarios!$A$7:$A$13,MIN(MATCH(MEDIAN($B78-Conversion!$B$14,2020,2050),Report_Scenarios!$A$7:$A$13,1)+1,7))=INDEX(Report_Scenarios!$A$7:$A$13,MATCH(MEDIAN($B78-Conversion!$B$14,2020,2050),Report_Scenarios!$A$7:$A$13,1)),INDEX(Report_Scenarios!$B$7:$B$13,MATCH(MEDIAN($B78-Conversion!$B$14,2020,2050),Report_Scenarios!$A$7:$A$13,1)),INDEX(Report_Scenarios!$B$7:$B$13,MATCH(MEDIAN($B78-Conversion!$B$14,2020,2050),Report_Scenarios!$A$7:$A$13,1))+(INDEX(Report_Scenarios!$B$7:$B$13,MIN(MATCH(MEDIAN($B78-Conversion!$B$14,2020,2050),Report_Scenarios!$A$7:$A$13,1)+1,7))-INDEX(Report_Scenarios!$B$7:$B$13,MATCH(MEDIAN($B78-Conversion!$B$14,2020,2050),Report_Scenarios!$A$7:$A$13,1)))*(MEDIAN($B78-Conversion!$B$14,2020,2050)-INDEX(Report_Scenarios!$A$7:$A$13,MATCH(MEDIAN($B78-Conversion!$B$14,2020,2050),Report_Scenarios!$A$7:$A$13,1)))/(INDEX(Report_Scenarios!$A$7:$A$13,MIN(MATCH(MEDIAN($B78-Conversion!$B$14,2020,2050),Report_Scenarios!$A$7:$A$13,1)+1,7))-INDEX(Report_Scenarios!$A$7:$A$13,MATCH(MEDIAN($B78-Conversion!$B$14,2020,2050),Report_Scenarios!$A$7:$A$13,1)))),IF($D78="Central",IF(INDEX(Report_Scenarios!$A$18:$A$24,MIN(MATCH(MEDIAN($B78-Conversion!$B$14,2020,2050),Report_Scenarios!$A$18:$A$24,1)+1,7))=INDEX(Report_Scenarios!$A$18:$A$24,MATCH(MEDIAN($B78-Conversion!$B$14,2020,2050),Report_Scenarios!$A$18:$A$24,1)),INDEX(Report_Scenarios!$B$18:$B$24,MATCH(MEDIAN($B78-Conversion!$B$14,2020,2050),Report_Scenarios!$A$18:$A$24,1)),INDEX(Report_Scenarios!$B$18:$B$24,MATCH(MEDIAN($B78-Conversion!$B$14,2020,2050),Report_Scenarios!$A$18:$A$24,1))+(INDEX(Report_Scenarios!$B$18:$B$24,MIN(MATCH(MEDIAN($B78-Conversion!$B$14,2020,2050),Report_Scenarios!$A$18:$A$24,1)+1,7))-INDEX(Report_Scenarios!$B$18:$B$24,MATCH(MEDIAN($B78-Conversion!$B$14,2020,2050),Report_Scenarios!$A$18:$A$24,1)))*(MEDIAN($B78-Conversion!$B$14,2020,2050)-INDEX(Report_Scenarios!$A$18:$A$24,MATCH(MEDIAN($B78-Conversion!$B$14,2020,2050),Report_Scenarios!$A$18:$A$24,1)))/(INDEX(Report_Scenarios!$A$18:$A$24,MIN(MATCH(MEDIAN($B78-Conversion!$B$14,2020,2050),Report_Scenarios!$A$18:$A$24,1)+1,7))-INDEX(Report_Scenarios!$A$18:$A$24,MATCH(MEDIAN($B78-Conversion!$B$14,2020,2050),Report_Scenarios!$A$18:$A$24,1)))),IF(INDEX(Report_Scenarios!$A$29:$A$35,MIN(MATCH(MEDIAN($B78-Conversion!$B$14,2020,2050),Report_Scenarios!$A$29:$A$35,1)+1,7))=INDEX(Report_Scenarios!$A$29:$A$35,MATCH(MEDIAN($B78-Conversion!$B$14,2020,2050),Report_Scenarios!$A$29:$A$35,1)),INDEX(Report_Scenarios!$B$29:$B$35,MATCH(MEDIAN($B78-Conversion!$B$14,2020,2050),Report_Scenarios!$A$29:$A$35,1)),INDEX(Report_Scenarios!$B$29:$B$35,MATCH(MEDIAN($B78-Conversion!$B$14,2020,2050),Report_Scenarios!$A$29:$A$35,1))+(INDEX(Report_Scenarios!$B$29:$B$35,MIN(MATCH(MEDIAN($B78-Conversion!$B$14,2020,2050),Report_Scenarios!$A$29:$A$35,1)+1,7))-INDEX(Report_Scenarios!$B$29:$B$35,MATCH(MEDIAN($B78-Conversion!$B$14,2020,2050),Report_Scenarios!$A$29:$A$35,1)))*(MEDIAN($B78-Conversion!$B$14,2020,2050)-INDEX(Report_Scenarios!$A$29:$A$35,MATCH(MEDIAN($B78-Conversion!$B$14,2020,2050),Report_Scenarios!$A$29:$A$35,1)))/(INDEX(Report_Scenarios!$A$29:$A$35,MIN(MATCH(MEDIAN($B78-Conversion!$B$14,2020,2050),Report_Scenarios!$A$29:$A$35,1)+1,7))-INDEX(Report_Scenarios!$A$29:$A$35,MATCH(MEDIAN($B78-Conversion!$B$14,2020,2050),Report_Scenarios!$A$29:$A$35,1))))))</f>
        <v/>
      </c>
      <c r="F78" s="23">
        <f>IF($D78="Conservative",IF(INDEX(Report_Scenarios!$A$7:$A$13,MIN(MATCH(MEDIAN($B78-Conversion!$B$14,2020,2050),Report_Scenarios!$A$7:$A$13,1)+1,7))=INDEX(Report_Scenarios!$A$7:$A$13,MATCH(MEDIAN($B78-Conversion!$B$14,2020,2050),Report_Scenarios!$A$7:$A$13,1)),INDEX(Report_Scenarios!$C$7:$C$13,MATCH(MEDIAN($B78-Conversion!$B$14,2020,2050),Report_Scenarios!$A$7:$A$13,1)),INDEX(Report_Scenarios!$C$7:$C$13,MATCH(MEDIAN($B78-Conversion!$B$14,2020,2050),Report_Scenarios!$A$7:$A$13,1))+(INDEX(Report_Scenarios!$C$7:$C$13,MIN(MATCH(MEDIAN($B78-Conversion!$B$14,2020,2050),Report_Scenarios!$A$7:$A$13,1)+1,7))-INDEX(Report_Scenarios!$C$7:$C$13,MATCH(MEDIAN($B78-Conversion!$B$14,2020,2050),Report_Scenarios!$A$7:$A$13,1)))*(MEDIAN($B78-Conversion!$B$14,2020,2050)-INDEX(Report_Scenarios!$A$7:$A$13,MATCH(MEDIAN($B78-Conversion!$B$14,2020,2050),Report_Scenarios!$A$7:$A$13,1)))/(INDEX(Report_Scenarios!$A$7:$A$13,MIN(MATCH(MEDIAN($B78-Conversion!$B$14,2020,2050),Report_Scenarios!$A$7:$A$13,1)+1,7))-INDEX(Report_Scenarios!$A$7:$A$13,MATCH(MEDIAN($B78-Conversion!$B$14,2020,2050),Report_Scenarios!$A$7:$A$13,1)))),IF($D78="Central",IF(INDEX(Report_Scenarios!$A$18:$A$24,MIN(MATCH(MEDIAN($B78-Conversion!$B$14,2020,2050),Report_Scenarios!$A$18:$A$24,1)+1,7))=INDEX(Report_Scenarios!$A$18:$A$24,MATCH(MEDIAN($B78-Conversion!$B$14,2020,2050),Report_Scenarios!$A$18:$A$24,1)),INDEX(Report_Scenarios!$C$18:$C$24,MATCH(MEDIAN($B78-Conversion!$B$14,2020,2050),Report_Scenarios!$A$18:$A$24,1)),INDEX(Report_Scenarios!$C$18:$C$24,MATCH(MEDIAN($B78-Conversion!$B$14,2020,2050),Report_Scenarios!$A$18:$A$24,1))+(INDEX(Report_Scenarios!$C$18:$C$24,MIN(MATCH(MEDIAN($B78-Conversion!$B$14,2020,2050),Report_Scenarios!$A$18:$A$24,1)+1,7))-INDEX(Report_Scenarios!$C$18:$C$24,MATCH(MEDIAN($B78-Conversion!$B$14,2020,2050),Report_Scenarios!$A$18:$A$24,1)))*(MEDIAN($B78-Conversion!$B$14,2020,2050)-INDEX(Report_Scenarios!$A$18:$A$24,MATCH(MEDIAN($B78-Conversion!$B$14,2020,2050),Report_Scenarios!$A$18:$A$24,1)))/(INDEX(Report_Scenarios!$A$18:$A$24,MIN(MATCH(MEDIAN($B78-Conversion!$B$14,2020,2050),Report_Scenarios!$A$18:$A$24,1)+1,7))-INDEX(Report_Scenarios!$A$18:$A$24,MATCH(MEDIAN($B78-Conversion!$B$14,2020,2050),Report_Scenarios!$A$18:$A$24,1)))),IF(INDEX(Report_Scenarios!$A$29:$A$35,MIN(MATCH(MEDIAN($B78-Conversion!$B$14,2020,2050),Report_Scenarios!$A$29:$A$35,1)+1,7))=INDEX(Report_Scenarios!$A$29:$A$35,MATCH(MEDIAN($B78-Conversion!$B$14,2020,2050),Report_Scenarios!$A$29:$A$35,1)),INDEX(Report_Scenarios!$C$29:$C$35,MATCH(MEDIAN($B78-Conversion!$B$14,2020,2050),Report_Scenarios!$A$29:$A$35,1)),INDEX(Report_Scenarios!$C$29:$C$35,MATCH(MEDIAN($B78-Conversion!$B$14,2020,2050),Report_Scenarios!$A$29:$A$35,1))+(INDEX(Report_Scenarios!$C$29:$C$35,MIN(MATCH(MEDIAN($B78-Conversion!$B$14,2020,2050),Report_Scenarios!$A$29:$A$35,1)+1,7))-INDEX(Report_Scenarios!$C$29:$C$35,MATCH(MEDIAN($B78-Conversion!$B$14,2020,2050),Report_Scenarios!$A$29:$A$35,1)))*(MEDIAN($B78-Conversion!$B$14,2020,2050)-INDEX(Report_Scenarios!$A$29:$A$35,MATCH(MEDIAN($B78-Conversion!$B$14,2020,2050),Report_Scenarios!$A$29:$A$35,1)))/(INDEX(Report_Scenarios!$A$29:$A$35,MIN(MATCH(MEDIAN($B78-Conversion!$B$14,2020,2050),Report_Scenarios!$A$29:$A$35,1)+1,7))-INDEX(Report_Scenarios!$A$29:$A$35,MATCH(MEDIAN($B78-Conversion!$B$14,2020,2050),Report_Scenarios!$A$29:$A$35,1))))))</f>
        <v/>
      </c>
      <c r="G78" s="23">
        <f>IF($D78="Conservative",IF(INDEX(Report_Scenarios!$A$7:$A$13,MIN(MATCH(MEDIAN($B78-Conversion!$B$14,2020,2050),Report_Scenarios!$A$7:$A$13,1)+1,7))=INDEX(Report_Scenarios!$A$7:$A$13,MATCH(MEDIAN($B78-Conversion!$B$14,2020,2050),Report_Scenarios!$A$7:$A$13,1)),INDEX(Report_Scenarios!$D$7:$D$13,MATCH(MEDIAN($B78-Conversion!$B$14,2020,2050),Report_Scenarios!$A$7:$A$13,1)),INDEX(Report_Scenarios!$D$7:$D$13,MATCH(MEDIAN($B78-Conversion!$B$14,2020,2050),Report_Scenarios!$A$7:$A$13,1))+(INDEX(Report_Scenarios!$D$7:$D$13,MIN(MATCH(MEDIAN($B78-Conversion!$B$14,2020,2050),Report_Scenarios!$A$7:$A$13,1)+1,7))-INDEX(Report_Scenarios!$D$7:$D$13,MATCH(MEDIAN($B78-Conversion!$B$14,2020,2050),Report_Scenarios!$A$7:$A$13,1)))*(MEDIAN($B78-Conversion!$B$14,2020,2050)-INDEX(Report_Scenarios!$A$7:$A$13,MATCH(MEDIAN($B78-Conversion!$B$14,2020,2050),Report_Scenarios!$A$7:$A$13,1)))/(INDEX(Report_Scenarios!$A$7:$A$13,MIN(MATCH(MEDIAN($B78-Conversion!$B$14,2020,2050),Report_Scenarios!$A$7:$A$13,1)+1,7))-INDEX(Report_Scenarios!$A$7:$A$13,MATCH(MEDIAN($B78-Conversion!$B$14,2020,2050),Report_Scenarios!$A$7:$A$13,1)))),IF($D78="Central",IF(INDEX(Report_Scenarios!$A$18:$A$24,MIN(MATCH(MEDIAN($B78-Conversion!$B$14,2020,2050),Report_Scenarios!$A$18:$A$24,1)+1,7))=INDEX(Report_Scenarios!$A$18:$A$24,MATCH(MEDIAN($B78-Conversion!$B$14,2020,2050),Report_Scenarios!$A$18:$A$24,1)),INDEX(Report_Scenarios!$D$18:$D$24,MATCH(MEDIAN($B78-Conversion!$B$14,2020,2050),Report_Scenarios!$A$18:$A$24,1)),INDEX(Report_Scenarios!$D$18:$D$24,MATCH(MEDIAN($B78-Conversion!$B$14,2020,2050),Report_Scenarios!$A$18:$A$24,1))+(INDEX(Report_Scenarios!$D$18:$D$24,MIN(MATCH(MEDIAN($B78-Conversion!$B$14,2020,2050),Report_Scenarios!$A$18:$A$24,1)+1,7))-INDEX(Report_Scenarios!$D$18:$D$24,MATCH(MEDIAN($B78-Conversion!$B$14,2020,2050),Report_Scenarios!$A$18:$A$24,1)))*(MEDIAN($B78-Conversion!$B$14,2020,2050)-INDEX(Report_Scenarios!$A$18:$A$24,MATCH(MEDIAN($B78-Conversion!$B$14,2020,2050),Report_Scenarios!$A$18:$A$24,1)))/(INDEX(Report_Scenarios!$A$18:$A$24,MIN(MATCH(MEDIAN($B78-Conversion!$B$14,2020,2050),Report_Scenarios!$A$18:$A$24,1)+1,7))-INDEX(Report_Scenarios!$A$18:$A$24,MATCH(MEDIAN($B78-Conversion!$B$14,2020,2050),Report_Scenarios!$A$18:$A$24,1)))),IF(INDEX(Report_Scenarios!$A$29:$A$35,MIN(MATCH(MEDIAN($B78-Conversion!$B$14,2020,2050),Report_Scenarios!$A$29:$A$35,1)+1,7))=INDEX(Report_Scenarios!$A$29:$A$35,MATCH(MEDIAN($B78-Conversion!$B$14,2020,2050),Report_Scenarios!$A$29:$A$35,1)),INDEX(Report_Scenarios!$D$29:$D$35,MATCH(MEDIAN($B78-Conversion!$B$14,2020,2050),Report_Scenarios!$A$29:$A$35,1)),INDEX(Report_Scenarios!$D$29:$D$35,MATCH(MEDIAN($B78-Conversion!$B$14,2020,2050),Report_Scenarios!$A$29:$A$35,1))+(INDEX(Report_Scenarios!$D$29:$D$35,MIN(MATCH(MEDIAN($B78-Conversion!$B$14,2020,2050),Report_Scenarios!$A$29:$A$35,1)+1,7))-INDEX(Report_Scenarios!$D$29:$D$35,MATCH(MEDIAN($B78-Conversion!$B$14,2020,2050),Report_Scenarios!$A$29:$A$35,1)))*(MEDIAN($B78-Conversion!$B$14,2020,2050)-INDEX(Report_Scenarios!$A$29:$A$35,MATCH(MEDIAN($B78-Conversion!$B$14,2020,2050),Report_Scenarios!$A$29:$A$35,1)))/(INDEX(Report_Scenarios!$A$29:$A$35,MIN(MATCH(MEDIAN($B78-Conversion!$B$14,2020,2050),Report_Scenarios!$A$29:$A$35,1)+1,7))-INDEX(Report_Scenarios!$A$29:$A$35,MATCH(MEDIAN($B78-Conversion!$B$14,2020,2050),Report_Scenarios!$A$29:$A$35,1))))))</f>
        <v/>
      </c>
      <c r="H78" s="23">
        <f>IF($D78="Conservative",IF(INDEX(Report_Scenarios!$A$7:$A$13,MIN(MATCH(MEDIAN($B78-Conversion!$B$14,2020,2050),Report_Scenarios!$A$7:$A$13,1)+1,7))=INDEX(Report_Scenarios!$A$7:$A$13,MATCH(MEDIAN($B78-Conversion!$B$14,2020,2050),Report_Scenarios!$A$7:$A$13,1)),INDEX(Report_Scenarios!$E$7:$E$13,MATCH(MEDIAN($B78-Conversion!$B$14,2020,2050),Report_Scenarios!$A$7:$A$13,1)),INDEX(Report_Scenarios!$E$7:$E$13,MATCH(MEDIAN($B78-Conversion!$B$14,2020,2050),Report_Scenarios!$A$7:$A$13,1))+(INDEX(Report_Scenarios!$E$7:$E$13,MIN(MATCH(MEDIAN($B78-Conversion!$B$14,2020,2050),Report_Scenarios!$A$7:$A$13,1)+1,7))-INDEX(Report_Scenarios!$E$7:$E$13,MATCH(MEDIAN($B78-Conversion!$B$14,2020,2050),Report_Scenarios!$A$7:$A$13,1)))*(MEDIAN($B78-Conversion!$B$14,2020,2050)-INDEX(Report_Scenarios!$A$7:$A$13,MATCH(MEDIAN($B78-Conversion!$B$14,2020,2050),Report_Scenarios!$A$7:$A$13,1)))/(INDEX(Report_Scenarios!$A$7:$A$13,MIN(MATCH(MEDIAN($B78-Conversion!$B$14,2020,2050),Report_Scenarios!$A$7:$A$13,1)+1,7))-INDEX(Report_Scenarios!$A$7:$A$13,MATCH(MEDIAN($B78-Conversion!$B$14,2020,2050),Report_Scenarios!$A$7:$A$13,1)))),IF($D78="Central",IF(INDEX(Report_Scenarios!$A$18:$A$24,MIN(MATCH(MEDIAN($B78-Conversion!$B$14,2020,2050),Report_Scenarios!$A$18:$A$24,1)+1,7))=INDEX(Report_Scenarios!$A$18:$A$24,MATCH(MEDIAN($B78-Conversion!$B$14,2020,2050),Report_Scenarios!$A$18:$A$24,1)),INDEX(Report_Scenarios!$E$18:$E$24,MATCH(MEDIAN($B78-Conversion!$B$14,2020,2050),Report_Scenarios!$A$18:$A$24,1)),INDEX(Report_Scenarios!$E$18:$E$24,MATCH(MEDIAN($B78-Conversion!$B$14,2020,2050),Report_Scenarios!$A$18:$A$24,1))+(INDEX(Report_Scenarios!$E$18:$E$24,MIN(MATCH(MEDIAN($B78-Conversion!$B$14,2020,2050),Report_Scenarios!$A$18:$A$24,1)+1,7))-INDEX(Report_Scenarios!$E$18:$E$24,MATCH(MEDIAN($B78-Conversion!$B$14,2020,2050),Report_Scenarios!$A$18:$A$24,1)))*(MEDIAN($B78-Conversion!$B$14,2020,2050)-INDEX(Report_Scenarios!$A$18:$A$24,MATCH(MEDIAN($B78-Conversion!$B$14,2020,2050),Report_Scenarios!$A$18:$A$24,1)))/(INDEX(Report_Scenarios!$A$18:$A$24,MIN(MATCH(MEDIAN($B78-Conversion!$B$14,2020,2050),Report_Scenarios!$A$18:$A$24,1)+1,7))-INDEX(Report_Scenarios!$A$18:$A$24,MATCH(MEDIAN($B78-Conversion!$B$14,2020,2050),Report_Scenarios!$A$18:$A$24,1)))),IF(INDEX(Report_Scenarios!$A$29:$A$35,MIN(MATCH(MEDIAN($B78-Conversion!$B$14,2020,2050),Report_Scenarios!$A$29:$A$35,1)+1,7))=INDEX(Report_Scenarios!$A$29:$A$35,MATCH(MEDIAN($B78-Conversion!$B$14,2020,2050),Report_Scenarios!$A$29:$A$35,1)),INDEX(Report_Scenarios!$E$29:$E$35,MATCH(MEDIAN($B78-Conversion!$B$14,2020,2050),Report_Scenarios!$A$29:$A$35,1)),INDEX(Report_Scenarios!$E$29:$E$35,MATCH(MEDIAN($B78-Conversion!$B$14,2020,2050),Report_Scenarios!$A$29:$A$35,1))+(INDEX(Report_Scenarios!$E$29:$E$35,MIN(MATCH(MEDIAN($B78-Conversion!$B$14,2020,2050),Report_Scenarios!$A$29:$A$35,1)+1,7))-INDEX(Report_Scenarios!$E$29:$E$35,MATCH(MEDIAN($B78-Conversion!$B$14,2020,2050),Report_Scenarios!$A$29:$A$35,1)))*(MEDIAN($B78-Conversion!$B$14,2020,2050)-INDEX(Report_Scenarios!$A$29:$A$35,MATCH(MEDIAN($B78-Conversion!$B$14,2020,2050),Report_Scenarios!$A$29:$A$35,1)))/(INDEX(Report_Scenarios!$A$29:$A$35,MIN(MATCH(MEDIAN($B78-Conversion!$B$14,2020,2050),Report_Scenarios!$A$29:$A$35,1)+1,7))-INDEX(Report_Scenarios!$A$29:$A$35,MATCH(MEDIAN($B78-Conversion!$B$14,2020,2050),Report_Scenarios!$A$29:$A$35,1))))))</f>
        <v/>
      </c>
      <c r="I78" s="23">
        <f>IF($D78="Conservative",IF(INDEX(Report_Scenarios!$A$7:$A$13,MIN(MATCH(MEDIAN($B78-Conversion!$B$14,2020,2050),Report_Scenarios!$A$7:$A$13,1)+1,7))=INDEX(Report_Scenarios!$A$7:$A$13,MATCH(MEDIAN($B78-Conversion!$B$14,2020,2050),Report_Scenarios!$A$7:$A$13,1)),INDEX(Report_Scenarios!$F$7:$F$13,MATCH(MEDIAN($B78-Conversion!$B$14,2020,2050),Report_Scenarios!$A$7:$A$13,1)),INDEX(Report_Scenarios!$F$7:$F$13,MATCH(MEDIAN($B78-Conversion!$B$14,2020,2050),Report_Scenarios!$A$7:$A$13,1))+(INDEX(Report_Scenarios!$F$7:$F$13,MIN(MATCH(MEDIAN($B78-Conversion!$B$14,2020,2050),Report_Scenarios!$A$7:$A$13,1)+1,7))-INDEX(Report_Scenarios!$F$7:$F$13,MATCH(MEDIAN($B78-Conversion!$B$14,2020,2050),Report_Scenarios!$A$7:$A$13,1)))*(MEDIAN($B78-Conversion!$B$14,2020,2050)-INDEX(Report_Scenarios!$A$7:$A$13,MATCH(MEDIAN($B78-Conversion!$B$14,2020,2050),Report_Scenarios!$A$7:$A$13,1)))/(INDEX(Report_Scenarios!$A$7:$A$13,MIN(MATCH(MEDIAN($B78-Conversion!$B$14,2020,2050),Report_Scenarios!$A$7:$A$13,1)+1,7))-INDEX(Report_Scenarios!$A$7:$A$13,MATCH(MEDIAN($B78-Conversion!$B$14,2020,2050),Report_Scenarios!$A$7:$A$13,1)))),IF($D78="Central",IF(INDEX(Report_Scenarios!$A$18:$A$24,MIN(MATCH(MEDIAN($B78-Conversion!$B$14,2020,2050),Report_Scenarios!$A$18:$A$24,1)+1,7))=INDEX(Report_Scenarios!$A$18:$A$24,MATCH(MEDIAN($B78-Conversion!$B$14,2020,2050),Report_Scenarios!$A$18:$A$24,1)),INDEX(Report_Scenarios!$F$18:$F$24,MATCH(MEDIAN($B78-Conversion!$B$14,2020,2050),Report_Scenarios!$A$18:$A$24,1)),INDEX(Report_Scenarios!$F$18:$F$24,MATCH(MEDIAN($B78-Conversion!$B$14,2020,2050),Report_Scenarios!$A$18:$A$24,1))+(INDEX(Report_Scenarios!$F$18:$F$24,MIN(MATCH(MEDIAN($B78-Conversion!$B$14,2020,2050),Report_Scenarios!$A$18:$A$24,1)+1,7))-INDEX(Report_Scenarios!$F$18:$F$24,MATCH(MEDIAN($B78-Conversion!$B$14,2020,2050),Report_Scenarios!$A$18:$A$24,1)))*(MEDIAN($B78-Conversion!$B$14,2020,2050)-INDEX(Report_Scenarios!$A$18:$A$24,MATCH(MEDIAN($B78-Conversion!$B$14,2020,2050),Report_Scenarios!$A$18:$A$24,1)))/(INDEX(Report_Scenarios!$A$18:$A$24,MIN(MATCH(MEDIAN($B78-Conversion!$B$14,2020,2050),Report_Scenarios!$A$18:$A$24,1)+1,7))-INDEX(Report_Scenarios!$A$18:$A$24,MATCH(MEDIAN($B78-Conversion!$B$14,2020,2050),Report_Scenarios!$A$18:$A$24,1)))),IF(INDEX(Report_Scenarios!$A$29:$A$35,MIN(MATCH(MEDIAN($B78-Conversion!$B$14,2020,2050),Report_Scenarios!$A$29:$A$35,1)+1,7))=INDEX(Report_Scenarios!$A$29:$A$35,MATCH(MEDIAN($B78-Conversion!$B$14,2020,2050),Report_Scenarios!$A$29:$A$35,1)),INDEX(Report_Scenarios!$F$29:$F$35,MATCH(MEDIAN($B78-Conversion!$B$14,2020,2050),Report_Scenarios!$A$29:$A$35,1)),INDEX(Report_Scenarios!$F$29:$F$35,MATCH(MEDIAN($B78-Conversion!$B$14,2020,2050),Report_Scenarios!$A$29:$A$35,1))+(INDEX(Report_Scenarios!$F$29:$F$35,MIN(MATCH(MEDIAN($B78-Conversion!$B$14,2020,2050),Report_Scenarios!$A$29:$A$35,1)+1,7))-INDEX(Report_Scenarios!$F$29:$F$35,MATCH(MEDIAN($B78-Conversion!$B$14,2020,2050),Report_Scenarios!$A$29:$A$35,1)))*(MEDIAN($B78-Conversion!$B$14,2020,2050)-INDEX(Report_Scenarios!$A$29:$A$35,MATCH(MEDIAN($B78-Conversion!$B$14,2020,2050),Report_Scenarios!$A$29:$A$35,1)))/(INDEX(Report_Scenarios!$A$29:$A$35,MIN(MATCH(MEDIAN($B78-Conversion!$B$14,2020,2050),Report_Scenarios!$A$29:$A$35,1)+1,7))-INDEX(Report_Scenarios!$A$29:$A$35,MATCH(MEDIAN($B78-Conversion!$B$14,2020,2050),Report_Scenarios!$A$29:$A$35,1))))))</f>
        <v/>
      </c>
      <c r="J78" s="23">
        <f>IF($D78="Conservative",IF(INDEX(Report_Scenarios!$A$7:$A$13,MIN(MATCH(MEDIAN($B78-Conversion!$B$14,2020,2050),Report_Scenarios!$A$7:$A$13,1)+1,7))=INDEX(Report_Scenarios!$A$7:$A$13,MATCH(MEDIAN($B78-Conversion!$B$14,2020,2050),Report_Scenarios!$A$7:$A$13,1)),INDEX(Report_Scenarios!$G$7:$G$13,MATCH(MEDIAN($B78-Conversion!$B$14,2020,2050),Report_Scenarios!$A$7:$A$13,1)),INDEX(Report_Scenarios!$G$7:$G$13,MATCH(MEDIAN($B78-Conversion!$B$14,2020,2050),Report_Scenarios!$A$7:$A$13,1))+(INDEX(Report_Scenarios!$G$7:$G$13,MIN(MATCH(MEDIAN($B78-Conversion!$B$14,2020,2050),Report_Scenarios!$A$7:$A$13,1)+1,7))-INDEX(Report_Scenarios!$G$7:$G$13,MATCH(MEDIAN($B78-Conversion!$B$14,2020,2050),Report_Scenarios!$A$7:$A$13,1)))*(MEDIAN($B78-Conversion!$B$14,2020,2050)-INDEX(Report_Scenarios!$A$7:$A$13,MATCH(MEDIAN($B78-Conversion!$B$14,2020,2050),Report_Scenarios!$A$7:$A$13,1)))/(INDEX(Report_Scenarios!$A$7:$A$13,MIN(MATCH(MEDIAN($B78-Conversion!$B$14,2020,2050),Report_Scenarios!$A$7:$A$13,1)+1,7))-INDEX(Report_Scenarios!$A$7:$A$13,MATCH(MEDIAN($B78-Conversion!$B$14,2020,2050),Report_Scenarios!$A$7:$A$13,1)))),IF($D78="Central",IF(INDEX(Report_Scenarios!$A$18:$A$24,MIN(MATCH(MEDIAN($B78-Conversion!$B$14,2020,2050),Report_Scenarios!$A$18:$A$24,1)+1,7))=INDEX(Report_Scenarios!$A$18:$A$24,MATCH(MEDIAN($B78-Conversion!$B$14,2020,2050),Report_Scenarios!$A$18:$A$24,1)),INDEX(Report_Scenarios!$G$18:$G$24,MATCH(MEDIAN($B78-Conversion!$B$14,2020,2050),Report_Scenarios!$A$18:$A$24,1)),INDEX(Report_Scenarios!$G$18:$G$24,MATCH(MEDIAN($B78-Conversion!$B$14,2020,2050),Report_Scenarios!$A$18:$A$24,1))+(INDEX(Report_Scenarios!$G$18:$G$24,MIN(MATCH(MEDIAN($B78-Conversion!$B$14,2020,2050),Report_Scenarios!$A$18:$A$24,1)+1,7))-INDEX(Report_Scenarios!$G$18:$G$24,MATCH(MEDIAN($B78-Conversion!$B$14,2020,2050),Report_Scenarios!$A$18:$A$24,1)))*(MEDIAN($B78-Conversion!$B$14,2020,2050)-INDEX(Report_Scenarios!$A$18:$A$24,MATCH(MEDIAN($B78-Conversion!$B$14,2020,2050),Report_Scenarios!$A$18:$A$24,1)))/(INDEX(Report_Scenarios!$A$18:$A$24,MIN(MATCH(MEDIAN($B78-Conversion!$B$14,2020,2050),Report_Scenarios!$A$18:$A$24,1)+1,7))-INDEX(Report_Scenarios!$A$18:$A$24,MATCH(MEDIAN($B78-Conversion!$B$14,2020,2050),Report_Scenarios!$A$18:$A$24,1)))),IF(INDEX(Report_Scenarios!$A$29:$A$35,MIN(MATCH(MEDIAN($B78-Conversion!$B$14,2020,2050),Report_Scenarios!$A$29:$A$35,1)+1,7))=INDEX(Report_Scenarios!$A$29:$A$35,MATCH(MEDIAN($B78-Conversion!$B$14,2020,2050),Report_Scenarios!$A$29:$A$35,1)),INDEX(Report_Scenarios!$G$29:$G$35,MATCH(MEDIAN($B78-Conversion!$B$14,2020,2050),Report_Scenarios!$A$29:$A$35,1)),INDEX(Report_Scenarios!$G$29:$G$35,MATCH(MEDIAN($B78-Conversion!$B$14,2020,2050),Report_Scenarios!$A$29:$A$35,1))+(INDEX(Report_Scenarios!$G$29:$G$35,MIN(MATCH(MEDIAN($B78-Conversion!$B$14,2020,2050),Report_Scenarios!$A$29:$A$35,1)+1,7))-INDEX(Report_Scenarios!$G$29:$G$35,MATCH(MEDIAN($B78-Conversion!$B$14,2020,2050),Report_Scenarios!$A$29:$A$35,1)))*(MEDIAN($B78-Conversion!$B$14,2020,2050)-INDEX(Report_Scenarios!$A$29:$A$35,MATCH(MEDIAN($B78-Conversion!$B$14,2020,2050),Report_Scenarios!$A$29:$A$35,1)))/(INDEX(Report_Scenarios!$A$29:$A$35,MIN(MATCH(MEDIAN($B78-Conversion!$B$14,2020,2050),Report_Scenarios!$A$29:$A$35,1)+1,7))-INDEX(Report_Scenarios!$A$29:$A$35,MATCH(MEDIAN($B78-Conversion!$B$14,2020,2050),Report_Scenarios!$A$29:$A$35,1))))))</f>
        <v/>
      </c>
      <c r="K78" s="23">
        <f>SUM(E78:J78)</f>
        <v/>
      </c>
      <c r="L78" s="23">
        <f>IF(R78&lt;&gt;"",R78,IF($K78=0,0,E78/$K78))</f>
        <v/>
      </c>
      <c r="M78" s="23">
        <f>IF(S78&lt;&gt;"",S78,IF($K78=0,0,F78/$K78))</f>
        <v/>
      </c>
      <c r="N78" s="23">
        <f>IF(T78&lt;&gt;"",T78,IF($K78=0,0,G78/$K78))</f>
        <v/>
      </c>
      <c r="O78" s="23">
        <f>IF(U78&lt;&gt;"",U78,IF($K78=0,0,H78/$K78))</f>
        <v/>
      </c>
      <c r="P78" s="23">
        <f>IF(V78&lt;&gt;"",V78,IF($K78=0,0,I78/$K78))</f>
        <v/>
      </c>
      <c r="Q78" s="23">
        <f>IF(W78&lt;&gt;"",W78,IF($K78=0,0,J78/$K78))</f>
        <v/>
      </c>
      <c r="R78" s="24" t="n"/>
      <c r="S78" s="24" t="n"/>
      <c r="T78" s="24" t="n"/>
      <c r="U78" s="24" t="n"/>
      <c r="V78" s="24" t="n"/>
      <c r="W78" s="24" t="n"/>
    </row>
    <row r="79">
      <c r="A79" s="4" t="inlineStr">
        <is>
          <t>EF</t>
        </is>
      </c>
      <c r="B79" s="4" t="n">
        <v>2040</v>
      </c>
      <c r="C79" s="4" t="inlineStr">
        <is>
          <t>Share_Max</t>
        </is>
      </c>
      <c r="D79" s="4">
        <f>Conversion!$B$20</f>
        <v/>
      </c>
      <c r="E79" s="23">
        <f>IF($D79="Conservative",IF(INDEX(Report_Scenarios!$A$7:$A$13,MIN(MATCH(MEDIAN($B79-Conversion!$B$14,2020,2050),Report_Scenarios!$A$7:$A$13,1)+1,7))=INDEX(Report_Scenarios!$A$7:$A$13,MATCH(MEDIAN($B79-Conversion!$B$14,2020,2050),Report_Scenarios!$A$7:$A$13,1)),INDEX(Report_Scenarios!$B$7:$B$13,MATCH(MEDIAN($B79-Conversion!$B$14,2020,2050),Report_Scenarios!$A$7:$A$13,1)),INDEX(Report_Scenarios!$B$7:$B$13,MATCH(MEDIAN($B79-Conversion!$B$14,2020,2050),Report_Scenarios!$A$7:$A$13,1))+(INDEX(Report_Scenarios!$B$7:$B$13,MIN(MATCH(MEDIAN($B79-Conversion!$B$14,2020,2050),Report_Scenarios!$A$7:$A$13,1)+1,7))-INDEX(Report_Scenarios!$B$7:$B$13,MATCH(MEDIAN($B79-Conversion!$B$14,2020,2050),Report_Scenarios!$A$7:$A$13,1)))*(MEDIAN($B79-Conversion!$B$14,2020,2050)-INDEX(Report_Scenarios!$A$7:$A$13,MATCH(MEDIAN($B79-Conversion!$B$14,2020,2050),Report_Scenarios!$A$7:$A$13,1)))/(INDEX(Report_Scenarios!$A$7:$A$13,MIN(MATCH(MEDIAN($B79-Conversion!$B$14,2020,2050),Report_Scenarios!$A$7:$A$13,1)+1,7))-INDEX(Report_Scenarios!$A$7:$A$13,MATCH(MEDIAN($B79-Conversion!$B$14,2020,2050),Report_Scenarios!$A$7:$A$13,1)))),IF($D79="Central",IF(INDEX(Report_Scenarios!$A$18:$A$24,MIN(MATCH(MEDIAN($B79-Conversion!$B$14,2020,2050),Report_Scenarios!$A$18:$A$24,1)+1,7))=INDEX(Report_Scenarios!$A$18:$A$24,MATCH(MEDIAN($B79-Conversion!$B$14,2020,2050),Report_Scenarios!$A$18:$A$24,1)),INDEX(Report_Scenarios!$B$18:$B$24,MATCH(MEDIAN($B79-Conversion!$B$14,2020,2050),Report_Scenarios!$A$18:$A$24,1)),INDEX(Report_Scenarios!$B$18:$B$24,MATCH(MEDIAN($B79-Conversion!$B$14,2020,2050),Report_Scenarios!$A$18:$A$24,1))+(INDEX(Report_Scenarios!$B$18:$B$24,MIN(MATCH(MEDIAN($B79-Conversion!$B$14,2020,2050),Report_Scenarios!$A$18:$A$24,1)+1,7))-INDEX(Report_Scenarios!$B$18:$B$24,MATCH(MEDIAN($B79-Conversion!$B$14,2020,2050),Report_Scenarios!$A$18:$A$24,1)))*(MEDIAN($B79-Conversion!$B$14,2020,2050)-INDEX(Report_Scenarios!$A$18:$A$24,MATCH(MEDIAN($B79-Conversion!$B$14,2020,2050),Report_Scenarios!$A$18:$A$24,1)))/(INDEX(Report_Scenarios!$A$18:$A$24,MIN(MATCH(MEDIAN($B79-Conversion!$B$14,2020,2050),Report_Scenarios!$A$18:$A$24,1)+1,7))-INDEX(Report_Scenarios!$A$18:$A$24,MATCH(MEDIAN($B79-Conversion!$B$14,2020,2050),Report_Scenarios!$A$18:$A$24,1)))),IF(INDEX(Report_Scenarios!$A$29:$A$35,MIN(MATCH(MEDIAN($B79-Conversion!$B$14,2020,2050),Report_Scenarios!$A$29:$A$35,1)+1,7))=INDEX(Report_Scenarios!$A$29:$A$35,MATCH(MEDIAN($B79-Conversion!$B$14,2020,2050),Report_Scenarios!$A$29:$A$35,1)),INDEX(Report_Scenarios!$B$29:$B$35,MATCH(MEDIAN($B79-Conversion!$B$14,2020,2050),Report_Scenarios!$A$29:$A$35,1)),INDEX(Report_Scenarios!$B$29:$B$35,MATCH(MEDIAN($B79-Conversion!$B$14,2020,2050),Report_Scenarios!$A$29:$A$35,1))+(INDEX(Report_Scenarios!$B$29:$B$35,MIN(MATCH(MEDIAN($B79-Conversion!$B$14,2020,2050),Report_Scenarios!$A$29:$A$35,1)+1,7))-INDEX(Report_Scenarios!$B$29:$B$35,MATCH(MEDIAN($B79-Conversion!$B$14,2020,2050),Report_Scenarios!$A$29:$A$35,1)))*(MEDIAN($B79-Conversion!$B$14,2020,2050)-INDEX(Report_Scenarios!$A$29:$A$35,MATCH(MEDIAN($B79-Conversion!$B$14,2020,2050),Report_Scenarios!$A$29:$A$35,1)))/(INDEX(Report_Scenarios!$A$29:$A$35,MIN(MATCH(MEDIAN($B79-Conversion!$B$14,2020,2050),Report_Scenarios!$A$29:$A$35,1)+1,7))-INDEX(Report_Scenarios!$A$29:$A$35,MATCH(MEDIAN($B79-Conversion!$B$14,2020,2050),Report_Scenarios!$A$29:$A$35,1))))))</f>
        <v/>
      </c>
      <c r="F79" s="23">
        <f>IF($D79="Conservative",IF(INDEX(Report_Scenarios!$A$7:$A$13,MIN(MATCH(MEDIAN($B79-Conversion!$B$14,2020,2050),Report_Scenarios!$A$7:$A$13,1)+1,7))=INDEX(Report_Scenarios!$A$7:$A$13,MATCH(MEDIAN($B79-Conversion!$B$14,2020,2050),Report_Scenarios!$A$7:$A$13,1)),INDEX(Report_Scenarios!$C$7:$C$13,MATCH(MEDIAN($B79-Conversion!$B$14,2020,2050),Report_Scenarios!$A$7:$A$13,1)),INDEX(Report_Scenarios!$C$7:$C$13,MATCH(MEDIAN($B79-Conversion!$B$14,2020,2050),Report_Scenarios!$A$7:$A$13,1))+(INDEX(Report_Scenarios!$C$7:$C$13,MIN(MATCH(MEDIAN($B79-Conversion!$B$14,2020,2050),Report_Scenarios!$A$7:$A$13,1)+1,7))-INDEX(Report_Scenarios!$C$7:$C$13,MATCH(MEDIAN($B79-Conversion!$B$14,2020,2050),Report_Scenarios!$A$7:$A$13,1)))*(MEDIAN($B79-Conversion!$B$14,2020,2050)-INDEX(Report_Scenarios!$A$7:$A$13,MATCH(MEDIAN($B79-Conversion!$B$14,2020,2050),Report_Scenarios!$A$7:$A$13,1)))/(INDEX(Report_Scenarios!$A$7:$A$13,MIN(MATCH(MEDIAN($B79-Conversion!$B$14,2020,2050),Report_Scenarios!$A$7:$A$13,1)+1,7))-INDEX(Report_Scenarios!$A$7:$A$13,MATCH(MEDIAN($B79-Conversion!$B$14,2020,2050),Report_Scenarios!$A$7:$A$13,1)))),IF($D79="Central",IF(INDEX(Report_Scenarios!$A$18:$A$24,MIN(MATCH(MEDIAN($B79-Conversion!$B$14,2020,2050),Report_Scenarios!$A$18:$A$24,1)+1,7))=INDEX(Report_Scenarios!$A$18:$A$24,MATCH(MEDIAN($B79-Conversion!$B$14,2020,2050),Report_Scenarios!$A$18:$A$24,1)),INDEX(Report_Scenarios!$C$18:$C$24,MATCH(MEDIAN($B79-Conversion!$B$14,2020,2050),Report_Scenarios!$A$18:$A$24,1)),INDEX(Report_Scenarios!$C$18:$C$24,MATCH(MEDIAN($B79-Conversion!$B$14,2020,2050),Report_Scenarios!$A$18:$A$24,1))+(INDEX(Report_Scenarios!$C$18:$C$24,MIN(MATCH(MEDIAN($B79-Conversion!$B$14,2020,2050),Report_Scenarios!$A$18:$A$24,1)+1,7))-INDEX(Report_Scenarios!$C$18:$C$24,MATCH(MEDIAN($B79-Conversion!$B$14,2020,2050),Report_Scenarios!$A$18:$A$24,1)))*(MEDIAN($B79-Conversion!$B$14,2020,2050)-INDEX(Report_Scenarios!$A$18:$A$24,MATCH(MEDIAN($B79-Conversion!$B$14,2020,2050),Report_Scenarios!$A$18:$A$24,1)))/(INDEX(Report_Scenarios!$A$18:$A$24,MIN(MATCH(MEDIAN($B79-Conversion!$B$14,2020,2050),Report_Scenarios!$A$18:$A$24,1)+1,7))-INDEX(Report_Scenarios!$A$18:$A$24,MATCH(MEDIAN($B79-Conversion!$B$14,2020,2050),Report_Scenarios!$A$18:$A$24,1)))),IF(INDEX(Report_Scenarios!$A$29:$A$35,MIN(MATCH(MEDIAN($B79-Conversion!$B$14,2020,2050),Report_Scenarios!$A$29:$A$35,1)+1,7))=INDEX(Report_Scenarios!$A$29:$A$35,MATCH(MEDIAN($B79-Conversion!$B$14,2020,2050),Report_Scenarios!$A$29:$A$35,1)),INDEX(Report_Scenarios!$C$29:$C$35,MATCH(MEDIAN($B79-Conversion!$B$14,2020,2050),Report_Scenarios!$A$29:$A$35,1)),INDEX(Report_Scenarios!$C$29:$C$35,MATCH(MEDIAN($B79-Conversion!$B$14,2020,2050),Report_Scenarios!$A$29:$A$35,1))+(INDEX(Report_Scenarios!$C$29:$C$35,MIN(MATCH(MEDIAN($B79-Conversion!$B$14,2020,2050),Report_Scenarios!$A$29:$A$35,1)+1,7))-INDEX(Report_Scenarios!$C$29:$C$35,MATCH(MEDIAN($B79-Conversion!$B$14,2020,2050),Report_Scenarios!$A$29:$A$35,1)))*(MEDIAN($B79-Conversion!$B$14,2020,2050)-INDEX(Report_Scenarios!$A$29:$A$35,MATCH(MEDIAN($B79-Conversion!$B$14,2020,2050),Report_Scenarios!$A$29:$A$35,1)))/(INDEX(Report_Scenarios!$A$29:$A$35,MIN(MATCH(MEDIAN($B79-Conversion!$B$14,2020,2050),Report_Scenarios!$A$29:$A$35,1)+1,7))-INDEX(Report_Scenarios!$A$29:$A$35,MATCH(MEDIAN($B79-Conversion!$B$14,2020,2050),Report_Scenarios!$A$29:$A$35,1))))))</f>
        <v/>
      </c>
      <c r="G79" s="23">
        <f>IF($D79="Conservative",IF(INDEX(Report_Scenarios!$A$7:$A$13,MIN(MATCH(MEDIAN($B79-Conversion!$B$14,2020,2050),Report_Scenarios!$A$7:$A$13,1)+1,7))=INDEX(Report_Scenarios!$A$7:$A$13,MATCH(MEDIAN($B79-Conversion!$B$14,2020,2050),Report_Scenarios!$A$7:$A$13,1)),INDEX(Report_Scenarios!$D$7:$D$13,MATCH(MEDIAN($B79-Conversion!$B$14,2020,2050),Report_Scenarios!$A$7:$A$13,1)),INDEX(Report_Scenarios!$D$7:$D$13,MATCH(MEDIAN($B79-Conversion!$B$14,2020,2050),Report_Scenarios!$A$7:$A$13,1))+(INDEX(Report_Scenarios!$D$7:$D$13,MIN(MATCH(MEDIAN($B79-Conversion!$B$14,2020,2050),Report_Scenarios!$A$7:$A$13,1)+1,7))-INDEX(Report_Scenarios!$D$7:$D$13,MATCH(MEDIAN($B79-Conversion!$B$14,2020,2050),Report_Scenarios!$A$7:$A$13,1)))*(MEDIAN($B79-Conversion!$B$14,2020,2050)-INDEX(Report_Scenarios!$A$7:$A$13,MATCH(MEDIAN($B79-Conversion!$B$14,2020,2050),Report_Scenarios!$A$7:$A$13,1)))/(INDEX(Report_Scenarios!$A$7:$A$13,MIN(MATCH(MEDIAN($B79-Conversion!$B$14,2020,2050),Report_Scenarios!$A$7:$A$13,1)+1,7))-INDEX(Report_Scenarios!$A$7:$A$13,MATCH(MEDIAN($B79-Conversion!$B$14,2020,2050),Report_Scenarios!$A$7:$A$13,1)))),IF($D79="Central",IF(INDEX(Report_Scenarios!$A$18:$A$24,MIN(MATCH(MEDIAN($B79-Conversion!$B$14,2020,2050),Report_Scenarios!$A$18:$A$24,1)+1,7))=INDEX(Report_Scenarios!$A$18:$A$24,MATCH(MEDIAN($B79-Conversion!$B$14,2020,2050),Report_Scenarios!$A$18:$A$24,1)),INDEX(Report_Scenarios!$D$18:$D$24,MATCH(MEDIAN($B79-Conversion!$B$14,2020,2050),Report_Scenarios!$A$18:$A$24,1)),INDEX(Report_Scenarios!$D$18:$D$24,MATCH(MEDIAN($B79-Conversion!$B$14,2020,2050),Report_Scenarios!$A$18:$A$24,1))+(INDEX(Report_Scenarios!$D$18:$D$24,MIN(MATCH(MEDIAN($B79-Conversion!$B$14,2020,2050),Report_Scenarios!$A$18:$A$24,1)+1,7))-INDEX(Report_Scenarios!$D$18:$D$24,MATCH(MEDIAN($B79-Conversion!$B$14,2020,2050),Report_Scenarios!$A$18:$A$24,1)))*(MEDIAN($B79-Conversion!$B$14,2020,2050)-INDEX(Report_Scenarios!$A$18:$A$24,MATCH(MEDIAN($B79-Conversion!$B$14,2020,2050),Report_Scenarios!$A$18:$A$24,1)))/(INDEX(Report_Scenarios!$A$18:$A$24,MIN(MATCH(MEDIAN($B79-Conversion!$B$14,2020,2050),Report_Scenarios!$A$18:$A$24,1)+1,7))-INDEX(Report_Scenarios!$A$18:$A$24,MATCH(MEDIAN($B79-Conversion!$B$14,2020,2050),Report_Scenarios!$A$18:$A$24,1)))),IF(INDEX(Report_Scenarios!$A$29:$A$35,MIN(MATCH(MEDIAN($B79-Conversion!$B$14,2020,2050),Report_Scenarios!$A$29:$A$35,1)+1,7))=INDEX(Report_Scenarios!$A$29:$A$35,MATCH(MEDIAN($B79-Conversion!$B$14,2020,2050),Report_Scenarios!$A$29:$A$35,1)),INDEX(Report_Scenarios!$D$29:$D$35,MATCH(MEDIAN($B79-Conversion!$B$14,2020,2050),Report_Scenarios!$A$29:$A$35,1)),INDEX(Report_Scenarios!$D$29:$D$35,MATCH(MEDIAN($B79-Conversion!$B$14,2020,2050),Report_Scenarios!$A$29:$A$35,1))+(INDEX(Report_Scenarios!$D$29:$D$35,MIN(MATCH(MEDIAN($B79-Conversion!$B$14,2020,2050),Report_Scenarios!$A$29:$A$35,1)+1,7))-INDEX(Report_Scenarios!$D$29:$D$35,MATCH(MEDIAN($B79-Conversion!$B$14,2020,2050),Report_Scenarios!$A$29:$A$35,1)))*(MEDIAN($B79-Conversion!$B$14,2020,2050)-INDEX(Report_Scenarios!$A$29:$A$35,MATCH(MEDIAN($B79-Conversion!$B$14,2020,2050),Report_Scenarios!$A$29:$A$35,1)))/(INDEX(Report_Scenarios!$A$29:$A$35,MIN(MATCH(MEDIAN($B79-Conversion!$B$14,2020,2050),Report_Scenarios!$A$29:$A$35,1)+1,7))-INDEX(Report_Scenarios!$A$29:$A$35,MATCH(MEDIAN($B79-Conversion!$B$14,2020,2050),Report_Scenarios!$A$29:$A$35,1))))))</f>
        <v/>
      </c>
      <c r="H79" s="23">
        <f>IF($D79="Conservative",IF(INDEX(Report_Scenarios!$A$7:$A$13,MIN(MATCH(MEDIAN($B79-Conversion!$B$14,2020,2050),Report_Scenarios!$A$7:$A$13,1)+1,7))=INDEX(Report_Scenarios!$A$7:$A$13,MATCH(MEDIAN($B79-Conversion!$B$14,2020,2050),Report_Scenarios!$A$7:$A$13,1)),INDEX(Report_Scenarios!$E$7:$E$13,MATCH(MEDIAN($B79-Conversion!$B$14,2020,2050),Report_Scenarios!$A$7:$A$13,1)),INDEX(Report_Scenarios!$E$7:$E$13,MATCH(MEDIAN($B79-Conversion!$B$14,2020,2050),Report_Scenarios!$A$7:$A$13,1))+(INDEX(Report_Scenarios!$E$7:$E$13,MIN(MATCH(MEDIAN($B79-Conversion!$B$14,2020,2050),Report_Scenarios!$A$7:$A$13,1)+1,7))-INDEX(Report_Scenarios!$E$7:$E$13,MATCH(MEDIAN($B79-Conversion!$B$14,2020,2050),Report_Scenarios!$A$7:$A$13,1)))*(MEDIAN($B79-Conversion!$B$14,2020,2050)-INDEX(Report_Scenarios!$A$7:$A$13,MATCH(MEDIAN($B79-Conversion!$B$14,2020,2050),Report_Scenarios!$A$7:$A$13,1)))/(INDEX(Report_Scenarios!$A$7:$A$13,MIN(MATCH(MEDIAN($B79-Conversion!$B$14,2020,2050),Report_Scenarios!$A$7:$A$13,1)+1,7))-INDEX(Report_Scenarios!$A$7:$A$13,MATCH(MEDIAN($B79-Conversion!$B$14,2020,2050),Report_Scenarios!$A$7:$A$13,1)))),IF($D79="Central",IF(INDEX(Report_Scenarios!$A$18:$A$24,MIN(MATCH(MEDIAN($B79-Conversion!$B$14,2020,2050),Report_Scenarios!$A$18:$A$24,1)+1,7))=INDEX(Report_Scenarios!$A$18:$A$24,MATCH(MEDIAN($B79-Conversion!$B$14,2020,2050),Report_Scenarios!$A$18:$A$24,1)),INDEX(Report_Scenarios!$E$18:$E$24,MATCH(MEDIAN($B79-Conversion!$B$14,2020,2050),Report_Scenarios!$A$18:$A$24,1)),INDEX(Report_Scenarios!$E$18:$E$24,MATCH(MEDIAN($B79-Conversion!$B$14,2020,2050),Report_Scenarios!$A$18:$A$24,1))+(INDEX(Report_Scenarios!$E$18:$E$24,MIN(MATCH(MEDIAN($B79-Conversion!$B$14,2020,2050),Report_Scenarios!$A$18:$A$24,1)+1,7))-INDEX(Report_Scenarios!$E$18:$E$24,MATCH(MEDIAN($B79-Conversion!$B$14,2020,2050),Report_Scenarios!$A$18:$A$24,1)))*(MEDIAN($B79-Conversion!$B$14,2020,2050)-INDEX(Report_Scenarios!$A$18:$A$24,MATCH(MEDIAN($B79-Conversion!$B$14,2020,2050),Report_Scenarios!$A$18:$A$24,1)))/(INDEX(Report_Scenarios!$A$18:$A$24,MIN(MATCH(MEDIAN($B79-Conversion!$B$14,2020,2050),Report_Scenarios!$A$18:$A$24,1)+1,7))-INDEX(Report_Scenarios!$A$18:$A$24,MATCH(MEDIAN($B79-Conversion!$B$14,2020,2050),Report_Scenarios!$A$18:$A$24,1)))),IF(INDEX(Report_Scenarios!$A$29:$A$35,MIN(MATCH(MEDIAN($B79-Conversion!$B$14,2020,2050),Report_Scenarios!$A$29:$A$35,1)+1,7))=INDEX(Report_Scenarios!$A$29:$A$35,MATCH(MEDIAN($B79-Conversion!$B$14,2020,2050),Report_Scenarios!$A$29:$A$35,1)),INDEX(Report_Scenarios!$E$29:$E$35,MATCH(MEDIAN($B79-Conversion!$B$14,2020,2050),Report_Scenarios!$A$29:$A$35,1)),INDEX(Report_Scenarios!$E$29:$E$35,MATCH(MEDIAN($B79-Conversion!$B$14,2020,2050),Report_Scenarios!$A$29:$A$35,1))+(INDEX(Report_Scenarios!$E$29:$E$35,MIN(MATCH(MEDIAN($B79-Conversion!$B$14,2020,2050),Report_Scenarios!$A$29:$A$35,1)+1,7))-INDEX(Report_Scenarios!$E$29:$E$35,MATCH(MEDIAN($B79-Conversion!$B$14,2020,2050),Report_Scenarios!$A$29:$A$35,1)))*(MEDIAN($B79-Conversion!$B$14,2020,2050)-INDEX(Report_Scenarios!$A$29:$A$35,MATCH(MEDIAN($B79-Conversion!$B$14,2020,2050),Report_Scenarios!$A$29:$A$35,1)))/(INDEX(Report_Scenarios!$A$29:$A$35,MIN(MATCH(MEDIAN($B79-Conversion!$B$14,2020,2050),Report_Scenarios!$A$29:$A$35,1)+1,7))-INDEX(Report_Scenarios!$A$29:$A$35,MATCH(MEDIAN($B79-Conversion!$B$14,2020,2050),Report_Scenarios!$A$29:$A$35,1))))))</f>
        <v/>
      </c>
      <c r="I79" s="23">
        <f>IF($D79="Conservative",IF(INDEX(Report_Scenarios!$A$7:$A$13,MIN(MATCH(MEDIAN($B79-Conversion!$B$14,2020,2050),Report_Scenarios!$A$7:$A$13,1)+1,7))=INDEX(Report_Scenarios!$A$7:$A$13,MATCH(MEDIAN($B79-Conversion!$B$14,2020,2050),Report_Scenarios!$A$7:$A$13,1)),INDEX(Report_Scenarios!$F$7:$F$13,MATCH(MEDIAN($B79-Conversion!$B$14,2020,2050),Report_Scenarios!$A$7:$A$13,1)),INDEX(Report_Scenarios!$F$7:$F$13,MATCH(MEDIAN($B79-Conversion!$B$14,2020,2050),Report_Scenarios!$A$7:$A$13,1))+(INDEX(Report_Scenarios!$F$7:$F$13,MIN(MATCH(MEDIAN($B79-Conversion!$B$14,2020,2050),Report_Scenarios!$A$7:$A$13,1)+1,7))-INDEX(Report_Scenarios!$F$7:$F$13,MATCH(MEDIAN($B79-Conversion!$B$14,2020,2050),Report_Scenarios!$A$7:$A$13,1)))*(MEDIAN($B79-Conversion!$B$14,2020,2050)-INDEX(Report_Scenarios!$A$7:$A$13,MATCH(MEDIAN($B79-Conversion!$B$14,2020,2050),Report_Scenarios!$A$7:$A$13,1)))/(INDEX(Report_Scenarios!$A$7:$A$13,MIN(MATCH(MEDIAN($B79-Conversion!$B$14,2020,2050),Report_Scenarios!$A$7:$A$13,1)+1,7))-INDEX(Report_Scenarios!$A$7:$A$13,MATCH(MEDIAN($B79-Conversion!$B$14,2020,2050),Report_Scenarios!$A$7:$A$13,1)))),IF($D79="Central",IF(INDEX(Report_Scenarios!$A$18:$A$24,MIN(MATCH(MEDIAN($B79-Conversion!$B$14,2020,2050),Report_Scenarios!$A$18:$A$24,1)+1,7))=INDEX(Report_Scenarios!$A$18:$A$24,MATCH(MEDIAN($B79-Conversion!$B$14,2020,2050),Report_Scenarios!$A$18:$A$24,1)),INDEX(Report_Scenarios!$F$18:$F$24,MATCH(MEDIAN($B79-Conversion!$B$14,2020,2050),Report_Scenarios!$A$18:$A$24,1)),INDEX(Report_Scenarios!$F$18:$F$24,MATCH(MEDIAN($B79-Conversion!$B$14,2020,2050),Report_Scenarios!$A$18:$A$24,1))+(INDEX(Report_Scenarios!$F$18:$F$24,MIN(MATCH(MEDIAN($B79-Conversion!$B$14,2020,2050),Report_Scenarios!$A$18:$A$24,1)+1,7))-INDEX(Report_Scenarios!$F$18:$F$24,MATCH(MEDIAN($B79-Conversion!$B$14,2020,2050),Report_Scenarios!$A$18:$A$24,1)))*(MEDIAN($B79-Conversion!$B$14,2020,2050)-INDEX(Report_Scenarios!$A$18:$A$24,MATCH(MEDIAN($B79-Conversion!$B$14,2020,2050),Report_Scenarios!$A$18:$A$24,1)))/(INDEX(Report_Scenarios!$A$18:$A$24,MIN(MATCH(MEDIAN($B79-Conversion!$B$14,2020,2050),Report_Scenarios!$A$18:$A$24,1)+1,7))-INDEX(Report_Scenarios!$A$18:$A$24,MATCH(MEDIAN($B79-Conversion!$B$14,2020,2050),Report_Scenarios!$A$18:$A$24,1)))),IF(INDEX(Report_Scenarios!$A$29:$A$35,MIN(MATCH(MEDIAN($B79-Conversion!$B$14,2020,2050),Report_Scenarios!$A$29:$A$35,1)+1,7))=INDEX(Report_Scenarios!$A$29:$A$35,MATCH(MEDIAN($B79-Conversion!$B$14,2020,2050),Report_Scenarios!$A$29:$A$35,1)),INDEX(Report_Scenarios!$F$29:$F$35,MATCH(MEDIAN($B79-Conversion!$B$14,2020,2050),Report_Scenarios!$A$29:$A$35,1)),INDEX(Report_Scenarios!$F$29:$F$35,MATCH(MEDIAN($B79-Conversion!$B$14,2020,2050),Report_Scenarios!$A$29:$A$35,1))+(INDEX(Report_Scenarios!$F$29:$F$35,MIN(MATCH(MEDIAN($B79-Conversion!$B$14,2020,2050),Report_Scenarios!$A$29:$A$35,1)+1,7))-INDEX(Report_Scenarios!$F$29:$F$35,MATCH(MEDIAN($B79-Conversion!$B$14,2020,2050),Report_Scenarios!$A$29:$A$35,1)))*(MEDIAN($B79-Conversion!$B$14,2020,2050)-INDEX(Report_Scenarios!$A$29:$A$35,MATCH(MEDIAN($B79-Conversion!$B$14,2020,2050),Report_Scenarios!$A$29:$A$35,1)))/(INDEX(Report_Scenarios!$A$29:$A$35,MIN(MATCH(MEDIAN($B79-Conversion!$B$14,2020,2050),Report_Scenarios!$A$29:$A$35,1)+1,7))-INDEX(Report_Scenarios!$A$29:$A$35,MATCH(MEDIAN($B79-Conversion!$B$14,2020,2050),Report_Scenarios!$A$29:$A$35,1))))))</f>
        <v/>
      </c>
      <c r="J79" s="23">
        <f>IF($D79="Conservative",IF(INDEX(Report_Scenarios!$A$7:$A$13,MIN(MATCH(MEDIAN($B79-Conversion!$B$14,2020,2050),Report_Scenarios!$A$7:$A$13,1)+1,7))=INDEX(Report_Scenarios!$A$7:$A$13,MATCH(MEDIAN($B79-Conversion!$B$14,2020,2050),Report_Scenarios!$A$7:$A$13,1)),INDEX(Report_Scenarios!$G$7:$G$13,MATCH(MEDIAN($B79-Conversion!$B$14,2020,2050),Report_Scenarios!$A$7:$A$13,1)),INDEX(Report_Scenarios!$G$7:$G$13,MATCH(MEDIAN($B79-Conversion!$B$14,2020,2050),Report_Scenarios!$A$7:$A$13,1))+(INDEX(Report_Scenarios!$G$7:$G$13,MIN(MATCH(MEDIAN($B79-Conversion!$B$14,2020,2050),Report_Scenarios!$A$7:$A$13,1)+1,7))-INDEX(Report_Scenarios!$G$7:$G$13,MATCH(MEDIAN($B79-Conversion!$B$14,2020,2050),Report_Scenarios!$A$7:$A$13,1)))*(MEDIAN($B79-Conversion!$B$14,2020,2050)-INDEX(Report_Scenarios!$A$7:$A$13,MATCH(MEDIAN($B79-Conversion!$B$14,2020,2050),Report_Scenarios!$A$7:$A$13,1)))/(INDEX(Report_Scenarios!$A$7:$A$13,MIN(MATCH(MEDIAN($B79-Conversion!$B$14,2020,2050),Report_Scenarios!$A$7:$A$13,1)+1,7))-INDEX(Report_Scenarios!$A$7:$A$13,MATCH(MEDIAN($B79-Conversion!$B$14,2020,2050),Report_Scenarios!$A$7:$A$13,1)))),IF($D79="Central",IF(INDEX(Report_Scenarios!$A$18:$A$24,MIN(MATCH(MEDIAN($B79-Conversion!$B$14,2020,2050),Report_Scenarios!$A$18:$A$24,1)+1,7))=INDEX(Report_Scenarios!$A$18:$A$24,MATCH(MEDIAN($B79-Conversion!$B$14,2020,2050),Report_Scenarios!$A$18:$A$24,1)),INDEX(Report_Scenarios!$G$18:$G$24,MATCH(MEDIAN($B79-Conversion!$B$14,2020,2050),Report_Scenarios!$A$18:$A$24,1)),INDEX(Report_Scenarios!$G$18:$G$24,MATCH(MEDIAN($B79-Conversion!$B$14,2020,2050),Report_Scenarios!$A$18:$A$24,1))+(INDEX(Report_Scenarios!$G$18:$G$24,MIN(MATCH(MEDIAN($B79-Conversion!$B$14,2020,2050),Report_Scenarios!$A$18:$A$24,1)+1,7))-INDEX(Report_Scenarios!$G$18:$G$24,MATCH(MEDIAN($B79-Conversion!$B$14,2020,2050),Report_Scenarios!$A$18:$A$24,1)))*(MEDIAN($B79-Conversion!$B$14,2020,2050)-INDEX(Report_Scenarios!$A$18:$A$24,MATCH(MEDIAN($B79-Conversion!$B$14,2020,2050),Report_Scenarios!$A$18:$A$24,1)))/(INDEX(Report_Scenarios!$A$18:$A$24,MIN(MATCH(MEDIAN($B79-Conversion!$B$14,2020,2050),Report_Scenarios!$A$18:$A$24,1)+1,7))-INDEX(Report_Scenarios!$A$18:$A$24,MATCH(MEDIAN($B79-Conversion!$B$14,2020,2050),Report_Scenarios!$A$18:$A$24,1)))),IF(INDEX(Report_Scenarios!$A$29:$A$35,MIN(MATCH(MEDIAN($B79-Conversion!$B$14,2020,2050),Report_Scenarios!$A$29:$A$35,1)+1,7))=INDEX(Report_Scenarios!$A$29:$A$35,MATCH(MEDIAN($B79-Conversion!$B$14,2020,2050),Report_Scenarios!$A$29:$A$35,1)),INDEX(Report_Scenarios!$G$29:$G$35,MATCH(MEDIAN($B79-Conversion!$B$14,2020,2050),Report_Scenarios!$A$29:$A$35,1)),INDEX(Report_Scenarios!$G$29:$G$35,MATCH(MEDIAN($B79-Conversion!$B$14,2020,2050),Report_Scenarios!$A$29:$A$35,1))+(INDEX(Report_Scenarios!$G$29:$G$35,MIN(MATCH(MEDIAN($B79-Conversion!$B$14,2020,2050),Report_Scenarios!$A$29:$A$35,1)+1,7))-INDEX(Report_Scenarios!$G$29:$G$35,MATCH(MEDIAN($B79-Conversion!$B$14,2020,2050),Report_Scenarios!$A$29:$A$35,1)))*(MEDIAN($B79-Conversion!$B$14,2020,2050)-INDEX(Report_Scenarios!$A$29:$A$35,MATCH(MEDIAN($B79-Conversion!$B$14,2020,2050),Report_Scenarios!$A$29:$A$35,1)))/(INDEX(Report_Scenarios!$A$29:$A$35,MIN(MATCH(MEDIAN($B79-Conversion!$B$14,2020,2050),Report_Scenarios!$A$29:$A$35,1)+1,7))-INDEX(Report_Scenarios!$A$29:$A$35,MATCH(MEDIAN($B79-Conversion!$B$14,2020,2050),Report_Scenarios!$A$29:$A$35,1))))))</f>
        <v/>
      </c>
      <c r="K79" s="23">
        <f>SUM(E79:J79)</f>
        <v/>
      </c>
      <c r="L79" s="23">
        <f>IF(R79&lt;&gt;"",R79,IF($K79=0,0,E79/$K79))</f>
        <v/>
      </c>
      <c r="M79" s="23">
        <f>IF(S79&lt;&gt;"",S79,IF($K79=0,0,F79/$K79))</f>
        <v/>
      </c>
      <c r="N79" s="23">
        <f>IF(T79&lt;&gt;"",T79,IF($K79=0,0,G79/$K79))</f>
        <v/>
      </c>
      <c r="O79" s="23">
        <f>IF(U79&lt;&gt;"",U79,IF($K79=0,0,H79/$K79))</f>
        <v/>
      </c>
      <c r="P79" s="23">
        <f>IF(V79&lt;&gt;"",V79,IF($K79=0,0,I79/$K79))</f>
        <v/>
      </c>
      <c r="Q79" s="23">
        <f>IF(W79&lt;&gt;"",W79,IF($K79=0,0,J79/$K79))</f>
        <v/>
      </c>
      <c r="R79" s="24" t="n"/>
      <c r="S79" s="24" t="n"/>
      <c r="T79" s="24" t="n"/>
      <c r="U79" s="24" t="n"/>
      <c r="V79" s="24" t="n"/>
      <c r="W79" s="24" t="n"/>
    </row>
    <row r="80">
      <c r="A80" s="4" t="inlineStr">
        <is>
          <t>EF</t>
        </is>
      </c>
      <c r="B80" s="4" t="n">
        <v>2045</v>
      </c>
      <c r="C80" s="4" t="inlineStr">
        <is>
          <t>Share_Min</t>
        </is>
      </c>
      <c r="D80" s="4">
        <f>Conversion!$B$18</f>
        <v/>
      </c>
      <c r="E80" s="23">
        <f>IF($D80="Conservative",IF(INDEX(Report_Scenarios!$A$7:$A$13,MIN(MATCH(MEDIAN($B80-Conversion!$B$14,2020,2050),Report_Scenarios!$A$7:$A$13,1)+1,7))=INDEX(Report_Scenarios!$A$7:$A$13,MATCH(MEDIAN($B80-Conversion!$B$14,2020,2050),Report_Scenarios!$A$7:$A$13,1)),INDEX(Report_Scenarios!$B$7:$B$13,MATCH(MEDIAN($B80-Conversion!$B$14,2020,2050),Report_Scenarios!$A$7:$A$13,1)),INDEX(Report_Scenarios!$B$7:$B$13,MATCH(MEDIAN($B80-Conversion!$B$14,2020,2050),Report_Scenarios!$A$7:$A$13,1))+(INDEX(Report_Scenarios!$B$7:$B$13,MIN(MATCH(MEDIAN($B80-Conversion!$B$14,2020,2050),Report_Scenarios!$A$7:$A$13,1)+1,7))-INDEX(Report_Scenarios!$B$7:$B$13,MATCH(MEDIAN($B80-Conversion!$B$14,2020,2050),Report_Scenarios!$A$7:$A$13,1)))*(MEDIAN($B80-Conversion!$B$14,2020,2050)-INDEX(Report_Scenarios!$A$7:$A$13,MATCH(MEDIAN($B80-Conversion!$B$14,2020,2050),Report_Scenarios!$A$7:$A$13,1)))/(INDEX(Report_Scenarios!$A$7:$A$13,MIN(MATCH(MEDIAN($B80-Conversion!$B$14,2020,2050),Report_Scenarios!$A$7:$A$13,1)+1,7))-INDEX(Report_Scenarios!$A$7:$A$13,MATCH(MEDIAN($B80-Conversion!$B$14,2020,2050),Report_Scenarios!$A$7:$A$13,1)))),IF($D80="Central",IF(INDEX(Report_Scenarios!$A$18:$A$24,MIN(MATCH(MEDIAN($B80-Conversion!$B$14,2020,2050),Report_Scenarios!$A$18:$A$24,1)+1,7))=INDEX(Report_Scenarios!$A$18:$A$24,MATCH(MEDIAN($B80-Conversion!$B$14,2020,2050),Report_Scenarios!$A$18:$A$24,1)),INDEX(Report_Scenarios!$B$18:$B$24,MATCH(MEDIAN($B80-Conversion!$B$14,2020,2050),Report_Scenarios!$A$18:$A$24,1)),INDEX(Report_Scenarios!$B$18:$B$24,MATCH(MEDIAN($B80-Conversion!$B$14,2020,2050),Report_Scenarios!$A$18:$A$24,1))+(INDEX(Report_Scenarios!$B$18:$B$24,MIN(MATCH(MEDIAN($B80-Conversion!$B$14,2020,2050),Report_Scenarios!$A$18:$A$24,1)+1,7))-INDEX(Report_Scenarios!$B$18:$B$24,MATCH(MEDIAN($B80-Conversion!$B$14,2020,2050),Report_Scenarios!$A$18:$A$24,1)))*(MEDIAN($B80-Conversion!$B$14,2020,2050)-INDEX(Report_Scenarios!$A$18:$A$24,MATCH(MEDIAN($B80-Conversion!$B$14,2020,2050),Report_Scenarios!$A$18:$A$24,1)))/(INDEX(Report_Scenarios!$A$18:$A$24,MIN(MATCH(MEDIAN($B80-Conversion!$B$14,2020,2050),Report_Scenarios!$A$18:$A$24,1)+1,7))-INDEX(Report_Scenarios!$A$18:$A$24,MATCH(MEDIAN($B80-Conversion!$B$14,2020,2050),Report_Scenarios!$A$18:$A$24,1)))),IF(INDEX(Report_Scenarios!$A$29:$A$35,MIN(MATCH(MEDIAN($B80-Conversion!$B$14,2020,2050),Report_Scenarios!$A$29:$A$35,1)+1,7))=INDEX(Report_Scenarios!$A$29:$A$35,MATCH(MEDIAN($B80-Conversion!$B$14,2020,2050),Report_Scenarios!$A$29:$A$35,1)),INDEX(Report_Scenarios!$B$29:$B$35,MATCH(MEDIAN($B80-Conversion!$B$14,2020,2050),Report_Scenarios!$A$29:$A$35,1)),INDEX(Report_Scenarios!$B$29:$B$35,MATCH(MEDIAN($B80-Conversion!$B$14,2020,2050),Report_Scenarios!$A$29:$A$35,1))+(INDEX(Report_Scenarios!$B$29:$B$35,MIN(MATCH(MEDIAN($B80-Conversion!$B$14,2020,2050),Report_Scenarios!$A$29:$A$35,1)+1,7))-INDEX(Report_Scenarios!$B$29:$B$35,MATCH(MEDIAN($B80-Conversion!$B$14,2020,2050),Report_Scenarios!$A$29:$A$35,1)))*(MEDIAN($B80-Conversion!$B$14,2020,2050)-INDEX(Report_Scenarios!$A$29:$A$35,MATCH(MEDIAN($B80-Conversion!$B$14,2020,2050),Report_Scenarios!$A$29:$A$35,1)))/(INDEX(Report_Scenarios!$A$29:$A$35,MIN(MATCH(MEDIAN($B80-Conversion!$B$14,2020,2050),Report_Scenarios!$A$29:$A$35,1)+1,7))-INDEX(Report_Scenarios!$A$29:$A$35,MATCH(MEDIAN($B80-Conversion!$B$14,2020,2050),Report_Scenarios!$A$29:$A$35,1))))))</f>
        <v/>
      </c>
      <c r="F80" s="23">
        <f>IF($D80="Conservative",IF(INDEX(Report_Scenarios!$A$7:$A$13,MIN(MATCH(MEDIAN($B80-Conversion!$B$14,2020,2050),Report_Scenarios!$A$7:$A$13,1)+1,7))=INDEX(Report_Scenarios!$A$7:$A$13,MATCH(MEDIAN($B80-Conversion!$B$14,2020,2050),Report_Scenarios!$A$7:$A$13,1)),INDEX(Report_Scenarios!$C$7:$C$13,MATCH(MEDIAN($B80-Conversion!$B$14,2020,2050),Report_Scenarios!$A$7:$A$13,1)),INDEX(Report_Scenarios!$C$7:$C$13,MATCH(MEDIAN($B80-Conversion!$B$14,2020,2050),Report_Scenarios!$A$7:$A$13,1))+(INDEX(Report_Scenarios!$C$7:$C$13,MIN(MATCH(MEDIAN($B80-Conversion!$B$14,2020,2050),Report_Scenarios!$A$7:$A$13,1)+1,7))-INDEX(Report_Scenarios!$C$7:$C$13,MATCH(MEDIAN($B80-Conversion!$B$14,2020,2050),Report_Scenarios!$A$7:$A$13,1)))*(MEDIAN($B80-Conversion!$B$14,2020,2050)-INDEX(Report_Scenarios!$A$7:$A$13,MATCH(MEDIAN($B80-Conversion!$B$14,2020,2050),Report_Scenarios!$A$7:$A$13,1)))/(INDEX(Report_Scenarios!$A$7:$A$13,MIN(MATCH(MEDIAN($B80-Conversion!$B$14,2020,2050),Report_Scenarios!$A$7:$A$13,1)+1,7))-INDEX(Report_Scenarios!$A$7:$A$13,MATCH(MEDIAN($B80-Conversion!$B$14,2020,2050),Report_Scenarios!$A$7:$A$13,1)))),IF($D80="Central",IF(INDEX(Report_Scenarios!$A$18:$A$24,MIN(MATCH(MEDIAN($B80-Conversion!$B$14,2020,2050),Report_Scenarios!$A$18:$A$24,1)+1,7))=INDEX(Report_Scenarios!$A$18:$A$24,MATCH(MEDIAN($B80-Conversion!$B$14,2020,2050),Report_Scenarios!$A$18:$A$24,1)),INDEX(Report_Scenarios!$C$18:$C$24,MATCH(MEDIAN($B80-Conversion!$B$14,2020,2050),Report_Scenarios!$A$18:$A$24,1)),INDEX(Report_Scenarios!$C$18:$C$24,MATCH(MEDIAN($B80-Conversion!$B$14,2020,2050),Report_Scenarios!$A$18:$A$24,1))+(INDEX(Report_Scenarios!$C$18:$C$24,MIN(MATCH(MEDIAN($B80-Conversion!$B$14,2020,2050),Report_Scenarios!$A$18:$A$24,1)+1,7))-INDEX(Report_Scenarios!$C$18:$C$24,MATCH(MEDIAN($B80-Conversion!$B$14,2020,2050),Report_Scenarios!$A$18:$A$24,1)))*(MEDIAN($B80-Conversion!$B$14,2020,2050)-INDEX(Report_Scenarios!$A$18:$A$24,MATCH(MEDIAN($B80-Conversion!$B$14,2020,2050),Report_Scenarios!$A$18:$A$24,1)))/(INDEX(Report_Scenarios!$A$18:$A$24,MIN(MATCH(MEDIAN($B80-Conversion!$B$14,2020,2050),Report_Scenarios!$A$18:$A$24,1)+1,7))-INDEX(Report_Scenarios!$A$18:$A$24,MATCH(MEDIAN($B80-Conversion!$B$14,2020,2050),Report_Scenarios!$A$18:$A$24,1)))),IF(INDEX(Report_Scenarios!$A$29:$A$35,MIN(MATCH(MEDIAN($B80-Conversion!$B$14,2020,2050),Report_Scenarios!$A$29:$A$35,1)+1,7))=INDEX(Report_Scenarios!$A$29:$A$35,MATCH(MEDIAN($B80-Conversion!$B$14,2020,2050),Report_Scenarios!$A$29:$A$35,1)),INDEX(Report_Scenarios!$C$29:$C$35,MATCH(MEDIAN($B80-Conversion!$B$14,2020,2050),Report_Scenarios!$A$29:$A$35,1)),INDEX(Report_Scenarios!$C$29:$C$35,MATCH(MEDIAN($B80-Conversion!$B$14,2020,2050),Report_Scenarios!$A$29:$A$35,1))+(INDEX(Report_Scenarios!$C$29:$C$35,MIN(MATCH(MEDIAN($B80-Conversion!$B$14,2020,2050),Report_Scenarios!$A$29:$A$35,1)+1,7))-INDEX(Report_Scenarios!$C$29:$C$35,MATCH(MEDIAN($B80-Conversion!$B$14,2020,2050),Report_Scenarios!$A$29:$A$35,1)))*(MEDIAN($B80-Conversion!$B$14,2020,2050)-INDEX(Report_Scenarios!$A$29:$A$35,MATCH(MEDIAN($B80-Conversion!$B$14,2020,2050),Report_Scenarios!$A$29:$A$35,1)))/(INDEX(Report_Scenarios!$A$29:$A$35,MIN(MATCH(MEDIAN($B80-Conversion!$B$14,2020,2050),Report_Scenarios!$A$29:$A$35,1)+1,7))-INDEX(Report_Scenarios!$A$29:$A$35,MATCH(MEDIAN($B80-Conversion!$B$14,2020,2050),Report_Scenarios!$A$29:$A$35,1))))))</f>
        <v/>
      </c>
      <c r="G80" s="23">
        <f>IF($D80="Conservative",IF(INDEX(Report_Scenarios!$A$7:$A$13,MIN(MATCH(MEDIAN($B80-Conversion!$B$14,2020,2050),Report_Scenarios!$A$7:$A$13,1)+1,7))=INDEX(Report_Scenarios!$A$7:$A$13,MATCH(MEDIAN($B80-Conversion!$B$14,2020,2050),Report_Scenarios!$A$7:$A$13,1)),INDEX(Report_Scenarios!$D$7:$D$13,MATCH(MEDIAN($B80-Conversion!$B$14,2020,2050),Report_Scenarios!$A$7:$A$13,1)),INDEX(Report_Scenarios!$D$7:$D$13,MATCH(MEDIAN($B80-Conversion!$B$14,2020,2050),Report_Scenarios!$A$7:$A$13,1))+(INDEX(Report_Scenarios!$D$7:$D$13,MIN(MATCH(MEDIAN($B80-Conversion!$B$14,2020,2050),Report_Scenarios!$A$7:$A$13,1)+1,7))-INDEX(Report_Scenarios!$D$7:$D$13,MATCH(MEDIAN($B80-Conversion!$B$14,2020,2050),Report_Scenarios!$A$7:$A$13,1)))*(MEDIAN($B80-Conversion!$B$14,2020,2050)-INDEX(Report_Scenarios!$A$7:$A$13,MATCH(MEDIAN($B80-Conversion!$B$14,2020,2050),Report_Scenarios!$A$7:$A$13,1)))/(INDEX(Report_Scenarios!$A$7:$A$13,MIN(MATCH(MEDIAN($B80-Conversion!$B$14,2020,2050),Report_Scenarios!$A$7:$A$13,1)+1,7))-INDEX(Report_Scenarios!$A$7:$A$13,MATCH(MEDIAN($B80-Conversion!$B$14,2020,2050),Report_Scenarios!$A$7:$A$13,1)))),IF($D80="Central",IF(INDEX(Report_Scenarios!$A$18:$A$24,MIN(MATCH(MEDIAN($B80-Conversion!$B$14,2020,2050),Report_Scenarios!$A$18:$A$24,1)+1,7))=INDEX(Report_Scenarios!$A$18:$A$24,MATCH(MEDIAN($B80-Conversion!$B$14,2020,2050),Report_Scenarios!$A$18:$A$24,1)),INDEX(Report_Scenarios!$D$18:$D$24,MATCH(MEDIAN($B80-Conversion!$B$14,2020,2050),Report_Scenarios!$A$18:$A$24,1)),INDEX(Report_Scenarios!$D$18:$D$24,MATCH(MEDIAN($B80-Conversion!$B$14,2020,2050),Report_Scenarios!$A$18:$A$24,1))+(INDEX(Report_Scenarios!$D$18:$D$24,MIN(MATCH(MEDIAN($B80-Conversion!$B$14,2020,2050),Report_Scenarios!$A$18:$A$24,1)+1,7))-INDEX(Report_Scenarios!$D$18:$D$24,MATCH(MEDIAN($B80-Conversion!$B$14,2020,2050),Report_Scenarios!$A$18:$A$24,1)))*(MEDIAN($B80-Conversion!$B$14,2020,2050)-INDEX(Report_Scenarios!$A$18:$A$24,MATCH(MEDIAN($B80-Conversion!$B$14,2020,2050),Report_Scenarios!$A$18:$A$24,1)))/(INDEX(Report_Scenarios!$A$18:$A$24,MIN(MATCH(MEDIAN($B80-Conversion!$B$14,2020,2050),Report_Scenarios!$A$18:$A$24,1)+1,7))-INDEX(Report_Scenarios!$A$18:$A$24,MATCH(MEDIAN($B80-Conversion!$B$14,2020,2050),Report_Scenarios!$A$18:$A$24,1)))),IF(INDEX(Report_Scenarios!$A$29:$A$35,MIN(MATCH(MEDIAN($B80-Conversion!$B$14,2020,2050),Report_Scenarios!$A$29:$A$35,1)+1,7))=INDEX(Report_Scenarios!$A$29:$A$35,MATCH(MEDIAN($B80-Conversion!$B$14,2020,2050),Report_Scenarios!$A$29:$A$35,1)),INDEX(Report_Scenarios!$D$29:$D$35,MATCH(MEDIAN($B80-Conversion!$B$14,2020,2050),Report_Scenarios!$A$29:$A$35,1)),INDEX(Report_Scenarios!$D$29:$D$35,MATCH(MEDIAN($B80-Conversion!$B$14,2020,2050),Report_Scenarios!$A$29:$A$35,1))+(INDEX(Report_Scenarios!$D$29:$D$35,MIN(MATCH(MEDIAN($B80-Conversion!$B$14,2020,2050),Report_Scenarios!$A$29:$A$35,1)+1,7))-INDEX(Report_Scenarios!$D$29:$D$35,MATCH(MEDIAN($B80-Conversion!$B$14,2020,2050),Report_Scenarios!$A$29:$A$35,1)))*(MEDIAN($B80-Conversion!$B$14,2020,2050)-INDEX(Report_Scenarios!$A$29:$A$35,MATCH(MEDIAN($B80-Conversion!$B$14,2020,2050),Report_Scenarios!$A$29:$A$35,1)))/(INDEX(Report_Scenarios!$A$29:$A$35,MIN(MATCH(MEDIAN($B80-Conversion!$B$14,2020,2050),Report_Scenarios!$A$29:$A$35,1)+1,7))-INDEX(Report_Scenarios!$A$29:$A$35,MATCH(MEDIAN($B80-Conversion!$B$14,2020,2050),Report_Scenarios!$A$29:$A$35,1))))))</f>
        <v/>
      </c>
      <c r="H80" s="23">
        <f>IF($D80="Conservative",IF(INDEX(Report_Scenarios!$A$7:$A$13,MIN(MATCH(MEDIAN($B80-Conversion!$B$14,2020,2050),Report_Scenarios!$A$7:$A$13,1)+1,7))=INDEX(Report_Scenarios!$A$7:$A$13,MATCH(MEDIAN($B80-Conversion!$B$14,2020,2050),Report_Scenarios!$A$7:$A$13,1)),INDEX(Report_Scenarios!$E$7:$E$13,MATCH(MEDIAN($B80-Conversion!$B$14,2020,2050),Report_Scenarios!$A$7:$A$13,1)),INDEX(Report_Scenarios!$E$7:$E$13,MATCH(MEDIAN($B80-Conversion!$B$14,2020,2050),Report_Scenarios!$A$7:$A$13,1))+(INDEX(Report_Scenarios!$E$7:$E$13,MIN(MATCH(MEDIAN($B80-Conversion!$B$14,2020,2050),Report_Scenarios!$A$7:$A$13,1)+1,7))-INDEX(Report_Scenarios!$E$7:$E$13,MATCH(MEDIAN($B80-Conversion!$B$14,2020,2050),Report_Scenarios!$A$7:$A$13,1)))*(MEDIAN($B80-Conversion!$B$14,2020,2050)-INDEX(Report_Scenarios!$A$7:$A$13,MATCH(MEDIAN($B80-Conversion!$B$14,2020,2050),Report_Scenarios!$A$7:$A$13,1)))/(INDEX(Report_Scenarios!$A$7:$A$13,MIN(MATCH(MEDIAN($B80-Conversion!$B$14,2020,2050),Report_Scenarios!$A$7:$A$13,1)+1,7))-INDEX(Report_Scenarios!$A$7:$A$13,MATCH(MEDIAN($B80-Conversion!$B$14,2020,2050),Report_Scenarios!$A$7:$A$13,1)))),IF($D80="Central",IF(INDEX(Report_Scenarios!$A$18:$A$24,MIN(MATCH(MEDIAN($B80-Conversion!$B$14,2020,2050),Report_Scenarios!$A$18:$A$24,1)+1,7))=INDEX(Report_Scenarios!$A$18:$A$24,MATCH(MEDIAN($B80-Conversion!$B$14,2020,2050),Report_Scenarios!$A$18:$A$24,1)),INDEX(Report_Scenarios!$E$18:$E$24,MATCH(MEDIAN($B80-Conversion!$B$14,2020,2050),Report_Scenarios!$A$18:$A$24,1)),INDEX(Report_Scenarios!$E$18:$E$24,MATCH(MEDIAN($B80-Conversion!$B$14,2020,2050),Report_Scenarios!$A$18:$A$24,1))+(INDEX(Report_Scenarios!$E$18:$E$24,MIN(MATCH(MEDIAN($B80-Conversion!$B$14,2020,2050),Report_Scenarios!$A$18:$A$24,1)+1,7))-INDEX(Report_Scenarios!$E$18:$E$24,MATCH(MEDIAN($B80-Conversion!$B$14,2020,2050),Report_Scenarios!$A$18:$A$24,1)))*(MEDIAN($B80-Conversion!$B$14,2020,2050)-INDEX(Report_Scenarios!$A$18:$A$24,MATCH(MEDIAN($B80-Conversion!$B$14,2020,2050),Report_Scenarios!$A$18:$A$24,1)))/(INDEX(Report_Scenarios!$A$18:$A$24,MIN(MATCH(MEDIAN($B80-Conversion!$B$14,2020,2050),Report_Scenarios!$A$18:$A$24,1)+1,7))-INDEX(Report_Scenarios!$A$18:$A$24,MATCH(MEDIAN($B80-Conversion!$B$14,2020,2050),Report_Scenarios!$A$18:$A$24,1)))),IF(INDEX(Report_Scenarios!$A$29:$A$35,MIN(MATCH(MEDIAN($B80-Conversion!$B$14,2020,2050),Report_Scenarios!$A$29:$A$35,1)+1,7))=INDEX(Report_Scenarios!$A$29:$A$35,MATCH(MEDIAN($B80-Conversion!$B$14,2020,2050),Report_Scenarios!$A$29:$A$35,1)),INDEX(Report_Scenarios!$E$29:$E$35,MATCH(MEDIAN($B80-Conversion!$B$14,2020,2050),Report_Scenarios!$A$29:$A$35,1)),INDEX(Report_Scenarios!$E$29:$E$35,MATCH(MEDIAN($B80-Conversion!$B$14,2020,2050),Report_Scenarios!$A$29:$A$35,1))+(INDEX(Report_Scenarios!$E$29:$E$35,MIN(MATCH(MEDIAN($B80-Conversion!$B$14,2020,2050),Report_Scenarios!$A$29:$A$35,1)+1,7))-INDEX(Report_Scenarios!$E$29:$E$35,MATCH(MEDIAN($B80-Conversion!$B$14,2020,2050),Report_Scenarios!$A$29:$A$35,1)))*(MEDIAN($B80-Conversion!$B$14,2020,2050)-INDEX(Report_Scenarios!$A$29:$A$35,MATCH(MEDIAN($B80-Conversion!$B$14,2020,2050),Report_Scenarios!$A$29:$A$35,1)))/(INDEX(Report_Scenarios!$A$29:$A$35,MIN(MATCH(MEDIAN($B80-Conversion!$B$14,2020,2050),Report_Scenarios!$A$29:$A$35,1)+1,7))-INDEX(Report_Scenarios!$A$29:$A$35,MATCH(MEDIAN($B80-Conversion!$B$14,2020,2050),Report_Scenarios!$A$29:$A$35,1))))))</f>
        <v/>
      </c>
      <c r="I80" s="23">
        <f>IF($D80="Conservative",IF(INDEX(Report_Scenarios!$A$7:$A$13,MIN(MATCH(MEDIAN($B80-Conversion!$B$14,2020,2050),Report_Scenarios!$A$7:$A$13,1)+1,7))=INDEX(Report_Scenarios!$A$7:$A$13,MATCH(MEDIAN($B80-Conversion!$B$14,2020,2050),Report_Scenarios!$A$7:$A$13,1)),INDEX(Report_Scenarios!$F$7:$F$13,MATCH(MEDIAN($B80-Conversion!$B$14,2020,2050),Report_Scenarios!$A$7:$A$13,1)),INDEX(Report_Scenarios!$F$7:$F$13,MATCH(MEDIAN($B80-Conversion!$B$14,2020,2050),Report_Scenarios!$A$7:$A$13,1))+(INDEX(Report_Scenarios!$F$7:$F$13,MIN(MATCH(MEDIAN($B80-Conversion!$B$14,2020,2050),Report_Scenarios!$A$7:$A$13,1)+1,7))-INDEX(Report_Scenarios!$F$7:$F$13,MATCH(MEDIAN($B80-Conversion!$B$14,2020,2050),Report_Scenarios!$A$7:$A$13,1)))*(MEDIAN($B80-Conversion!$B$14,2020,2050)-INDEX(Report_Scenarios!$A$7:$A$13,MATCH(MEDIAN($B80-Conversion!$B$14,2020,2050),Report_Scenarios!$A$7:$A$13,1)))/(INDEX(Report_Scenarios!$A$7:$A$13,MIN(MATCH(MEDIAN($B80-Conversion!$B$14,2020,2050),Report_Scenarios!$A$7:$A$13,1)+1,7))-INDEX(Report_Scenarios!$A$7:$A$13,MATCH(MEDIAN($B80-Conversion!$B$14,2020,2050),Report_Scenarios!$A$7:$A$13,1)))),IF($D80="Central",IF(INDEX(Report_Scenarios!$A$18:$A$24,MIN(MATCH(MEDIAN($B80-Conversion!$B$14,2020,2050),Report_Scenarios!$A$18:$A$24,1)+1,7))=INDEX(Report_Scenarios!$A$18:$A$24,MATCH(MEDIAN($B80-Conversion!$B$14,2020,2050),Report_Scenarios!$A$18:$A$24,1)),INDEX(Report_Scenarios!$F$18:$F$24,MATCH(MEDIAN($B80-Conversion!$B$14,2020,2050),Report_Scenarios!$A$18:$A$24,1)),INDEX(Report_Scenarios!$F$18:$F$24,MATCH(MEDIAN($B80-Conversion!$B$14,2020,2050),Report_Scenarios!$A$18:$A$24,1))+(INDEX(Report_Scenarios!$F$18:$F$24,MIN(MATCH(MEDIAN($B80-Conversion!$B$14,2020,2050),Report_Scenarios!$A$18:$A$24,1)+1,7))-INDEX(Report_Scenarios!$F$18:$F$24,MATCH(MEDIAN($B80-Conversion!$B$14,2020,2050),Report_Scenarios!$A$18:$A$24,1)))*(MEDIAN($B80-Conversion!$B$14,2020,2050)-INDEX(Report_Scenarios!$A$18:$A$24,MATCH(MEDIAN($B80-Conversion!$B$14,2020,2050),Report_Scenarios!$A$18:$A$24,1)))/(INDEX(Report_Scenarios!$A$18:$A$24,MIN(MATCH(MEDIAN($B80-Conversion!$B$14,2020,2050),Report_Scenarios!$A$18:$A$24,1)+1,7))-INDEX(Report_Scenarios!$A$18:$A$24,MATCH(MEDIAN($B80-Conversion!$B$14,2020,2050),Report_Scenarios!$A$18:$A$24,1)))),IF(INDEX(Report_Scenarios!$A$29:$A$35,MIN(MATCH(MEDIAN($B80-Conversion!$B$14,2020,2050),Report_Scenarios!$A$29:$A$35,1)+1,7))=INDEX(Report_Scenarios!$A$29:$A$35,MATCH(MEDIAN($B80-Conversion!$B$14,2020,2050),Report_Scenarios!$A$29:$A$35,1)),INDEX(Report_Scenarios!$F$29:$F$35,MATCH(MEDIAN($B80-Conversion!$B$14,2020,2050),Report_Scenarios!$A$29:$A$35,1)),INDEX(Report_Scenarios!$F$29:$F$35,MATCH(MEDIAN($B80-Conversion!$B$14,2020,2050),Report_Scenarios!$A$29:$A$35,1))+(INDEX(Report_Scenarios!$F$29:$F$35,MIN(MATCH(MEDIAN($B80-Conversion!$B$14,2020,2050),Report_Scenarios!$A$29:$A$35,1)+1,7))-INDEX(Report_Scenarios!$F$29:$F$35,MATCH(MEDIAN($B80-Conversion!$B$14,2020,2050),Report_Scenarios!$A$29:$A$35,1)))*(MEDIAN($B80-Conversion!$B$14,2020,2050)-INDEX(Report_Scenarios!$A$29:$A$35,MATCH(MEDIAN($B80-Conversion!$B$14,2020,2050),Report_Scenarios!$A$29:$A$35,1)))/(INDEX(Report_Scenarios!$A$29:$A$35,MIN(MATCH(MEDIAN($B80-Conversion!$B$14,2020,2050),Report_Scenarios!$A$29:$A$35,1)+1,7))-INDEX(Report_Scenarios!$A$29:$A$35,MATCH(MEDIAN($B80-Conversion!$B$14,2020,2050),Report_Scenarios!$A$29:$A$35,1))))))</f>
        <v/>
      </c>
      <c r="J80" s="23">
        <f>IF($D80="Conservative",IF(INDEX(Report_Scenarios!$A$7:$A$13,MIN(MATCH(MEDIAN($B80-Conversion!$B$14,2020,2050),Report_Scenarios!$A$7:$A$13,1)+1,7))=INDEX(Report_Scenarios!$A$7:$A$13,MATCH(MEDIAN($B80-Conversion!$B$14,2020,2050),Report_Scenarios!$A$7:$A$13,1)),INDEX(Report_Scenarios!$G$7:$G$13,MATCH(MEDIAN($B80-Conversion!$B$14,2020,2050),Report_Scenarios!$A$7:$A$13,1)),INDEX(Report_Scenarios!$G$7:$G$13,MATCH(MEDIAN($B80-Conversion!$B$14,2020,2050),Report_Scenarios!$A$7:$A$13,1))+(INDEX(Report_Scenarios!$G$7:$G$13,MIN(MATCH(MEDIAN($B80-Conversion!$B$14,2020,2050),Report_Scenarios!$A$7:$A$13,1)+1,7))-INDEX(Report_Scenarios!$G$7:$G$13,MATCH(MEDIAN($B80-Conversion!$B$14,2020,2050),Report_Scenarios!$A$7:$A$13,1)))*(MEDIAN($B80-Conversion!$B$14,2020,2050)-INDEX(Report_Scenarios!$A$7:$A$13,MATCH(MEDIAN($B80-Conversion!$B$14,2020,2050),Report_Scenarios!$A$7:$A$13,1)))/(INDEX(Report_Scenarios!$A$7:$A$13,MIN(MATCH(MEDIAN($B80-Conversion!$B$14,2020,2050),Report_Scenarios!$A$7:$A$13,1)+1,7))-INDEX(Report_Scenarios!$A$7:$A$13,MATCH(MEDIAN($B80-Conversion!$B$14,2020,2050),Report_Scenarios!$A$7:$A$13,1)))),IF($D80="Central",IF(INDEX(Report_Scenarios!$A$18:$A$24,MIN(MATCH(MEDIAN($B80-Conversion!$B$14,2020,2050),Report_Scenarios!$A$18:$A$24,1)+1,7))=INDEX(Report_Scenarios!$A$18:$A$24,MATCH(MEDIAN($B80-Conversion!$B$14,2020,2050),Report_Scenarios!$A$18:$A$24,1)),INDEX(Report_Scenarios!$G$18:$G$24,MATCH(MEDIAN($B80-Conversion!$B$14,2020,2050),Report_Scenarios!$A$18:$A$24,1)),INDEX(Report_Scenarios!$G$18:$G$24,MATCH(MEDIAN($B80-Conversion!$B$14,2020,2050),Report_Scenarios!$A$18:$A$24,1))+(INDEX(Report_Scenarios!$G$18:$G$24,MIN(MATCH(MEDIAN($B80-Conversion!$B$14,2020,2050),Report_Scenarios!$A$18:$A$24,1)+1,7))-INDEX(Report_Scenarios!$G$18:$G$24,MATCH(MEDIAN($B80-Conversion!$B$14,2020,2050),Report_Scenarios!$A$18:$A$24,1)))*(MEDIAN($B80-Conversion!$B$14,2020,2050)-INDEX(Report_Scenarios!$A$18:$A$24,MATCH(MEDIAN($B80-Conversion!$B$14,2020,2050),Report_Scenarios!$A$18:$A$24,1)))/(INDEX(Report_Scenarios!$A$18:$A$24,MIN(MATCH(MEDIAN($B80-Conversion!$B$14,2020,2050),Report_Scenarios!$A$18:$A$24,1)+1,7))-INDEX(Report_Scenarios!$A$18:$A$24,MATCH(MEDIAN($B80-Conversion!$B$14,2020,2050),Report_Scenarios!$A$18:$A$24,1)))),IF(INDEX(Report_Scenarios!$A$29:$A$35,MIN(MATCH(MEDIAN($B80-Conversion!$B$14,2020,2050),Report_Scenarios!$A$29:$A$35,1)+1,7))=INDEX(Report_Scenarios!$A$29:$A$35,MATCH(MEDIAN($B80-Conversion!$B$14,2020,2050),Report_Scenarios!$A$29:$A$35,1)),INDEX(Report_Scenarios!$G$29:$G$35,MATCH(MEDIAN($B80-Conversion!$B$14,2020,2050),Report_Scenarios!$A$29:$A$35,1)),INDEX(Report_Scenarios!$G$29:$G$35,MATCH(MEDIAN($B80-Conversion!$B$14,2020,2050),Report_Scenarios!$A$29:$A$35,1))+(INDEX(Report_Scenarios!$G$29:$G$35,MIN(MATCH(MEDIAN($B80-Conversion!$B$14,2020,2050),Report_Scenarios!$A$29:$A$35,1)+1,7))-INDEX(Report_Scenarios!$G$29:$G$35,MATCH(MEDIAN($B80-Conversion!$B$14,2020,2050),Report_Scenarios!$A$29:$A$35,1)))*(MEDIAN($B80-Conversion!$B$14,2020,2050)-INDEX(Report_Scenarios!$A$29:$A$35,MATCH(MEDIAN($B80-Conversion!$B$14,2020,2050),Report_Scenarios!$A$29:$A$35,1)))/(INDEX(Report_Scenarios!$A$29:$A$35,MIN(MATCH(MEDIAN($B80-Conversion!$B$14,2020,2050),Report_Scenarios!$A$29:$A$35,1)+1,7))-INDEX(Report_Scenarios!$A$29:$A$35,MATCH(MEDIAN($B80-Conversion!$B$14,2020,2050),Report_Scenarios!$A$29:$A$35,1))))))</f>
        <v/>
      </c>
      <c r="K80" s="23">
        <f>SUM(E80:J80)</f>
        <v/>
      </c>
      <c r="L80" s="23">
        <f>IF(R80&lt;&gt;"",R80,IF($K80=0,0,E80/$K80))</f>
        <v/>
      </c>
      <c r="M80" s="23">
        <f>IF(S80&lt;&gt;"",S80,IF($K80=0,0,F80/$K80))</f>
        <v/>
      </c>
      <c r="N80" s="23">
        <f>IF(T80&lt;&gt;"",T80,IF($K80=0,0,G80/$K80))</f>
        <v/>
      </c>
      <c r="O80" s="23">
        <f>IF(U80&lt;&gt;"",U80,IF($K80=0,0,H80/$K80))</f>
        <v/>
      </c>
      <c r="P80" s="23">
        <f>IF(V80&lt;&gt;"",V80,IF($K80=0,0,I80/$K80))</f>
        <v/>
      </c>
      <c r="Q80" s="23">
        <f>IF(W80&lt;&gt;"",W80,IF($K80=0,0,J80/$K80))</f>
        <v/>
      </c>
      <c r="R80" s="24" t="n"/>
      <c r="S80" s="24" t="n"/>
      <c r="T80" s="24" t="n"/>
      <c r="U80" s="24" t="n"/>
      <c r="V80" s="24" t="n"/>
      <c r="W80" s="24" t="n"/>
    </row>
    <row r="81">
      <c r="A81" s="4" t="inlineStr">
        <is>
          <t>EF</t>
        </is>
      </c>
      <c r="B81" s="4" t="n">
        <v>2045</v>
      </c>
      <c r="C81" s="4" t="inlineStr">
        <is>
          <t>Share_Mode</t>
        </is>
      </c>
      <c r="D81" s="4">
        <f>Conversion!$B$19</f>
        <v/>
      </c>
      <c r="E81" s="23">
        <f>IF($D81="Conservative",IF(INDEX(Report_Scenarios!$A$7:$A$13,MIN(MATCH(MEDIAN($B81-Conversion!$B$14,2020,2050),Report_Scenarios!$A$7:$A$13,1)+1,7))=INDEX(Report_Scenarios!$A$7:$A$13,MATCH(MEDIAN($B81-Conversion!$B$14,2020,2050),Report_Scenarios!$A$7:$A$13,1)),INDEX(Report_Scenarios!$B$7:$B$13,MATCH(MEDIAN($B81-Conversion!$B$14,2020,2050),Report_Scenarios!$A$7:$A$13,1)),INDEX(Report_Scenarios!$B$7:$B$13,MATCH(MEDIAN($B81-Conversion!$B$14,2020,2050),Report_Scenarios!$A$7:$A$13,1))+(INDEX(Report_Scenarios!$B$7:$B$13,MIN(MATCH(MEDIAN($B81-Conversion!$B$14,2020,2050),Report_Scenarios!$A$7:$A$13,1)+1,7))-INDEX(Report_Scenarios!$B$7:$B$13,MATCH(MEDIAN($B81-Conversion!$B$14,2020,2050),Report_Scenarios!$A$7:$A$13,1)))*(MEDIAN($B81-Conversion!$B$14,2020,2050)-INDEX(Report_Scenarios!$A$7:$A$13,MATCH(MEDIAN($B81-Conversion!$B$14,2020,2050),Report_Scenarios!$A$7:$A$13,1)))/(INDEX(Report_Scenarios!$A$7:$A$13,MIN(MATCH(MEDIAN($B81-Conversion!$B$14,2020,2050),Report_Scenarios!$A$7:$A$13,1)+1,7))-INDEX(Report_Scenarios!$A$7:$A$13,MATCH(MEDIAN($B81-Conversion!$B$14,2020,2050),Report_Scenarios!$A$7:$A$13,1)))),IF($D81="Central",IF(INDEX(Report_Scenarios!$A$18:$A$24,MIN(MATCH(MEDIAN($B81-Conversion!$B$14,2020,2050),Report_Scenarios!$A$18:$A$24,1)+1,7))=INDEX(Report_Scenarios!$A$18:$A$24,MATCH(MEDIAN($B81-Conversion!$B$14,2020,2050),Report_Scenarios!$A$18:$A$24,1)),INDEX(Report_Scenarios!$B$18:$B$24,MATCH(MEDIAN($B81-Conversion!$B$14,2020,2050),Report_Scenarios!$A$18:$A$24,1)),INDEX(Report_Scenarios!$B$18:$B$24,MATCH(MEDIAN($B81-Conversion!$B$14,2020,2050),Report_Scenarios!$A$18:$A$24,1))+(INDEX(Report_Scenarios!$B$18:$B$24,MIN(MATCH(MEDIAN($B81-Conversion!$B$14,2020,2050),Report_Scenarios!$A$18:$A$24,1)+1,7))-INDEX(Report_Scenarios!$B$18:$B$24,MATCH(MEDIAN($B81-Conversion!$B$14,2020,2050),Report_Scenarios!$A$18:$A$24,1)))*(MEDIAN($B81-Conversion!$B$14,2020,2050)-INDEX(Report_Scenarios!$A$18:$A$24,MATCH(MEDIAN($B81-Conversion!$B$14,2020,2050),Report_Scenarios!$A$18:$A$24,1)))/(INDEX(Report_Scenarios!$A$18:$A$24,MIN(MATCH(MEDIAN($B81-Conversion!$B$14,2020,2050),Report_Scenarios!$A$18:$A$24,1)+1,7))-INDEX(Report_Scenarios!$A$18:$A$24,MATCH(MEDIAN($B81-Conversion!$B$14,2020,2050),Report_Scenarios!$A$18:$A$24,1)))),IF(INDEX(Report_Scenarios!$A$29:$A$35,MIN(MATCH(MEDIAN($B81-Conversion!$B$14,2020,2050),Report_Scenarios!$A$29:$A$35,1)+1,7))=INDEX(Report_Scenarios!$A$29:$A$35,MATCH(MEDIAN($B81-Conversion!$B$14,2020,2050),Report_Scenarios!$A$29:$A$35,1)),INDEX(Report_Scenarios!$B$29:$B$35,MATCH(MEDIAN($B81-Conversion!$B$14,2020,2050),Report_Scenarios!$A$29:$A$35,1)),INDEX(Report_Scenarios!$B$29:$B$35,MATCH(MEDIAN($B81-Conversion!$B$14,2020,2050),Report_Scenarios!$A$29:$A$35,1))+(INDEX(Report_Scenarios!$B$29:$B$35,MIN(MATCH(MEDIAN($B81-Conversion!$B$14,2020,2050),Report_Scenarios!$A$29:$A$35,1)+1,7))-INDEX(Report_Scenarios!$B$29:$B$35,MATCH(MEDIAN($B81-Conversion!$B$14,2020,2050),Report_Scenarios!$A$29:$A$35,1)))*(MEDIAN($B81-Conversion!$B$14,2020,2050)-INDEX(Report_Scenarios!$A$29:$A$35,MATCH(MEDIAN($B81-Conversion!$B$14,2020,2050),Report_Scenarios!$A$29:$A$35,1)))/(INDEX(Report_Scenarios!$A$29:$A$35,MIN(MATCH(MEDIAN($B81-Conversion!$B$14,2020,2050),Report_Scenarios!$A$29:$A$35,1)+1,7))-INDEX(Report_Scenarios!$A$29:$A$35,MATCH(MEDIAN($B81-Conversion!$B$14,2020,2050),Report_Scenarios!$A$29:$A$35,1))))))</f>
        <v/>
      </c>
      <c r="F81" s="23">
        <f>IF($D81="Conservative",IF(INDEX(Report_Scenarios!$A$7:$A$13,MIN(MATCH(MEDIAN($B81-Conversion!$B$14,2020,2050),Report_Scenarios!$A$7:$A$13,1)+1,7))=INDEX(Report_Scenarios!$A$7:$A$13,MATCH(MEDIAN($B81-Conversion!$B$14,2020,2050),Report_Scenarios!$A$7:$A$13,1)),INDEX(Report_Scenarios!$C$7:$C$13,MATCH(MEDIAN($B81-Conversion!$B$14,2020,2050),Report_Scenarios!$A$7:$A$13,1)),INDEX(Report_Scenarios!$C$7:$C$13,MATCH(MEDIAN($B81-Conversion!$B$14,2020,2050),Report_Scenarios!$A$7:$A$13,1))+(INDEX(Report_Scenarios!$C$7:$C$13,MIN(MATCH(MEDIAN($B81-Conversion!$B$14,2020,2050),Report_Scenarios!$A$7:$A$13,1)+1,7))-INDEX(Report_Scenarios!$C$7:$C$13,MATCH(MEDIAN($B81-Conversion!$B$14,2020,2050),Report_Scenarios!$A$7:$A$13,1)))*(MEDIAN($B81-Conversion!$B$14,2020,2050)-INDEX(Report_Scenarios!$A$7:$A$13,MATCH(MEDIAN($B81-Conversion!$B$14,2020,2050),Report_Scenarios!$A$7:$A$13,1)))/(INDEX(Report_Scenarios!$A$7:$A$13,MIN(MATCH(MEDIAN($B81-Conversion!$B$14,2020,2050),Report_Scenarios!$A$7:$A$13,1)+1,7))-INDEX(Report_Scenarios!$A$7:$A$13,MATCH(MEDIAN($B81-Conversion!$B$14,2020,2050),Report_Scenarios!$A$7:$A$13,1)))),IF($D81="Central",IF(INDEX(Report_Scenarios!$A$18:$A$24,MIN(MATCH(MEDIAN($B81-Conversion!$B$14,2020,2050),Report_Scenarios!$A$18:$A$24,1)+1,7))=INDEX(Report_Scenarios!$A$18:$A$24,MATCH(MEDIAN($B81-Conversion!$B$14,2020,2050),Report_Scenarios!$A$18:$A$24,1)),INDEX(Report_Scenarios!$C$18:$C$24,MATCH(MEDIAN($B81-Conversion!$B$14,2020,2050),Report_Scenarios!$A$18:$A$24,1)),INDEX(Report_Scenarios!$C$18:$C$24,MATCH(MEDIAN($B81-Conversion!$B$14,2020,2050),Report_Scenarios!$A$18:$A$24,1))+(INDEX(Report_Scenarios!$C$18:$C$24,MIN(MATCH(MEDIAN($B81-Conversion!$B$14,2020,2050),Report_Scenarios!$A$18:$A$24,1)+1,7))-INDEX(Report_Scenarios!$C$18:$C$24,MATCH(MEDIAN($B81-Conversion!$B$14,2020,2050),Report_Scenarios!$A$18:$A$24,1)))*(MEDIAN($B81-Conversion!$B$14,2020,2050)-INDEX(Report_Scenarios!$A$18:$A$24,MATCH(MEDIAN($B81-Conversion!$B$14,2020,2050),Report_Scenarios!$A$18:$A$24,1)))/(INDEX(Report_Scenarios!$A$18:$A$24,MIN(MATCH(MEDIAN($B81-Conversion!$B$14,2020,2050),Report_Scenarios!$A$18:$A$24,1)+1,7))-INDEX(Report_Scenarios!$A$18:$A$24,MATCH(MEDIAN($B81-Conversion!$B$14,2020,2050),Report_Scenarios!$A$18:$A$24,1)))),IF(INDEX(Report_Scenarios!$A$29:$A$35,MIN(MATCH(MEDIAN($B81-Conversion!$B$14,2020,2050),Report_Scenarios!$A$29:$A$35,1)+1,7))=INDEX(Report_Scenarios!$A$29:$A$35,MATCH(MEDIAN($B81-Conversion!$B$14,2020,2050),Report_Scenarios!$A$29:$A$35,1)),INDEX(Report_Scenarios!$C$29:$C$35,MATCH(MEDIAN($B81-Conversion!$B$14,2020,2050),Report_Scenarios!$A$29:$A$35,1)),INDEX(Report_Scenarios!$C$29:$C$35,MATCH(MEDIAN($B81-Conversion!$B$14,2020,2050),Report_Scenarios!$A$29:$A$35,1))+(INDEX(Report_Scenarios!$C$29:$C$35,MIN(MATCH(MEDIAN($B81-Conversion!$B$14,2020,2050),Report_Scenarios!$A$29:$A$35,1)+1,7))-INDEX(Report_Scenarios!$C$29:$C$35,MATCH(MEDIAN($B81-Conversion!$B$14,2020,2050),Report_Scenarios!$A$29:$A$35,1)))*(MEDIAN($B81-Conversion!$B$14,2020,2050)-INDEX(Report_Scenarios!$A$29:$A$35,MATCH(MEDIAN($B81-Conversion!$B$14,2020,2050),Report_Scenarios!$A$29:$A$35,1)))/(INDEX(Report_Scenarios!$A$29:$A$35,MIN(MATCH(MEDIAN($B81-Conversion!$B$14,2020,2050),Report_Scenarios!$A$29:$A$35,1)+1,7))-INDEX(Report_Scenarios!$A$29:$A$35,MATCH(MEDIAN($B81-Conversion!$B$14,2020,2050),Report_Scenarios!$A$29:$A$35,1))))))</f>
        <v/>
      </c>
      <c r="G81" s="23">
        <f>IF($D81="Conservative",IF(INDEX(Report_Scenarios!$A$7:$A$13,MIN(MATCH(MEDIAN($B81-Conversion!$B$14,2020,2050),Report_Scenarios!$A$7:$A$13,1)+1,7))=INDEX(Report_Scenarios!$A$7:$A$13,MATCH(MEDIAN($B81-Conversion!$B$14,2020,2050),Report_Scenarios!$A$7:$A$13,1)),INDEX(Report_Scenarios!$D$7:$D$13,MATCH(MEDIAN($B81-Conversion!$B$14,2020,2050),Report_Scenarios!$A$7:$A$13,1)),INDEX(Report_Scenarios!$D$7:$D$13,MATCH(MEDIAN($B81-Conversion!$B$14,2020,2050),Report_Scenarios!$A$7:$A$13,1))+(INDEX(Report_Scenarios!$D$7:$D$13,MIN(MATCH(MEDIAN($B81-Conversion!$B$14,2020,2050),Report_Scenarios!$A$7:$A$13,1)+1,7))-INDEX(Report_Scenarios!$D$7:$D$13,MATCH(MEDIAN($B81-Conversion!$B$14,2020,2050),Report_Scenarios!$A$7:$A$13,1)))*(MEDIAN($B81-Conversion!$B$14,2020,2050)-INDEX(Report_Scenarios!$A$7:$A$13,MATCH(MEDIAN($B81-Conversion!$B$14,2020,2050),Report_Scenarios!$A$7:$A$13,1)))/(INDEX(Report_Scenarios!$A$7:$A$13,MIN(MATCH(MEDIAN($B81-Conversion!$B$14,2020,2050),Report_Scenarios!$A$7:$A$13,1)+1,7))-INDEX(Report_Scenarios!$A$7:$A$13,MATCH(MEDIAN($B81-Conversion!$B$14,2020,2050),Report_Scenarios!$A$7:$A$13,1)))),IF($D81="Central",IF(INDEX(Report_Scenarios!$A$18:$A$24,MIN(MATCH(MEDIAN($B81-Conversion!$B$14,2020,2050),Report_Scenarios!$A$18:$A$24,1)+1,7))=INDEX(Report_Scenarios!$A$18:$A$24,MATCH(MEDIAN($B81-Conversion!$B$14,2020,2050),Report_Scenarios!$A$18:$A$24,1)),INDEX(Report_Scenarios!$D$18:$D$24,MATCH(MEDIAN($B81-Conversion!$B$14,2020,2050),Report_Scenarios!$A$18:$A$24,1)),INDEX(Report_Scenarios!$D$18:$D$24,MATCH(MEDIAN($B81-Conversion!$B$14,2020,2050),Report_Scenarios!$A$18:$A$24,1))+(INDEX(Report_Scenarios!$D$18:$D$24,MIN(MATCH(MEDIAN($B81-Conversion!$B$14,2020,2050),Report_Scenarios!$A$18:$A$24,1)+1,7))-INDEX(Report_Scenarios!$D$18:$D$24,MATCH(MEDIAN($B81-Conversion!$B$14,2020,2050),Report_Scenarios!$A$18:$A$24,1)))*(MEDIAN($B81-Conversion!$B$14,2020,2050)-INDEX(Report_Scenarios!$A$18:$A$24,MATCH(MEDIAN($B81-Conversion!$B$14,2020,2050),Report_Scenarios!$A$18:$A$24,1)))/(INDEX(Report_Scenarios!$A$18:$A$24,MIN(MATCH(MEDIAN($B81-Conversion!$B$14,2020,2050),Report_Scenarios!$A$18:$A$24,1)+1,7))-INDEX(Report_Scenarios!$A$18:$A$24,MATCH(MEDIAN($B81-Conversion!$B$14,2020,2050),Report_Scenarios!$A$18:$A$24,1)))),IF(INDEX(Report_Scenarios!$A$29:$A$35,MIN(MATCH(MEDIAN($B81-Conversion!$B$14,2020,2050),Report_Scenarios!$A$29:$A$35,1)+1,7))=INDEX(Report_Scenarios!$A$29:$A$35,MATCH(MEDIAN($B81-Conversion!$B$14,2020,2050),Report_Scenarios!$A$29:$A$35,1)),INDEX(Report_Scenarios!$D$29:$D$35,MATCH(MEDIAN($B81-Conversion!$B$14,2020,2050),Report_Scenarios!$A$29:$A$35,1)),INDEX(Report_Scenarios!$D$29:$D$35,MATCH(MEDIAN($B81-Conversion!$B$14,2020,2050),Report_Scenarios!$A$29:$A$35,1))+(INDEX(Report_Scenarios!$D$29:$D$35,MIN(MATCH(MEDIAN($B81-Conversion!$B$14,2020,2050),Report_Scenarios!$A$29:$A$35,1)+1,7))-INDEX(Report_Scenarios!$D$29:$D$35,MATCH(MEDIAN($B81-Conversion!$B$14,2020,2050),Report_Scenarios!$A$29:$A$35,1)))*(MEDIAN($B81-Conversion!$B$14,2020,2050)-INDEX(Report_Scenarios!$A$29:$A$35,MATCH(MEDIAN($B81-Conversion!$B$14,2020,2050),Report_Scenarios!$A$29:$A$35,1)))/(INDEX(Report_Scenarios!$A$29:$A$35,MIN(MATCH(MEDIAN($B81-Conversion!$B$14,2020,2050),Report_Scenarios!$A$29:$A$35,1)+1,7))-INDEX(Report_Scenarios!$A$29:$A$35,MATCH(MEDIAN($B81-Conversion!$B$14,2020,2050),Report_Scenarios!$A$29:$A$35,1))))))</f>
        <v/>
      </c>
      <c r="H81" s="23">
        <f>IF($D81="Conservative",IF(INDEX(Report_Scenarios!$A$7:$A$13,MIN(MATCH(MEDIAN($B81-Conversion!$B$14,2020,2050),Report_Scenarios!$A$7:$A$13,1)+1,7))=INDEX(Report_Scenarios!$A$7:$A$13,MATCH(MEDIAN($B81-Conversion!$B$14,2020,2050),Report_Scenarios!$A$7:$A$13,1)),INDEX(Report_Scenarios!$E$7:$E$13,MATCH(MEDIAN($B81-Conversion!$B$14,2020,2050),Report_Scenarios!$A$7:$A$13,1)),INDEX(Report_Scenarios!$E$7:$E$13,MATCH(MEDIAN($B81-Conversion!$B$14,2020,2050),Report_Scenarios!$A$7:$A$13,1))+(INDEX(Report_Scenarios!$E$7:$E$13,MIN(MATCH(MEDIAN($B81-Conversion!$B$14,2020,2050),Report_Scenarios!$A$7:$A$13,1)+1,7))-INDEX(Report_Scenarios!$E$7:$E$13,MATCH(MEDIAN($B81-Conversion!$B$14,2020,2050),Report_Scenarios!$A$7:$A$13,1)))*(MEDIAN($B81-Conversion!$B$14,2020,2050)-INDEX(Report_Scenarios!$A$7:$A$13,MATCH(MEDIAN($B81-Conversion!$B$14,2020,2050),Report_Scenarios!$A$7:$A$13,1)))/(INDEX(Report_Scenarios!$A$7:$A$13,MIN(MATCH(MEDIAN($B81-Conversion!$B$14,2020,2050),Report_Scenarios!$A$7:$A$13,1)+1,7))-INDEX(Report_Scenarios!$A$7:$A$13,MATCH(MEDIAN($B81-Conversion!$B$14,2020,2050),Report_Scenarios!$A$7:$A$13,1)))),IF($D81="Central",IF(INDEX(Report_Scenarios!$A$18:$A$24,MIN(MATCH(MEDIAN($B81-Conversion!$B$14,2020,2050),Report_Scenarios!$A$18:$A$24,1)+1,7))=INDEX(Report_Scenarios!$A$18:$A$24,MATCH(MEDIAN($B81-Conversion!$B$14,2020,2050),Report_Scenarios!$A$18:$A$24,1)),INDEX(Report_Scenarios!$E$18:$E$24,MATCH(MEDIAN($B81-Conversion!$B$14,2020,2050),Report_Scenarios!$A$18:$A$24,1)),INDEX(Report_Scenarios!$E$18:$E$24,MATCH(MEDIAN($B81-Conversion!$B$14,2020,2050),Report_Scenarios!$A$18:$A$24,1))+(INDEX(Report_Scenarios!$E$18:$E$24,MIN(MATCH(MEDIAN($B81-Conversion!$B$14,2020,2050),Report_Scenarios!$A$18:$A$24,1)+1,7))-INDEX(Report_Scenarios!$E$18:$E$24,MATCH(MEDIAN($B81-Conversion!$B$14,2020,2050),Report_Scenarios!$A$18:$A$24,1)))*(MEDIAN($B81-Conversion!$B$14,2020,2050)-INDEX(Report_Scenarios!$A$18:$A$24,MATCH(MEDIAN($B81-Conversion!$B$14,2020,2050),Report_Scenarios!$A$18:$A$24,1)))/(INDEX(Report_Scenarios!$A$18:$A$24,MIN(MATCH(MEDIAN($B81-Conversion!$B$14,2020,2050),Report_Scenarios!$A$18:$A$24,1)+1,7))-INDEX(Report_Scenarios!$A$18:$A$24,MATCH(MEDIAN($B81-Conversion!$B$14,2020,2050),Report_Scenarios!$A$18:$A$24,1)))),IF(INDEX(Report_Scenarios!$A$29:$A$35,MIN(MATCH(MEDIAN($B81-Conversion!$B$14,2020,2050),Report_Scenarios!$A$29:$A$35,1)+1,7))=INDEX(Report_Scenarios!$A$29:$A$35,MATCH(MEDIAN($B81-Conversion!$B$14,2020,2050),Report_Scenarios!$A$29:$A$35,1)),INDEX(Report_Scenarios!$E$29:$E$35,MATCH(MEDIAN($B81-Conversion!$B$14,2020,2050),Report_Scenarios!$A$29:$A$35,1)),INDEX(Report_Scenarios!$E$29:$E$35,MATCH(MEDIAN($B81-Conversion!$B$14,2020,2050),Report_Scenarios!$A$29:$A$35,1))+(INDEX(Report_Scenarios!$E$29:$E$35,MIN(MATCH(MEDIAN($B81-Conversion!$B$14,2020,2050),Report_Scenarios!$A$29:$A$35,1)+1,7))-INDEX(Report_Scenarios!$E$29:$E$35,MATCH(MEDIAN($B81-Conversion!$B$14,2020,2050),Report_Scenarios!$A$29:$A$35,1)))*(MEDIAN($B81-Conversion!$B$14,2020,2050)-INDEX(Report_Scenarios!$A$29:$A$35,MATCH(MEDIAN($B81-Conversion!$B$14,2020,2050),Report_Scenarios!$A$29:$A$35,1)))/(INDEX(Report_Scenarios!$A$29:$A$35,MIN(MATCH(MEDIAN($B81-Conversion!$B$14,2020,2050),Report_Scenarios!$A$29:$A$35,1)+1,7))-INDEX(Report_Scenarios!$A$29:$A$35,MATCH(MEDIAN($B81-Conversion!$B$14,2020,2050),Report_Scenarios!$A$29:$A$35,1))))))</f>
        <v/>
      </c>
      <c r="I81" s="23">
        <f>IF($D81="Conservative",IF(INDEX(Report_Scenarios!$A$7:$A$13,MIN(MATCH(MEDIAN($B81-Conversion!$B$14,2020,2050),Report_Scenarios!$A$7:$A$13,1)+1,7))=INDEX(Report_Scenarios!$A$7:$A$13,MATCH(MEDIAN($B81-Conversion!$B$14,2020,2050),Report_Scenarios!$A$7:$A$13,1)),INDEX(Report_Scenarios!$F$7:$F$13,MATCH(MEDIAN($B81-Conversion!$B$14,2020,2050),Report_Scenarios!$A$7:$A$13,1)),INDEX(Report_Scenarios!$F$7:$F$13,MATCH(MEDIAN($B81-Conversion!$B$14,2020,2050),Report_Scenarios!$A$7:$A$13,1))+(INDEX(Report_Scenarios!$F$7:$F$13,MIN(MATCH(MEDIAN($B81-Conversion!$B$14,2020,2050),Report_Scenarios!$A$7:$A$13,1)+1,7))-INDEX(Report_Scenarios!$F$7:$F$13,MATCH(MEDIAN($B81-Conversion!$B$14,2020,2050),Report_Scenarios!$A$7:$A$13,1)))*(MEDIAN($B81-Conversion!$B$14,2020,2050)-INDEX(Report_Scenarios!$A$7:$A$13,MATCH(MEDIAN($B81-Conversion!$B$14,2020,2050),Report_Scenarios!$A$7:$A$13,1)))/(INDEX(Report_Scenarios!$A$7:$A$13,MIN(MATCH(MEDIAN($B81-Conversion!$B$14,2020,2050),Report_Scenarios!$A$7:$A$13,1)+1,7))-INDEX(Report_Scenarios!$A$7:$A$13,MATCH(MEDIAN($B81-Conversion!$B$14,2020,2050),Report_Scenarios!$A$7:$A$13,1)))),IF($D81="Central",IF(INDEX(Report_Scenarios!$A$18:$A$24,MIN(MATCH(MEDIAN($B81-Conversion!$B$14,2020,2050),Report_Scenarios!$A$18:$A$24,1)+1,7))=INDEX(Report_Scenarios!$A$18:$A$24,MATCH(MEDIAN($B81-Conversion!$B$14,2020,2050),Report_Scenarios!$A$18:$A$24,1)),INDEX(Report_Scenarios!$F$18:$F$24,MATCH(MEDIAN($B81-Conversion!$B$14,2020,2050),Report_Scenarios!$A$18:$A$24,1)),INDEX(Report_Scenarios!$F$18:$F$24,MATCH(MEDIAN($B81-Conversion!$B$14,2020,2050),Report_Scenarios!$A$18:$A$24,1))+(INDEX(Report_Scenarios!$F$18:$F$24,MIN(MATCH(MEDIAN($B81-Conversion!$B$14,2020,2050),Report_Scenarios!$A$18:$A$24,1)+1,7))-INDEX(Report_Scenarios!$F$18:$F$24,MATCH(MEDIAN($B81-Conversion!$B$14,2020,2050),Report_Scenarios!$A$18:$A$24,1)))*(MEDIAN($B81-Conversion!$B$14,2020,2050)-INDEX(Report_Scenarios!$A$18:$A$24,MATCH(MEDIAN($B81-Conversion!$B$14,2020,2050),Report_Scenarios!$A$18:$A$24,1)))/(INDEX(Report_Scenarios!$A$18:$A$24,MIN(MATCH(MEDIAN($B81-Conversion!$B$14,2020,2050),Report_Scenarios!$A$18:$A$24,1)+1,7))-INDEX(Report_Scenarios!$A$18:$A$24,MATCH(MEDIAN($B81-Conversion!$B$14,2020,2050),Report_Scenarios!$A$18:$A$24,1)))),IF(INDEX(Report_Scenarios!$A$29:$A$35,MIN(MATCH(MEDIAN($B81-Conversion!$B$14,2020,2050),Report_Scenarios!$A$29:$A$35,1)+1,7))=INDEX(Report_Scenarios!$A$29:$A$35,MATCH(MEDIAN($B81-Conversion!$B$14,2020,2050),Report_Scenarios!$A$29:$A$35,1)),INDEX(Report_Scenarios!$F$29:$F$35,MATCH(MEDIAN($B81-Conversion!$B$14,2020,2050),Report_Scenarios!$A$29:$A$35,1)),INDEX(Report_Scenarios!$F$29:$F$35,MATCH(MEDIAN($B81-Conversion!$B$14,2020,2050),Report_Scenarios!$A$29:$A$35,1))+(INDEX(Report_Scenarios!$F$29:$F$35,MIN(MATCH(MEDIAN($B81-Conversion!$B$14,2020,2050),Report_Scenarios!$A$29:$A$35,1)+1,7))-INDEX(Report_Scenarios!$F$29:$F$35,MATCH(MEDIAN($B81-Conversion!$B$14,2020,2050),Report_Scenarios!$A$29:$A$35,1)))*(MEDIAN($B81-Conversion!$B$14,2020,2050)-INDEX(Report_Scenarios!$A$29:$A$35,MATCH(MEDIAN($B81-Conversion!$B$14,2020,2050),Report_Scenarios!$A$29:$A$35,1)))/(INDEX(Report_Scenarios!$A$29:$A$35,MIN(MATCH(MEDIAN($B81-Conversion!$B$14,2020,2050),Report_Scenarios!$A$29:$A$35,1)+1,7))-INDEX(Report_Scenarios!$A$29:$A$35,MATCH(MEDIAN($B81-Conversion!$B$14,2020,2050),Report_Scenarios!$A$29:$A$35,1))))))</f>
        <v/>
      </c>
      <c r="J81" s="23">
        <f>IF($D81="Conservative",IF(INDEX(Report_Scenarios!$A$7:$A$13,MIN(MATCH(MEDIAN($B81-Conversion!$B$14,2020,2050),Report_Scenarios!$A$7:$A$13,1)+1,7))=INDEX(Report_Scenarios!$A$7:$A$13,MATCH(MEDIAN($B81-Conversion!$B$14,2020,2050),Report_Scenarios!$A$7:$A$13,1)),INDEX(Report_Scenarios!$G$7:$G$13,MATCH(MEDIAN($B81-Conversion!$B$14,2020,2050),Report_Scenarios!$A$7:$A$13,1)),INDEX(Report_Scenarios!$G$7:$G$13,MATCH(MEDIAN($B81-Conversion!$B$14,2020,2050),Report_Scenarios!$A$7:$A$13,1))+(INDEX(Report_Scenarios!$G$7:$G$13,MIN(MATCH(MEDIAN($B81-Conversion!$B$14,2020,2050),Report_Scenarios!$A$7:$A$13,1)+1,7))-INDEX(Report_Scenarios!$G$7:$G$13,MATCH(MEDIAN($B81-Conversion!$B$14,2020,2050),Report_Scenarios!$A$7:$A$13,1)))*(MEDIAN($B81-Conversion!$B$14,2020,2050)-INDEX(Report_Scenarios!$A$7:$A$13,MATCH(MEDIAN($B81-Conversion!$B$14,2020,2050),Report_Scenarios!$A$7:$A$13,1)))/(INDEX(Report_Scenarios!$A$7:$A$13,MIN(MATCH(MEDIAN($B81-Conversion!$B$14,2020,2050),Report_Scenarios!$A$7:$A$13,1)+1,7))-INDEX(Report_Scenarios!$A$7:$A$13,MATCH(MEDIAN($B81-Conversion!$B$14,2020,2050),Report_Scenarios!$A$7:$A$13,1)))),IF($D81="Central",IF(INDEX(Report_Scenarios!$A$18:$A$24,MIN(MATCH(MEDIAN($B81-Conversion!$B$14,2020,2050),Report_Scenarios!$A$18:$A$24,1)+1,7))=INDEX(Report_Scenarios!$A$18:$A$24,MATCH(MEDIAN($B81-Conversion!$B$14,2020,2050),Report_Scenarios!$A$18:$A$24,1)),INDEX(Report_Scenarios!$G$18:$G$24,MATCH(MEDIAN($B81-Conversion!$B$14,2020,2050),Report_Scenarios!$A$18:$A$24,1)),INDEX(Report_Scenarios!$G$18:$G$24,MATCH(MEDIAN($B81-Conversion!$B$14,2020,2050),Report_Scenarios!$A$18:$A$24,1))+(INDEX(Report_Scenarios!$G$18:$G$24,MIN(MATCH(MEDIAN($B81-Conversion!$B$14,2020,2050),Report_Scenarios!$A$18:$A$24,1)+1,7))-INDEX(Report_Scenarios!$G$18:$G$24,MATCH(MEDIAN($B81-Conversion!$B$14,2020,2050),Report_Scenarios!$A$18:$A$24,1)))*(MEDIAN($B81-Conversion!$B$14,2020,2050)-INDEX(Report_Scenarios!$A$18:$A$24,MATCH(MEDIAN($B81-Conversion!$B$14,2020,2050),Report_Scenarios!$A$18:$A$24,1)))/(INDEX(Report_Scenarios!$A$18:$A$24,MIN(MATCH(MEDIAN($B81-Conversion!$B$14,2020,2050),Report_Scenarios!$A$18:$A$24,1)+1,7))-INDEX(Report_Scenarios!$A$18:$A$24,MATCH(MEDIAN($B81-Conversion!$B$14,2020,2050),Report_Scenarios!$A$18:$A$24,1)))),IF(INDEX(Report_Scenarios!$A$29:$A$35,MIN(MATCH(MEDIAN($B81-Conversion!$B$14,2020,2050),Report_Scenarios!$A$29:$A$35,1)+1,7))=INDEX(Report_Scenarios!$A$29:$A$35,MATCH(MEDIAN($B81-Conversion!$B$14,2020,2050),Report_Scenarios!$A$29:$A$35,1)),INDEX(Report_Scenarios!$G$29:$G$35,MATCH(MEDIAN($B81-Conversion!$B$14,2020,2050),Report_Scenarios!$A$29:$A$35,1)),INDEX(Report_Scenarios!$G$29:$G$35,MATCH(MEDIAN($B81-Conversion!$B$14,2020,2050),Report_Scenarios!$A$29:$A$35,1))+(INDEX(Report_Scenarios!$G$29:$G$35,MIN(MATCH(MEDIAN($B81-Conversion!$B$14,2020,2050),Report_Scenarios!$A$29:$A$35,1)+1,7))-INDEX(Report_Scenarios!$G$29:$G$35,MATCH(MEDIAN($B81-Conversion!$B$14,2020,2050),Report_Scenarios!$A$29:$A$35,1)))*(MEDIAN($B81-Conversion!$B$14,2020,2050)-INDEX(Report_Scenarios!$A$29:$A$35,MATCH(MEDIAN($B81-Conversion!$B$14,2020,2050),Report_Scenarios!$A$29:$A$35,1)))/(INDEX(Report_Scenarios!$A$29:$A$35,MIN(MATCH(MEDIAN($B81-Conversion!$B$14,2020,2050),Report_Scenarios!$A$29:$A$35,1)+1,7))-INDEX(Report_Scenarios!$A$29:$A$35,MATCH(MEDIAN($B81-Conversion!$B$14,2020,2050),Report_Scenarios!$A$29:$A$35,1))))))</f>
        <v/>
      </c>
      <c r="K81" s="23">
        <f>SUM(E81:J81)</f>
        <v/>
      </c>
      <c r="L81" s="23">
        <f>IF(R81&lt;&gt;"",R81,IF($K81=0,0,E81/$K81))</f>
        <v/>
      </c>
      <c r="M81" s="23">
        <f>IF(S81&lt;&gt;"",S81,IF($K81=0,0,F81/$K81))</f>
        <v/>
      </c>
      <c r="N81" s="23">
        <f>IF(T81&lt;&gt;"",T81,IF($K81=0,0,G81/$K81))</f>
        <v/>
      </c>
      <c r="O81" s="23">
        <f>IF(U81&lt;&gt;"",U81,IF($K81=0,0,H81/$K81))</f>
        <v/>
      </c>
      <c r="P81" s="23">
        <f>IF(V81&lt;&gt;"",V81,IF($K81=0,0,I81/$K81))</f>
        <v/>
      </c>
      <c r="Q81" s="23">
        <f>IF(W81&lt;&gt;"",W81,IF($K81=0,0,J81/$K81))</f>
        <v/>
      </c>
      <c r="R81" s="24" t="n"/>
      <c r="S81" s="24" t="n"/>
      <c r="T81" s="24" t="n"/>
      <c r="U81" s="24" t="n"/>
      <c r="V81" s="24" t="n"/>
      <c r="W81" s="24" t="n"/>
    </row>
    <row r="82">
      <c r="A82" s="4" t="inlineStr">
        <is>
          <t>EF</t>
        </is>
      </c>
      <c r="B82" s="4" t="n">
        <v>2045</v>
      </c>
      <c r="C82" s="4" t="inlineStr">
        <is>
          <t>Share_Max</t>
        </is>
      </c>
      <c r="D82" s="4">
        <f>Conversion!$B$20</f>
        <v/>
      </c>
      <c r="E82" s="23">
        <f>IF($D82="Conservative",IF(INDEX(Report_Scenarios!$A$7:$A$13,MIN(MATCH(MEDIAN($B82-Conversion!$B$14,2020,2050),Report_Scenarios!$A$7:$A$13,1)+1,7))=INDEX(Report_Scenarios!$A$7:$A$13,MATCH(MEDIAN($B82-Conversion!$B$14,2020,2050),Report_Scenarios!$A$7:$A$13,1)),INDEX(Report_Scenarios!$B$7:$B$13,MATCH(MEDIAN($B82-Conversion!$B$14,2020,2050),Report_Scenarios!$A$7:$A$13,1)),INDEX(Report_Scenarios!$B$7:$B$13,MATCH(MEDIAN($B82-Conversion!$B$14,2020,2050),Report_Scenarios!$A$7:$A$13,1))+(INDEX(Report_Scenarios!$B$7:$B$13,MIN(MATCH(MEDIAN($B82-Conversion!$B$14,2020,2050),Report_Scenarios!$A$7:$A$13,1)+1,7))-INDEX(Report_Scenarios!$B$7:$B$13,MATCH(MEDIAN($B82-Conversion!$B$14,2020,2050),Report_Scenarios!$A$7:$A$13,1)))*(MEDIAN($B82-Conversion!$B$14,2020,2050)-INDEX(Report_Scenarios!$A$7:$A$13,MATCH(MEDIAN($B82-Conversion!$B$14,2020,2050),Report_Scenarios!$A$7:$A$13,1)))/(INDEX(Report_Scenarios!$A$7:$A$13,MIN(MATCH(MEDIAN($B82-Conversion!$B$14,2020,2050),Report_Scenarios!$A$7:$A$13,1)+1,7))-INDEX(Report_Scenarios!$A$7:$A$13,MATCH(MEDIAN($B82-Conversion!$B$14,2020,2050),Report_Scenarios!$A$7:$A$13,1)))),IF($D82="Central",IF(INDEX(Report_Scenarios!$A$18:$A$24,MIN(MATCH(MEDIAN($B82-Conversion!$B$14,2020,2050),Report_Scenarios!$A$18:$A$24,1)+1,7))=INDEX(Report_Scenarios!$A$18:$A$24,MATCH(MEDIAN($B82-Conversion!$B$14,2020,2050),Report_Scenarios!$A$18:$A$24,1)),INDEX(Report_Scenarios!$B$18:$B$24,MATCH(MEDIAN($B82-Conversion!$B$14,2020,2050),Report_Scenarios!$A$18:$A$24,1)),INDEX(Report_Scenarios!$B$18:$B$24,MATCH(MEDIAN($B82-Conversion!$B$14,2020,2050),Report_Scenarios!$A$18:$A$24,1))+(INDEX(Report_Scenarios!$B$18:$B$24,MIN(MATCH(MEDIAN($B82-Conversion!$B$14,2020,2050),Report_Scenarios!$A$18:$A$24,1)+1,7))-INDEX(Report_Scenarios!$B$18:$B$24,MATCH(MEDIAN($B82-Conversion!$B$14,2020,2050),Report_Scenarios!$A$18:$A$24,1)))*(MEDIAN($B82-Conversion!$B$14,2020,2050)-INDEX(Report_Scenarios!$A$18:$A$24,MATCH(MEDIAN($B82-Conversion!$B$14,2020,2050),Report_Scenarios!$A$18:$A$24,1)))/(INDEX(Report_Scenarios!$A$18:$A$24,MIN(MATCH(MEDIAN($B82-Conversion!$B$14,2020,2050),Report_Scenarios!$A$18:$A$24,1)+1,7))-INDEX(Report_Scenarios!$A$18:$A$24,MATCH(MEDIAN($B82-Conversion!$B$14,2020,2050),Report_Scenarios!$A$18:$A$24,1)))),IF(INDEX(Report_Scenarios!$A$29:$A$35,MIN(MATCH(MEDIAN($B82-Conversion!$B$14,2020,2050),Report_Scenarios!$A$29:$A$35,1)+1,7))=INDEX(Report_Scenarios!$A$29:$A$35,MATCH(MEDIAN($B82-Conversion!$B$14,2020,2050),Report_Scenarios!$A$29:$A$35,1)),INDEX(Report_Scenarios!$B$29:$B$35,MATCH(MEDIAN($B82-Conversion!$B$14,2020,2050),Report_Scenarios!$A$29:$A$35,1)),INDEX(Report_Scenarios!$B$29:$B$35,MATCH(MEDIAN($B82-Conversion!$B$14,2020,2050),Report_Scenarios!$A$29:$A$35,1))+(INDEX(Report_Scenarios!$B$29:$B$35,MIN(MATCH(MEDIAN($B82-Conversion!$B$14,2020,2050),Report_Scenarios!$A$29:$A$35,1)+1,7))-INDEX(Report_Scenarios!$B$29:$B$35,MATCH(MEDIAN($B82-Conversion!$B$14,2020,2050),Report_Scenarios!$A$29:$A$35,1)))*(MEDIAN($B82-Conversion!$B$14,2020,2050)-INDEX(Report_Scenarios!$A$29:$A$35,MATCH(MEDIAN($B82-Conversion!$B$14,2020,2050),Report_Scenarios!$A$29:$A$35,1)))/(INDEX(Report_Scenarios!$A$29:$A$35,MIN(MATCH(MEDIAN($B82-Conversion!$B$14,2020,2050),Report_Scenarios!$A$29:$A$35,1)+1,7))-INDEX(Report_Scenarios!$A$29:$A$35,MATCH(MEDIAN($B82-Conversion!$B$14,2020,2050),Report_Scenarios!$A$29:$A$35,1))))))</f>
        <v/>
      </c>
      <c r="F82" s="23">
        <f>IF($D82="Conservative",IF(INDEX(Report_Scenarios!$A$7:$A$13,MIN(MATCH(MEDIAN($B82-Conversion!$B$14,2020,2050),Report_Scenarios!$A$7:$A$13,1)+1,7))=INDEX(Report_Scenarios!$A$7:$A$13,MATCH(MEDIAN($B82-Conversion!$B$14,2020,2050),Report_Scenarios!$A$7:$A$13,1)),INDEX(Report_Scenarios!$C$7:$C$13,MATCH(MEDIAN($B82-Conversion!$B$14,2020,2050),Report_Scenarios!$A$7:$A$13,1)),INDEX(Report_Scenarios!$C$7:$C$13,MATCH(MEDIAN($B82-Conversion!$B$14,2020,2050),Report_Scenarios!$A$7:$A$13,1))+(INDEX(Report_Scenarios!$C$7:$C$13,MIN(MATCH(MEDIAN($B82-Conversion!$B$14,2020,2050),Report_Scenarios!$A$7:$A$13,1)+1,7))-INDEX(Report_Scenarios!$C$7:$C$13,MATCH(MEDIAN($B82-Conversion!$B$14,2020,2050),Report_Scenarios!$A$7:$A$13,1)))*(MEDIAN($B82-Conversion!$B$14,2020,2050)-INDEX(Report_Scenarios!$A$7:$A$13,MATCH(MEDIAN($B82-Conversion!$B$14,2020,2050),Report_Scenarios!$A$7:$A$13,1)))/(INDEX(Report_Scenarios!$A$7:$A$13,MIN(MATCH(MEDIAN($B82-Conversion!$B$14,2020,2050),Report_Scenarios!$A$7:$A$13,1)+1,7))-INDEX(Report_Scenarios!$A$7:$A$13,MATCH(MEDIAN($B82-Conversion!$B$14,2020,2050),Report_Scenarios!$A$7:$A$13,1)))),IF($D82="Central",IF(INDEX(Report_Scenarios!$A$18:$A$24,MIN(MATCH(MEDIAN($B82-Conversion!$B$14,2020,2050),Report_Scenarios!$A$18:$A$24,1)+1,7))=INDEX(Report_Scenarios!$A$18:$A$24,MATCH(MEDIAN($B82-Conversion!$B$14,2020,2050),Report_Scenarios!$A$18:$A$24,1)),INDEX(Report_Scenarios!$C$18:$C$24,MATCH(MEDIAN($B82-Conversion!$B$14,2020,2050),Report_Scenarios!$A$18:$A$24,1)),INDEX(Report_Scenarios!$C$18:$C$24,MATCH(MEDIAN($B82-Conversion!$B$14,2020,2050),Report_Scenarios!$A$18:$A$24,1))+(INDEX(Report_Scenarios!$C$18:$C$24,MIN(MATCH(MEDIAN($B82-Conversion!$B$14,2020,2050),Report_Scenarios!$A$18:$A$24,1)+1,7))-INDEX(Report_Scenarios!$C$18:$C$24,MATCH(MEDIAN($B82-Conversion!$B$14,2020,2050),Report_Scenarios!$A$18:$A$24,1)))*(MEDIAN($B82-Conversion!$B$14,2020,2050)-INDEX(Report_Scenarios!$A$18:$A$24,MATCH(MEDIAN($B82-Conversion!$B$14,2020,2050),Report_Scenarios!$A$18:$A$24,1)))/(INDEX(Report_Scenarios!$A$18:$A$24,MIN(MATCH(MEDIAN($B82-Conversion!$B$14,2020,2050),Report_Scenarios!$A$18:$A$24,1)+1,7))-INDEX(Report_Scenarios!$A$18:$A$24,MATCH(MEDIAN($B82-Conversion!$B$14,2020,2050),Report_Scenarios!$A$18:$A$24,1)))),IF(INDEX(Report_Scenarios!$A$29:$A$35,MIN(MATCH(MEDIAN($B82-Conversion!$B$14,2020,2050),Report_Scenarios!$A$29:$A$35,1)+1,7))=INDEX(Report_Scenarios!$A$29:$A$35,MATCH(MEDIAN($B82-Conversion!$B$14,2020,2050),Report_Scenarios!$A$29:$A$35,1)),INDEX(Report_Scenarios!$C$29:$C$35,MATCH(MEDIAN($B82-Conversion!$B$14,2020,2050),Report_Scenarios!$A$29:$A$35,1)),INDEX(Report_Scenarios!$C$29:$C$35,MATCH(MEDIAN($B82-Conversion!$B$14,2020,2050),Report_Scenarios!$A$29:$A$35,1))+(INDEX(Report_Scenarios!$C$29:$C$35,MIN(MATCH(MEDIAN($B82-Conversion!$B$14,2020,2050),Report_Scenarios!$A$29:$A$35,1)+1,7))-INDEX(Report_Scenarios!$C$29:$C$35,MATCH(MEDIAN($B82-Conversion!$B$14,2020,2050),Report_Scenarios!$A$29:$A$35,1)))*(MEDIAN($B82-Conversion!$B$14,2020,2050)-INDEX(Report_Scenarios!$A$29:$A$35,MATCH(MEDIAN($B82-Conversion!$B$14,2020,2050),Report_Scenarios!$A$29:$A$35,1)))/(INDEX(Report_Scenarios!$A$29:$A$35,MIN(MATCH(MEDIAN($B82-Conversion!$B$14,2020,2050),Report_Scenarios!$A$29:$A$35,1)+1,7))-INDEX(Report_Scenarios!$A$29:$A$35,MATCH(MEDIAN($B82-Conversion!$B$14,2020,2050),Report_Scenarios!$A$29:$A$35,1))))))</f>
        <v/>
      </c>
      <c r="G82" s="23">
        <f>IF($D82="Conservative",IF(INDEX(Report_Scenarios!$A$7:$A$13,MIN(MATCH(MEDIAN($B82-Conversion!$B$14,2020,2050),Report_Scenarios!$A$7:$A$13,1)+1,7))=INDEX(Report_Scenarios!$A$7:$A$13,MATCH(MEDIAN($B82-Conversion!$B$14,2020,2050),Report_Scenarios!$A$7:$A$13,1)),INDEX(Report_Scenarios!$D$7:$D$13,MATCH(MEDIAN($B82-Conversion!$B$14,2020,2050),Report_Scenarios!$A$7:$A$13,1)),INDEX(Report_Scenarios!$D$7:$D$13,MATCH(MEDIAN($B82-Conversion!$B$14,2020,2050),Report_Scenarios!$A$7:$A$13,1))+(INDEX(Report_Scenarios!$D$7:$D$13,MIN(MATCH(MEDIAN($B82-Conversion!$B$14,2020,2050),Report_Scenarios!$A$7:$A$13,1)+1,7))-INDEX(Report_Scenarios!$D$7:$D$13,MATCH(MEDIAN($B82-Conversion!$B$14,2020,2050),Report_Scenarios!$A$7:$A$13,1)))*(MEDIAN($B82-Conversion!$B$14,2020,2050)-INDEX(Report_Scenarios!$A$7:$A$13,MATCH(MEDIAN($B82-Conversion!$B$14,2020,2050),Report_Scenarios!$A$7:$A$13,1)))/(INDEX(Report_Scenarios!$A$7:$A$13,MIN(MATCH(MEDIAN($B82-Conversion!$B$14,2020,2050),Report_Scenarios!$A$7:$A$13,1)+1,7))-INDEX(Report_Scenarios!$A$7:$A$13,MATCH(MEDIAN($B82-Conversion!$B$14,2020,2050),Report_Scenarios!$A$7:$A$13,1)))),IF($D82="Central",IF(INDEX(Report_Scenarios!$A$18:$A$24,MIN(MATCH(MEDIAN($B82-Conversion!$B$14,2020,2050),Report_Scenarios!$A$18:$A$24,1)+1,7))=INDEX(Report_Scenarios!$A$18:$A$24,MATCH(MEDIAN($B82-Conversion!$B$14,2020,2050),Report_Scenarios!$A$18:$A$24,1)),INDEX(Report_Scenarios!$D$18:$D$24,MATCH(MEDIAN($B82-Conversion!$B$14,2020,2050),Report_Scenarios!$A$18:$A$24,1)),INDEX(Report_Scenarios!$D$18:$D$24,MATCH(MEDIAN($B82-Conversion!$B$14,2020,2050),Report_Scenarios!$A$18:$A$24,1))+(INDEX(Report_Scenarios!$D$18:$D$24,MIN(MATCH(MEDIAN($B82-Conversion!$B$14,2020,2050),Report_Scenarios!$A$18:$A$24,1)+1,7))-INDEX(Report_Scenarios!$D$18:$D$24,MATCH(MEDIAN($B82-Conversion!$B$14,2020,2050),Report_Scenarios!$A$18:$A$24,1)))*(MEDIAN($B82-Conversion!$B$14,2020,2050)-INDEX(Report_Scenarios!$A$18:$A$24,MATCH(MEDIAN($B82-Conversion!$B$14,2020,2050),Report_Scenarios!$A$18:$A$24,1)))/(INDEX(Report_Scenarios!$A$18:$A$24,MIN(MATCH(MEDIAN($B82-Conversion!$B$14,2020,2050),Report_Scenarios!$A$18:$A$24,1)+1,7))-INDEX(Report_Scenarios!$A$18:$A$24,MATCH(MEDIAN($B82-Conversion!$B$14,2020,2050),Report_Scenarios!$A$18:$A$24,1)))),IF(INDEX(Report_Scenarios!$A$29:$A$35,MIN(MATCH(MEDIAN($B82-Conversion!$B$14,2020,2050),Report_Scenarios!$A$29:$A$35,1)+1,7))=INDEX(Report_Scenarios!$A$29:$A$35,MATCH(MEDIAN($B82-Conversion!$B$14,2020,2050),Report_Scenarios!$A$29:$A$35,1)),INDEX(Report_Scenarios!$D$29:$D$35,MATCH(MEDIAN($B82-Conversion!$B$14,2020,2050),Report_Scenarios!$A$29:$A$35,1)),INDEX(Report_Scenarios!$D$29:$D$35,MATCH(MEDIAN($B82-Conversion!$B$14,2020,2050),Report_Scenarios!$A$29:$A$35,1))+(INDEX(Report_Scenarios!$D$29:$D$35,MIN(MATCH(MEDIAN($B82-Conversion!$B$14,2020,2050),Report_Scenarios!$A$29:$A$35,1)+1,7))-INDEX(Report_Scenarios!$D$29:$D$35,MATCH(MEDIAN($B82-Conversion!$B$14,2020,2050),Report_Scenarios!$A$29:$A$35,1)))*(MEDIAN($B82-Conversion!$B$14,2020,2050)-INDEX(Report_Scenarios!$A$29:$A$35,MATCH(MEDIAN($B82-Conversion!$B$14,2020,2050),Report_Scenarios!$A$29:$A$35,1)))/(INDEX(Report_Scenarios!$A$29:$A$35,MIN(MATCH(MEDIAN($B82-Conversion!$B$14,2020,2050),Report_Scenarios!$A$29:$A$35,1)+1,7))-INDEX(Report_Scenarios!$A$29:$A$35,MATCH(MEDIAN($B82-Conversion!$B$14,2020,2050),Report_Scenarios!$A$29:$A$35,1))))))</f>
        <v/>
      </c>
      <c r="H82" s="23">
        <f>IF($D82="Conservative",IF(INDEX(Report_Scenarios!$A$7:$A$13,MIN(MATCH(MEDIAN($B82-Conversion!$B$14,2020,2050),Report_Scenarios!$A$7:$A$13,1)+1,7))=INDEX(Report_Scenarios!$A$7:$A$13,MATCH(MEDIAN($B82-Conversion!$B$14,2020,2050),Report_Scenarios!$A$7:$A$13,1)),INDEX(Report_Scenarios!$E$7:$E$13,MATCH(MEDIAN($B82-Conversion!$B$14,2020,2050),Report_Scenarios!$A$7:$A$13,1)),INDEX(Report_Scenarios!$E$7:$E$13,MATCH(MEDIAN($B82-Conversion!$B$14,2020,2050),Report_Scenarios!$A$7:$A$13,1))+(INDEX(Report_Scenarios!$E$7:$E$13,MIN(MATCH(MEDIAN($B82-Conversion!$B$14,2020,2050),Report_Scenarios!$A$7:$A$13,1)+1,7))-INDEX(Report_Scenarios!$E$7:$E$13,MATCH(MEDIAN($B82-Conversion!$B$14,2020,2050),Report_Scenarios!$A$7:$A$13,1)))*(MEDIAN($B82-Conversion!$B$14,2020,2050)-INDEX(Report_Scenarios!$A$7:$A$13,MATCH(MEDIAN($B82-Conversion!$B$14,2020,2050),Report_Scenarios!$A$7:$A$13,1)))/(INDEX(Report_Scenarios!$A$7:$A$13,MIN(MATCH(MEDIAN($B82-Conversion!$B$14,2020,2050),Report_Scenarios!$A$7:$A$13,1)+1,7))-INDEX(Report_Scenarios!$A$7:$A$13,MATCH(MEDIAN($B82-Conversion!$B$14,2020,2050),Report_Scenarios!$A$7:$A$13,1)))),IF($D82="Central",IF(INDEX(Report_Scenarios!$A$18:$A$24,MIN(MATCH(MEDIAN($B82-Conversion!$B$14,2020,2050),Report_Scenarios!$A$18:$A$24,1)+1,7))=INDEX(Report_Scenarios!$A$18:$A$24,MATCH(MEDIAN($B82-Conversion!$B$14,2020,2050),Report_Scenarios!$A$18:$A$24,1)),INDEX(Report_Scenarios!$E$18:$E$24,MATCH(MEDIAN($B82-Conversion!$B$14,2020,2050),Report_Scenarios!$A$18:$A$24,1)),INDEX(Report_Scenarios!$E$18:$E$24,MATCH(MEDIAN($B82-Conversion!$B$14,2020,2050),Report_Scenarios!$A$18:$A$24,1))+(INDEX(Report_Scenarios!$E$18:$E$24,MIN(MATCH(MEDIAN($B82-Conversion!$B$14,2020,2050),Report_Scenarios!$A$18:$A$24,1)+1,7))-INDEX(Report_Scenarios!$E$18:$E$24,MATCH(MEDIAN($B82-Conversion!$B$14,2020,2050),Report_Scenarios!$A$18:$A$24,1)))*(MEDIAN($B82-Conversion!$B$14,2020,2050)-INDEX(Report_Scenarios!$A$18:$A$24,MATCH(MEDIAN($B82-Conversion!$B$14,2020,2050),Report_Scenarios!$A$18:$A$24,1)))/(INDEX(Report_Scenarios!$A$18:$A$24,MIN(MATCH(MEDIAN($B82-Conversion!$B$14,2020,2050),Report_Scenarios!$A$18:$A$24,1)+1,7))-INDEX(Report_Scenarios!$A$18:$A$24,MATCH(MEDIAN($B82-Conversion!$B$14,2020,2050),Report_Scenarios!$A$18:$A$24,1)))),IF(INDEX(Report_Scenarios!$A$29:$A$35,MIN(MATCH(MEDIAN($B82-Conversion!$B$14,2020,2050),Report_Scenarios!$A$29:$A$35,1)+1,7))=INDEX(Report_Scenarios!$A$29:$A$35,MATCH(MEDIAN($B82-Conversion!$B$14,2020,2050),Report_Scenarios!$A$29:$A$35,1)),INDEX(Report_Scenarios!$E$29:$E$35,MATCH(MEDIAN($B82-Conversion!$B$14,2020,2050),Report_Scenarios!$A$29:$A$35,1)),INDEX(Report_Scenarios!$E$29:$E$35,MATCH(MEDIAN($B82-Conversion!$B$14,2020,2050),Report_Scenarios!$A$29:$A$35,1))+(INDEX(Report_Scenarios!$E$29:$E$35,MIN(MATCH(MEDIAN($B82-Conversion!$B$14,2020,2050),Report_Scenarios!$A$29:$A$35,1)+1,7))-INDEX(Report_Scenarios!$E$29:$E$35,MATCH(MEDIAN($B82-Conversion!$B$14,2020,2050),Report_Scenarios!$A$29:$A$35,1)))*(MEDIAN($B82-Conversion!$B$14,2020,2050)-INDEX(Report_Scenarios!$A$29:$A$35,MATCH(MEDIAN($B82-Conversion!$B$14,2020,2050),Report_Scenarios!$A$29:$A$35,1)))/(INDEX(Report_Scenarios!$A$29:$A$35,MIN(MATCH(MEDIAN($B82-Conversion!$B$14,2020,2050),Report_Scenarios!$A$29:$A$35,1)+1,7))-INDEX(Report_Scenarios!$A$29:$A$35,MATCH(MEDIAN($B82-Conversion!$B$14,2020,2050),Report_Scenarios!$A$29:$A$35,1))))))</f>
        <v/>
      </c>
      <c r="I82" s="23">
        <f>IF($D82="Conservative",IF(INDEX(Report_Scenarios!$A$7:$A$13,MIN(MATCH(MEDIAN($B82-Conversion!$B$14,2020,2050),Report_Scenarios!$A$7:$A$13,1)+1,7))=INDEX(Report_Scenarios!$A$7:$A$13,MATCH(MEDIAN($B82-Conversion!$B$14,2020,2050),Report_Scenarios!$A$7:$A$13,1)),INDEX(Report_Scenarios!$F$7:$F$13,MATCH(MEDIAN($B82-Conversion!$B$14,2020,2050),Report_Scenarios!$A$7:$A$13,1)),INDEX(Report_Scenarios!$F$7:$F$13,MATCH(MEDIAN($B82-Conversion!$B$14,2020,2050),Report_Scenarios!$A$7:$A$13,1))+(INDEX(Report_Scenarios!$F$7:$F$13,MIN(MATCH(MEDIAN($B82-Conversion!$B$14,2020,2050),Report_Scenarios!$A$7:$A$13,1)+1,7))-INDEX(Report_Scenarios!$F$7:$F$13,MATCH(MEDIAN($B82-Conversion!$B$14,2020,2050),Report_Scenarios!$A$7:$A$13,1)))*(MEDIAN($B82-Conversion!$B$14,2020,2050)-INDEX(Report_Scenarios!$A$7:$A$13,MATCH(MEDIAN($B82-Conversion!$B$14,2020,2050),Report_Scenarios!$A$7:$A$13,1)))/(INDEX(Report_Scenarios!$A$7:$A$13,MIN(MATCH(MEDIAN($B82-Conversion!$B$14,2020,2050),Report_Scenarios!$A$7:$A$13,1)+1,7))-INDEX(Report_Scenarios!$A$7:$A$13,MATCH(MEDIAN($B82-Conversion!$B$14,2020,2050),Report_Scenarios!$A$7:$A$13,1)))),IF($D82="Central",IF(INDEX(Report_Scenarios!$A$18:$A$24,MIN(MATCH(MEDIAN($B82-Conversion!$B$14,2020,2050),Report_Scenarios!$A$18:$A$24,1)+1,7))=INDEX(Report_Scenarios!$A$18:$A$24,MATCH(MEDIAN($B82-Conversion!$B$14,2020,2050),Report_Scenarios!$A$18:$A$24,1)),INDEX(Report_Scenarios!$F$18:$F$24,MATCH(MEDIAN($B82-Conversion!$B$14,2020,2050),Report_Scenarios!$A$18:$A$24,1)),INDEX(Report_Scenarios!$F$18:$F$24,MATCH(MEDIAN($B82-Conversion!$B$14,2020,2050),Report_Scenarios!$A$18:$A$24,1))+(INDEX(Report_Scenarios!$F$18:$F$24,MIN(MATCH(MEDIAN($B82-Conversion!$B$14,2020,2050),Report_Scenarios!$A$18:$A$24,1)+1,7))-INDEX(Report_Scenarios!$F$18:$F$24,MATCH(MEDIAN($B82-Conversion!$B$14,2020,2050),Report_Scenarios!$A$18:$A$24,1)))*(MEDIAN($B82-Conversion!$B$14,2020,2050)-INDEX(Report_Scenarios!$A$18:$A$24,MATCH(MEDIAN($B82-Conversion!$B$14,2020,2050),Report_Scenarios!$A$18:$A$24,1)))/(INDEX(Report_Scenarios!$A$18:$A$24,MIN(MATCH(MEDIAN($B82-Conversion!$B$14,2020,2050),Report_Scenarios!$A$18:$A$24,1)+1,7))-INDEX(Report_Scenarios!$A$18:$A$24,MATCH(MEDIAN($B82-Conversion!$B$14,2020,2050),Report_Scenarios!$A$18:$A$24,1)))),IF(INDEX(Report_Scenarios!$A$29:$A$35,MIN(MATCH(MEDIAN($B82-Conversion!$B$14,2020,2050),Report_Scenarios!$A$29:$A$35,1)+1,7))=INDEX(Report_Scenarios!$A$29:$A$35,MATCH(MEDIAN($B82-Conversion!$B$14,2020,2050),Report_Scenarios!$A$29:$A$35,1)),INDEX(Report_Scenarios!$F$29:$F$35,MATCH(MEDIAN($B82-Conversion!$B$14,2020,2050),Report_Scenarios!$A$29:$A$35,1)),INDEX(Report_Scenarios!$F$29:$F$35,MATCH(MEDIAN($B82-Conversion!$B$14,2020,2050),Report_Scenarios!$A$29:$A$35,1))+(INDEX(Report_Scenarios!$F$29:$F$35,MIN(MATCH(MEDIAN($B82-Conversion!$B$14,2020,2050),Report_Scenarios!$A$29:$A$35,1)+1,7))-INDEX(Report_Scenarios!$F$29:$F$35,MATCH(MEDIAN($B82-Conversion!$B$14,2020,2050),Report_Scenarios!$A$29:$A$35,1)))*(MEDIAN($B82-Conversion!$B$14,2020,2050)-INDEX(Report_Scenarios!$A$29:$A$35,MATCH(MEDIAN($B82-Conversion!$B$14,2020,2050),Report_Scenarios!$A$29:$A$35,1)))/(INDEX(Report_Scenarios!$A$29:$A$35,MIN(MATCH(MEDIAN($B82-Conversion!$B$14,2020,2050),Report_Scenarios!$A$29:$A$35,1)+1,7))-INDEX(Report_Scenarios!$A$29:$A$35,MATCH(MEDIAN($B82-Conversion!$B$14,2020,2050),Report_Scenarios!$A$29:$A$35,1))))))</f>
        <v/>
      </c>
      <c r="J82" s="23">
        <f>IF($D82="Conservative",IF(INDEX(Report_Scenarios!$A$7:$A$13,MIN(MATCH(MEDIAN($B82-Conversion!$B$14,2020,2050),Report_Scenarios!$A$7:$A$13,1)+1,7))=INDEX(Report_Scenarios!$A$7:$A$13,MATCH(MEDIAN($B82-Conversion!$B$14,2020,2050),Report_Scenarios!$A$7:$A$13,1)),INDEX(Report_Scenarios!$G$7:$G$13,MATCH(MEDIAN($B82-Conversion!$B$14,2020,2050),Report_Scenarios!$A$7:$A$13,1)),INDEX(Report_Scenarios!$G$7:$G$13,MATCH(MEDIAN($B82-Conversion!$B$14,2020,2050),Report_Scenarios!$A$7:$A$13,1))+(INDEX(Report_Scenarios!$G$7:$G$13,MIN(MATCH(MEDIAN($B82-Conversion!$B$14,2020,2050),Report_Scenarios!$A$7:$A$13,1)+1,7))-INDEX(Report_Scenarios!$G$7:$G$13,MATCH(MEDIAN($B82-Conversion!$B$14,2020,2050),Report_Scenarios!$A$7:$A$13,1)))*(MEDIAN($B82-Conversion!$B$14,2020,2050)-INDEX(Report_Scenarios!$A$7:$A$13,MATCH(MEDIAN($B82-Conversion!$B$14,2020,2050),Report_Scenarios!$A$7:$A$13,1)))/(INDEX(Report_Scenarios!$A$7:$A$13,MIN(MATCH(MEDIAN($B82-Conversion!$B$14,2020,2050),Report_Scenarios!$A$7:$A$13,1)+1,7))-INDEX(Report_Scenarios!$A$7:$A$13,MATCH(MEDIAN($B82-Conversion!$B$14,2020,2050),Report_Scenarios!$A$7:$A$13,1)))),IF($D82="Central",IF(INDEX(Report_Scenarios!$A$18:$A$24,MIN(MATCH(MEDIAN($B82-Conversion!$B$14,2020,2050),Report_Scenarios!$A$18:$A$24,1)+1,7))=INDEX(Report_Scenarios!$A$18:$A$24,MATCH(MEDIAN($B82-Conversion!$B$14,2020,2050),Report_Scenarios!$A$18:$A$24,1)),INDEX(Report_Scenarios!$G$18:$G$24,MATCH(MEDIAN($B82-Conversion!$B$14,2020,2050),Report_Scenarios!$A$18:$A$24,1)),INDEX(Report_Scenarios!$G$18:$G$24,MATCH(MEDIAN($B82-Conversion!$B$14,2020,2050),Report_Scenarios!$A$18:$A$24,1))+(INDEX(Report_Scenarios!$G$18:$G$24,MIN(MATCH(MEDIAN($B82-Conversion!$B$14,2020,2050),Report_Scenarios!$A$18:$A$24,1)+1,7))-INDEX(Report_Scenarios!$G$18:$G$24,MATCH(MEDIAN($B82-Conversion!$B$14,2020,2050),Report_Scenarios!$A$18:$A$24,1)))*(MEDIAN($B82-Conversion!$B$14,2020,2050)-INDEX(Report_Scenarios!$A$18:$A$24,MATCH(MEDIAN($B82-Conversion!$B$14,2020,2050),Report_Scenarios!$A$18:$A$24,1)))/(INDEX(Report_Scenarios!$A$18:$A$24,MIN(MATCH(MEDIAN($B82-Conversion!$B$14,2020,2050),Report_Scenarios!$A$18:$A$24,1)+1,7))-INDEX(Report_Scenarios!$A$18:$A$24,MATCH(MEDIAN($B82-Conversion!$B$14,2020,2050),Report_Scenarios!$A$18:$A$24,1)))),IF(INDEX(Report_Scenarios!$A$29:$A$35,MIN(MATCH(MEDIAN($B82-Conversion!$B$14,2020,2050),Report_Scenarios!$A$29:$A$35,1)+1,7))=INDEX(Report_Scenarios!$A$29:$A$35,MATCH(MEDIAN($B82-Conversion!$B$14,2020,2050),Report_Scenarios!$A$29:$A$35,1)),INDEX(Report_Scenarios!$G$29:$G$35,MATCH(MEDIAN($B82-Conversion!$B$14,2020,2050),Report_Scenarios!$A$29:$A$35,1)),INDEX(Report_Scenarios!$G$29:$G$35,MATCH(MEDIAN($B82-Conversion!$B$14,2020,2050),Report_Scenarios!$A$29:$A$35,1))+(INDEX(Report_Scenarios!$G$29:$G$35,MIN(MATCH(MEDIAN($B82-Conversion!$B$14,2020,2050),Report_Scenarios!$A$29:$A$35,1)+1,7))-INDEX(Report_Scenarios!$G$29:$G$35,MATCH(MEDIAN($B82-Conversion!$B$14,2020,2050),Report_Scenarios!$A$29:$A$35,1)))*(MEDIAN($B82-Conversion!$B$14,2020,2050)-INDEX(Report_Scenarios!$A$29:$A$35,MATCH(MEDIAN($B82-Conversion!$B$14,2020,2050),Report_Scenarios!$A$29:$A$35,1)))/(INDEX(Report_Scenarios!$A$29:$A$35,MIN(MATCH(MEDIAN($B82-Conversion!$B$14,2020,2050),Report_Scenarios!$A$29:$A$35,1)+1,7))-INDEX(Report_Scenarios!$A$29:$A$35,MATCH(MEDIAN($B82-Conversion!$B$14,2020,2050),Report_Scenarios!$A$29:$A$35,1))))))</f>
        <v/>
      </c>
      <c r="K82" s="23">
        <f>SUM(E82:J82)</f>
        <v/>
      </c>
      <c r="L82" s="23">
        <f>IF(R82&lt;&gt;"",R82,IF($K82=0,0,E82/$K82))</f>
        <v/>
      </c>
      <c r="M82" s="23">
        <f>IF(S82&lt;&gt;"",S82,IF($K82=0,0,F82/$K82))</f>
        <v/>
      </c>
      <c r="N82" s="23">
        <f>IF(T82&lt;&gt;"",T82,IF($K82=0,0,G82/$K82))</f>
        <v/>
      </c>
      <c r="O82" s="23">
        <f>IF(U82&lt;&gt;"",U82,IF($K82=0,0,H82/$K82))</f>
        <v/>
      </c>
      <c r="P82" s="23">
        <f>IF(V82&lt;&gt;"",V82,IF($K82=0,0,I82/$K82))</f>
        <v/>
      </c>
      <c r="Q82" s="23">
        <f>IF(W82&lt;&gt;"",W82,IF($K82=0,0,J82/$K82))</f>
        <v/>
      </c>
      <c r="R82" s="24" t="n"/>
      <c r="S82" s="24" t="n"/>
      <c r="T82" s="24" t="n"/>
      <c r="U82" s="24" t="n"/>
      <c r="V82" s="24" t="n"/>
      <c r="W82" s="24" t="n"/>
    </row>
    <row r="83">
      <c r="A83" s="4" t="inlineStr">
        <is>
          <t>EF</t>
        </is>
      </c>
      <c r="B83" s="4" t="n">
        <v>2050</v>
      </c>
      <c r="C83" s="4" t="inlineStr">
        <is>
          <t>Share_Min</t>
        </is>
      </c>
      <c r="D83" s="4">
        <f>Conversion!$B$18</f>
        <v/>
      </c>
      <c r="E83" s="23">
        <f>IF($D83="Conservative",IF(INDEX(Report_Scenarios!$A$7:$A$13,MIN(MATCH(MEDIAN($B83-Conversion!$B$14,2020,2050),Report_Scenarios!$A$7:$A$13,1)+1,7))=INDEX(Report_Scenarios!$A$7:$A$13,MATCH(MEDIAN($B83-Conversion!$B$14,2020,2050),Report_Scenarios!$A$7:$A$13,1)),INDEX(Report_Scenarios!$B$7:$B$13,MATCH(MEDIAN($B83-Conversion!$B$14,2020,2050),Report_Scenarios!$A$7:$A$13,1)),INDEX(Report_Scenarios!$B$7:$B$13,MATCH(MEDIAN($B83-Conversion!$B$14,2020,2050),Report_Scenarios!$A$7:$A$13,1))+(INDEX(Report_Scenarios!$B$7:$B$13,MIN(MATCH(MEDIAN($B83-Conversion!$B$14,2020,2050),Report_Scenarios!$A$7:$A$13,1)+1,7))-INDEX(Report_Scenarios!$B$7:$B$13,MATCH(MEDIAN($B83-Conversion!$B$14,2020,2050),Report_Scenarios!$A$7:$A$13,1)))*(MEDIAN($B83-Conversion!$B$14,2020,2050)-INDEX(Report_Scenarios!$A$7:$A$13,MATCH(MEDIAN($B83-Conversion!$B$14,2020,2050),Report_Scenarios!$A$7:$A$13,1)))/(INDEX(Report_Scenarios!$A$7:$A$13,MIN(MATCH(MEDIAN($B83-Conversion!$B$14,2020,2050),Report_Scenarios!$A$7:$A$13,1)+1,7))-INDEX(Report_Scenarios!$A$7:$A$13,MATCH(MEDIAN($B83-Conversion!$B$14,2020,2050),Report_Scenarios!$A$7:$A$13,1)))),IF($D83="Central",IF(INDEX(Report_Scenarios!$A$18:$A$24,MIN(MATCH(MEDIAN($B83-Conversion!$B$14,2020,2050),Report_Scenarios!$A$18:$A$24,1)+1,7))=INDEX(Report_Scenarios!$A$18:$A$24,MATCH(MEDIAN($B83-Conversion!$B$14,2020,2050),Report_Scenarios!$A$18:$A$24,1)),INDEX(Report_Scenarios!$B$18:$B$24,MATCH(MEDIAN($B83-Conversion!$B$14,2020,2050),Report_Scenarios!$A$18:$A$24,1)),INDEX(Report_Scenarios!$B$18:$B$24,MATCH(MEDIAN($B83-Conversion!$B$14,2020,2050),Report_Scenarios!$A$18:$A$24,1))+(INDEX(Report_Scenarios!$B$18:$B$24,MIN(MATCH(MEDIAN($B83-Conversion!$B$14,2020,2050),Report_Scenarios!$A$18:$A$24,1)+1,7))-INDEX(Report_Scenarios!$B$18:$B$24,MATCH(MEDIAN($B83-Conversion!$B$14,2020,2050),Report_Scenarios!$A$18:$A$24,1)))*(MEDIAN($B83-Conversion!$B$14,2020,2050)-INDEX(Report_Scenarios!$A$18:$A$24,MATCH(MEDIAN($B83-Conversion!$B$14,2020,2050),Report_Scenarios!$A$18:$A$24,1)))/(INDEX(Report_Scenarios!$A$18:$A$24,MIN(MATCH(MEDIAN($B83-Conversion!$B$14,2020,2050),Report_Scenarios!$A$18:$A$24,1)+1,7))-INDEX(Report_Scenarios!$A$18:$A$24,MATCH(MEDIAN($B83-Conversion!$B$14,2020,2050),Report_Scenarios!$A$18:$A$24,1)))),IF(INDEX(Report_Scenarios!$A$29:$A$35,MIN(MATCH(MEDIAN($B83-Conversion!$B$14,2020,2050),Report_Scenarios!$A$29:$A$35,1)+1,7))=INDEX(Report_Scenarios!$A$29:$A$35,MATCH(MEDIAN($B83-Conversion!$B$14,2020,2050),Report_Scenarios!$A$29:$A$35,1)),INDEX(Report_Scenarios!$B$29:$B$35,MATCH(MEDIAN($B83-Conversion!$B$14,2020,2050),Report_Scenarios!$A$29:$A$35,1)),INDEX(Report_Scenarios!$B$29:$B$35,MATCH(MEDIAN($B83-Conversion!$B$14,2020,2050),Report_Scenarios!$A$29:$A$35,1))+(INDEX(Report_Scenarios!$B$29:$B$35,MIN(MATCH(MEDIAN($B83-Conversion!$B$14,2020,2050),Report_Scenarios!$A$29:$A$35,1)+1,7))-INDEX(Report_Scenarios!$B$29:$B$35,MATCH(MEDIAN($B83-Conversion!$B$14,2020,2050),Report_Scenarios!$A$29:$A$35,1)))*(MEDIAN($B83-Conversion!$B$14,2020,2050)-INDEX(Report_Scenarios!$A$29:$A$35,MATCH(MEDIAN($B83-Conversion!$B$14,2020,2050),Report_Scenarios!$A$29:$A$35,1)))/(INDEX(Report_Scenarios!$A$29:$A$35,MIN(MATCH(MEDIAN($B83-Conversion!$B$14,2020,2050),Report_Scenarios!$A$29:$A$35,1)+1,7))-INDEX(Report_Scenarios!$A$29:$A$35,MATCH(MEDIAN($B83-Conversion!$B$14,2020,2050),Report_Scenarios!$A$29:$A$35,1))))))</f>
        <v/>
      </c>
      <c r="F83" s="23">
        <f>IF($D83="Conservative",IF(INDEX(Report_Scenarios!$A$7:$A$13,MIN(MATCH(MEDIAN($B83-Conversion!$B$14,2020,2050),Report_Scenarios!$A$7:$A$13,1)+1,7))=INDEX(Report_Scenarios!$A$7:$A$13,MATCH(MEDIAN($B83-Conversion!$B$14,2020,2050),Report_Scenarios!$A$7:$A$13,1)),INDEX(Report_Scenarios!$C$7:$C$13,MATCH(MEDIAN($B83-Conversion!$B$14,2020,2050),Report_Scenarios!$A$7:$A$13,1)),INDEX(Report_Scenarios!$C$7:$C$13,MATCH(MEDIAN($B83-Conversion!$B$14,2020,2050),Report_Scenarios!$A$7:$A$13,1))+(INDEX(Report_Scenarios!$C$7:$C$13,MIN(MATCH(MEDIAN($B83-Conversion!$B$14,2020,2050),Report_Scenarios!$A$7:$A$13,1)+1,7))-INDEX(Report_Scenarios!$C$7:$C$13,MATCH(MEDIAN($B83-Conversion!$B$14,2020,2050),Report_Scenarios!$A$7:$A$13,1)))*(MEDIAN($B83-Conversion!$B$14,2020,2050)-INDEX(Report_Scenarios!$A$7:$A$13,MATCH(MEDIAN($B83-Conversion!$B$14,2020,2050),Report_Scenarios!$A$7:$A$13,1)))/(INDEX(Report_Scenarios!$A$7:$A$13,MIN(MATCH(MEDIAN($B83-Conversion!$B$14,2020,2050),Report_Scenarios!$A$7:$A$13,1)+1,7))-INDEX(Report_Scenarios!$A$7:$A$13,MATCH(MEDIAN($B83-Conversion!$B$14,2020,2050),Report_Scenarios!$A$7:$A$13,1)))),IF($D83="Central",IF(INDEX(Report_Scenarios!$A$18:$A$24,MIN(MATCH(MEDIAN($B83-Conversion!$B$14,2020,2050),Report_Scenarios!$A$18:$A$24,1)+1,7))=INDEX(Report_Scenarios!$A$18:$A$24,MATCH(MEDIAN($B83-Conversion!$B$14,2020,2050),Report_Scenarios!$A$18:$A$24,1)),INDEX(Report_Scenarios!$C$18:$C$24,MATCH(MEDIAN($B83-Conversion!$B$14,2020,2050),Report_Scenarios!$A$18:$A$24,1)),INDEX(Report_Scenarios!$C$18:$C$24,MATCH(MEDIAN($B83-Conversion!$B$14,2020,2050),Report_Scenarios!$A$18:$A$24,1))+(INDEX(Report_Scenarios!$C$18:$C$24,MIN(MATCH(MEDIAN($B83-Conversion!$B$14,2020,2050),Report_Scenarios!$A$18:$A$24,1)+1,7))-INDEX(Report_Scenarios!$C$18:$C$24,MATCH(MEDIAN($B83-Conversion!$B$14,2020,2050),Report_Scenarios!$A$18:$A$24,1)))*(MEDIAN($B83-Conversion!$B$14,2020,2050)-INDEX(Report_Scenarios!$A$18:$A$24,MATCH(MEDIAN($B83-Conversion!$B$14,2020,2050),Report_Scenarios!$A$18:$A$24,1)))/(INDEX(Report_Scenarios!$A$18:$A$24,MIN(MATCH(MEDIAN($B83-Conversion!$B$14,2020,2050),Report_Scenarios!$A$18:$A$24,1)+1,7))-INDEX(Report_Scenarios!$A$18:$A$24,MATCH(MEDIAN($B83-Conversion!$B$14,2020,2050),Report_Scenarios!$A$18:$A$24,1)))),IF(INDEX(Report_Scenarios!$A$29:$A$35,MIN(MATCH(MEDIAN($B83-Conversion!$B$14,2020,2050),Report_Scenarios!$A$29:$A$35,1)+1,7))=INDEX(Report_Scenarios!$A$29:$A$35,MATCH(MEDIAN($B83-Conversion!$B$14,2020,2050),Report_Scenarios!$A$29:$A$35,1)),INDEX(Report_Scenarios!$C$29:$C$35,MATCH(MEDIAN($B83-Conversion!$B$14,2020,2050),Report_Scenarios!$A$29:$A$35,1)),INDEX(Report_Scenarios!$C$29:$C$35,MATCH(MEDIAN($B83-Conversion!$B$14,2020,2050),Report_Scenarios!$A$29:$A$35,1))+(INDEX(Report_Scenarios!$C$29:$C$35,MIN(MATCH(MEDIAN($B83-Conversion!$B$14,2020,2050),Report_Scenarios!$A$29:$A$35,1)+1,7))-INDEX(Report_Scenarios!$C$29:$C$35,MATCH(MEDIAN($B83-Conversion!$B$14,2020,2050),Report_Scenarios!$A$29:$A$35,1)))*(MEDIAN($B83-Conversion!$B$14,2020,2050)-INDEX(Report_Scenarios!$A$29:$A$35,MATCH(MEDIAN($B83-Conversion!$B$14,2020,2050),Report_Scenarios!$A$29:$A$35,1)))/(INDEX(Report_Scenarios!$A$29:$A$35,MIN(MATCH(MEDIAN($B83-Conversion!$B$14,2020,2050),Report_Scenarios!$A$29:$A$35,1)+1,7))-INDEX(Report_Scenarios!$A$29:$A$35,MATCH(MEDIAN($B83-Conversion!$B$14,2020,2050),Report_Scenarios!$A$29:$A$35,1))))))</f>
        <v/>
      </c>
      <c r="G83" s="23">
        <f>IF($D83="Conservative",IF(INDEX(Report_Scenarios!$A$7:$A$13,MIN(MATCH(MEDIAN($B83-Conversion!$B$14,2020,2050),Report_Scenarios!$A$7:$A$13,1)+1,7))=INDEX(Report_Scenarios!$A$7:$A$13,MATCH(MEDIAN($B83-Conversion!$B$14,2020,2050),Report_Scenarios!$A$7:$A$13,1)),INDEX(Report_Scenarios!$D$7:$D$13,MATCH(MEDIAN($B83-Conversion!$B$14,2020,2050),Report_Scenarios!$A$7:$A$13,1)),INDEX(Report_Scenarios!$D$7:$D$13,MATCH(MEDIAN($B83-Conversion!$B$14,2020,2050),Report_Scenarios!$A$7:$A$13,1))+(INDEX(Report_Scenarios!$D$7:$D$13,MIN(MATCH(MEDIAN($B83-Conversion!$B$14,2020,2050),Report_Scenarios!$A$7:$A$13,1)+1,7))-INDEX(Report_Scenarios!$D$7:$D$13,MATCH(MEDIAN($B83-Conversion!$B$14,2020,2050),Report_Scenarios!$A$7:$A$13,1)))*(MEDIAN($B83-Conversion!$B$14,2020,2050)-INDEX(Report_Scenarios!$A$7:$A$13,MATCH(MEDIAN($B83-Conversion!$B$14,2020,2050),Report_Scenarios!$A$7:$A$13,1)))/(INDEX(Report_Scenarios!$A$7:$A$13,MIN(MATCH(MEDIAN($B83-Conversion!$B$14,2020,2050),Report_Scenarios!$A$7:$A$13,1)+1,7))-INDEX(Report_Scenarios!$A$7:$A$13,MATCH(MEDIAN($B83-Conversion!$B$14,2020,2050),Report_Scenarios!$A$7:$A$13,1)))),IF($D83="Central",IF(INDEX(Report_Scenarios!$A$18:$A$24,MIN(MATCH(MEDIAN($B83-Conversion!$B$14,2020,2050),Report_Scenarios!$A$18:$A$24,1)+1,7))=INDEX(Report_Scenarios!$A$18:$A$24,MATCH(MEDIAN($B83-Conversion!$B$14,2020,2050),Report_Scenarios!$A$18:$A$24,1)),INDEX(Report_Scenarios!$D$18:$D$24,MATCH(MEDIAN($B83-Conversion!$B$14,2020,2050),Report_Scenarios!$A$18:$A$24,1)),INDEX(Report_Scenarios!$D$18:$D$24,MATCH(MEDIAN($B83-Conversion!$B$14,2020,2050),Report_Scenarios!$A$18:$A$24,1))+(INDEX(Report_Scenarios!$D$18:$D$24,MIN(MATCH(MEDIAN($B83-Conversion!$B$14,2020,2050),Report_Scenarios!$A$18:$A$24,1)+1,7))-INDEX(Report_Scenarios!$D$18:$D$24,MATCH(MEDIAN($B83-Conversion!$B$14,2020,2050),Report_Scenarios!$A$18:$A$24,1)))*(MEDIAN($B83-Conversion!$B$14,2020,2050)-INDEX(Report_Scenarios!$A$18:$A$24,MATCH(MEDIAN($B83-Conversion!$B$14,2020,2050),Report_Scenarios!$A$18:$A$24,1)))/(INDEX(Report_Scenarios!$A$18:$A$24,MIN(MATCH(MEDIAN($B83-Conversion!$B$14,2020,2050),Report_Scenarios!$A$18:$A$24,1)+1,7))-INDEX(Report_Scenarios!$A$18:$A$24,MATCH(MEDIAN($B83-Conversion!$B$14,2020,2050),Report_Scenarios!$A$18:$A$24,1)))),IF(INDEX(Report_Scenarios!$A$29:$A$35,MIN(MATCH(MEDIAN($B83-Conversion!$B$14,2020,2050),Report_Scenarios!$A$29:$A$35,1)+1,7))=INDEX(Report_Scenarios!$A$29:$A$35,MATCH(MEDIAN($B83-Conversion!$B$14,2020,2050),Report_Scenarios!$A$29:$A$35,1)),INDEX(Report_Scenarios!$D$29:$D$35,MATCH(MEDIAN($B83-Conversion!$B$14,2020,2050),Report_Scenarios!$A$29:$A$35,1)),INDEX(Report_Scenarios!$D$29:$D$35,MATCH(MEDIAN($B83-Conversion!$B$14,2020,2050),Report_Scenarios!$A$29:$A$35,1))+(INDEX(Report_Scenarios!$D$29:$D$35,MIN(MATCH(MEDIAN($B83-Conversion!$B$14,2020,2050),Report_Scenarios!$A$29:$A$35,1)+1,7))-INDEX(Report_Scenarios!$D$29:$D$35,MATCH(MEDIAN($B83-Conversion!$B$14,2020,2050),Report_Scenarios!$A$29:$A$35,1)))*(MEDIAN($B83-Conversion!$B$14,2020,2050)-INDEX(Report_Scenarios!$A$29:$A$35,MATCH(MEDIAN($B83-Conversion!$B$14,2020,2050),Report_Scenarios!$A$29:$A$35,1)))/(INDEX(Report_Scenarios!$A$29:$A$35,MIN(MATCH(MEDIAN($B83-Conversion!$B$14,2020,2050),Report_Scenarios!$A$29:$A$35,1)+1,7))-INDEX(Report_Scenarios!$A$29:$A$35,MATCH(MEDIAN($B83-Conversion!$B$14,2020,2050),Report_Scenarios!$A$29:$A$35,1))))))</f>
        <v/>
      </c>
      <c r="H83" s="23">
        <f>IF($D83="Conservative",IF(INDEX(Report_Scenarios!$A$7:$A$13,MIN(MATCH(MEDIAN($B83-Conversion!$B$14,2020,2050),Report_Scenarios!$A$7:$A$13,1)+1,7))=INDEX(Report_Scenarios!$A$7:$A$13,MATCH(MEDIAN($B83-Conversion!$B$14,2020,2050),Report_Scenarios!$A$7:$A$13,1)),INDEX(Report_Scenarios!$E$7:$E$13,MATCH(MEDIAN($B83-Conversion!$B$14,2020,2050),Report_Scenarios!$A$7:$A$13,1)),INDEX(Report_Scenarios!$E$7:$E$13,MATCH(MEDIAN($B83-Conversion!$B$14,2020,2050),Report_Scenarios!$A$7:$A$13,1))+(INDEX(Report_Scenarios!$E$7:$E$13,MIN(MATCH(MEDIAN($B83-Conversion!$B$14,2020,2050),Report_Scenarios!$A$7:$A$13,1)+1,7))-INDEX(Report_Scenarios!$E$7:$E$13,MATCH(MEDIAN($B83-Conversion!$B$14,2020,2050),Report_Scenarios!$A$7:$A$13,1)))*(MEDIAN($B83-Conversion!$B$14,2020,2050)-INDEX(Report_Scenarios!$A$7:$A$13,MATCH(MEDIAN($B83-Conversion!$B$14,2020,2050),Report_Scenarios!$A$7:$A$13,1)))/(INDEX(Report_Scenarios!$A$7:$A$13,MIN(MATCH(MEDIAN($B83-Conversion!$B$14,2020,2050),Report_Scenarios!$A$7:$A$13,1)+1,7))-INDEX(Report_Scenarios!$A$7:$A$13,MATCH(MEDIAN($B83-Conversion!$B$14,2020,2050),Report_Scenarios!$A$7:$A$13,1)))),IF($D83="Central",IF(INDEX(Report_Scenarios!$A$18:$A$24,MIN(MATCH(MEDIAN($B83-Conversion!$B$14,2020,2050),Report_Scenarios!$A$18:$A$24,1)+1,7))=INDEX(Report_Scenarios!$A$18:$A$24,MATCH(MEDIAN($B83-Conversion!$B$14,2020,2050),Report_Scenarios!$A$18:$A$24,1)),INDEX(Report_Scenarios!$E$18:$E$24,MATCH(MEDIAN($B83-Conversion!$B$14,2020,2050),Report_Scenarios!$A$18:$A$24,1)),INDEX(Report_Scenarios!$E$18:$E$24,MATCH(MEDIAN($B83-Conversion!$B$14,2020,2050),Report_Scenarios!$A$18:$A$24,1))+(INDEX(Report_Scenarios!$E$18:$E$24,MIN(MATCH(MEDIAN($B83-Conversion!$B$14,2020,2050),Report_Scenarios!$A$18:$A$24,1)+1,7))-INDEX(Report_Scenarios!$E$18:$E$24,MATCH(MEDIAN($B83-Conversion!$B$14,2020,2050),Report_Scenarios!$A$18:$A$24,1)))*(MEDIAN($B83-Conversion!$B$14,2020,2050)-INDEX(Report_Scenarios!$A$18:$A$24,MATCH(MEDIAN($B83-Conversion!$B$14,2020,2050),Report_Scenarios!$A$18:$A$24,1)))/(INDEX(Report_Scenarios!$A$18:$A$24,MIN(MATCH(MEDIAN($B83-Conversion!$B$14,2020,2050),Report_Scenarios!$A$18:$A$24,1)+1,7))-INDEX(Report_Scenarios!$A$18:$A$24,MATCH(MEDIAN($B83-Conversion!$B$14,2020,2050),Report_Scenarios!$A$18:$A$24,1)))),IF(INDEX(Report_Scenarios!$A$29:$A$35,MIN(MATCH(MEDIAN($B83-Conversion!$B$14,2020,2050),Report_Scenarios!$A$29:$A$35,1)+1,7))=INDEX(Report_Scenarios!$A$29:$A$35,MATCH(MEDIAN($B83-Conversion!$B$14,2020,2050),Report_Scenarios!$A$29:$A$35,1)),INDEX(Report_Scenarios!$E$29:$E$35,MATCH(MEDIAN($B83-Conversion!$B$14,2020,2050),Report_Scenarios!$A$29:$A$35,1)),INDEX(Report_Scenarios!$E$29:$E$35,MATCH(MEDIAN($B83-Conversion!$B$14,2020,2050),Report_Scenarios!$A$29:$A$35,1))+(INDEX(Report_Scenarios!$E$29:$E$35,MIN(MATCH(MEDIAN($B83-Conversion!$B$14,2020,2050),Report_Scenarios!$A$29:$A$35,1)+1,7))-INDEX(Report_Scenarios!$E$29:$E$35,MATCH(MEDIAN($B83-Conversion!$B$14,2020,2050),Report_Scenarios!$A$29:$A$35,1)))*(MEDIAN($B83-Conversion!$B$14,2020,2050)-INDEX(Report_Scenarios!$A$29:$A$35,MATCH(MEDIAN($B83-Conversion!$B$14,2020,2050),Report_Scenarios!$A$29:$A$35,1)))/(INDEX(Report_Scenarios!$A$29:$A$35,MIN(MATCH(MEDIAN($B83-Conversion!$B$14,2020,2050),Report_Scenarios!$A$29:$A$35,1)+1,7))-INDEX(Report_Scenarios!$A$29:$A$35,MATCH(MEDIAN($B83-Conversion!$B$14,2020,2050),Report_Scenarios!$A$29:$A$35,1))))))</f>
        <v/>
      </c>
      <c r="I83" s="23">
        <f>IF($D83="Conservative",IF(INDEX(Report_Scenarios!$A$7:$A$13,MIN(MATCH(MEDIAN($B83-Conversion!$B$14,2020,2050),Report_Scenarios!$A$7:$A$13,1)+1,7))=INDEX(Report_Scenarios!$A$7:$A$13,MATCH(MEDIAN($B83-Conversion!$B$14,2020,2050),Report_Scenarios!$A$7:$A$13,1)),INDEX(Report_Scenarios!$F$7:$F$13,MATCH(MEDIAN($B83-Conversion!$B$14,2020,2050),Report_Scenarios!$A$7:$A$13,1)),INDEX(Report_Scenarios!$F$7:$F$13,MATCH(MEDIAN($B83-Conversion!$B$14,2020,2050),Report_Scenarios!$A$7:$A$13,1))+(INDEX(Report_Scenarios!$F$7:$F$13,MIN(MATCH(MEDIAN($B83-Conversion!$B$14,2020,2050),Report_Scenarios!$A$7:$A$13,1)+1,7))-INDEX(Report_Scenarios!$F$7:$F$13,MATCH(MEDIAN($B83-Conversion!$B$14,2020,2050),Report_Scenarios!$A$7:$A$13,1)))*(MEDIAN($B83-Conversion!$B$14,2020,2050)-INDEX(Report_Scenarios!$A$7:$A$13,MATCH(MEDIAN($B83-Conversion!$B$14,2020,2050),Report_Scenarios!$A$7:$A$13,1)))/(INDEX(Report_Scenarios!$A$7:$A$13,MIN(MATCH(MEDIAN($B83-Conversion!$B$14,2020,2050),Report_Scenarios!$A$7:$A$13,1)+1,7))-INDEX(Report_Scenarios!$A$7:$A$13,MATCH(MEDIAN($B83-Conversion!$B$14,2020,2050),Report_Scenarios!$A$7:$A$13,1)))),IF($D83="Central",IF(INDEX(Report_Scenarios!$A$18:$A$24,MIN(MATCH(MEDIAN($B83-Conversion!$B$14,2020,2050),Report_Scenarios!$A$18:$A$24,1)+1,7))=INDEX(Report_Scenarios!$A$18:$A$24,MATCH(MEDIAN($B83-Conversion!$B$14,2020,2050),Report_Scenarios!$A$18:$A$24,1)),INDEX(Report_Scenarios!$F$18:$F$24,MATCH(MEDIAN($B83-Conversion!$B$14,2020,2050),Report_Scenarios!$A$18:$A$24,1)),INDEX(Report_Scenarios!$F$18:$F$24,MATCH(MEDIAN($B83-Conversion!$B$14,2020,2050),Report_Scenarios!$A$18:$A$24,1))+(INDEX(Report_Scenarios!$F$18:$F$24,MIN(MATCH(MEDIAN($B83-Conversion!$B$14,2020,2050),Report_Scenarios!$A$18:$A$24,1)+1,7))-INDEX(Report_Scenarios!$F$18:$F$24,MATCH(MEDIAN($B83-Conversion!$B$14,2020,2050),Report_Scenarios!$A$18:$A$24,1)))*(MEDIAN($B83-Conversion!$B$14,2020,2050)-INDEX(Report_Scenarios!$A$18:$A$24,MATCH(MEDIAN($B83-Conversion!$B$14,2020,2050),Report_Scenarios!$A$18:$A$24,1)))/(INDEX(Report_Scenarios!$A$18:$A$24,MIN(MATCH(MEDIAN($B83-Conversion!$B$14,2020,2050),Report_Scenarios!$A$18:$A$24,1)+1,7))-INDEX(Report_Scenarios!$A$18:$A$24,MATCH(MEDIAN($B83-Conversion!$B$14,2020,2050),Report_Scenarios!$A$18:$A$24,1)))),IF(INDEX(Report_Scenarios!$A$29:$A$35,MIN(MATCH(MEDIAN($B83-Conversion!$B$14,2020,2050),Report_Scenarios!$A$29:$A$35,1)+1,7))=INDEX(Report_Scenarios!$A$29:$A$35,MATCH(MEDIAN($B83-Conversion!$B$14,2020,2050),Report_Scenarios!$A$29:$A$35,1)),INDEX(Report_Scenarios!$F$29:$F$35,MATCH(MEDIAN($B83-Conversion!$B$14,2020,2050),Report_Scenarios!$A$29:$A$35,1)),INDEX(Report_Scenarios!$F$29:$F$35,MATCH(MEDIAN($B83-Conversion!$B$14,2020,2050),Report_Scenarios!$A$29:$A$35,1))+(INDEX(Report_Scenarios!$F$29:$F$35,MIN(MATCH(MEDIAN($B83-Conversion!$B$14,2020,2050),Report_Scenarios!$A$29:$A$35,1)+1,7))-INDEX(Report_Scenarios!$F$29:$F$35,MATCH(MEDIAN($B83-Conversion!$B$14,2020,2050),Report_Scenarios!$A$29:$A$35,1)))*(MEDIAN($B83-Conversion!$B$14,2020,2050)-INDEX(Report_Scenarios!$A$29:$A$35,MATCH(MEDIAN($B83-Conversion!$B$14,2020,2050),Report_Scenarios!$A$29:$A$35,1)))/(INDEX(Report_Scenarios!$A$29:$A$35,MIN(MATCH(MEDIAN($B83-Conversion!$B$14,2020,2050),Report_Scenarios!$A$29:$A$35,1)+1,7))-INDEX(Report_Scenarios!$A$29:$A$35,MATCH(MEDIAN($B83-Conversion!$B$14,2020,2050),Report_Scenarios!$A$29:$A$35,1))))))</f>
        <v/>
      </c>
      <c r="J83" s="23">
        <f>IF($D83="Conservative",IF(INDEX(Report_Scenarios!$A$7:$A$13,MIN(MATCH(MEDIAN($B83-Conversion!$B$14,2020,2050),Report_Scenarios!$A$7:$A$13,1)+1,7))=INDEX(Report_Scenarios!$A$7:$A$13,MATCH(MEDIAN($B83-Conversion!$B$14,2020,2050),Report_Scenarios!$A$7:$A$13,1)),INDEX(Report_Scenarios!$G$7:$G$13,MATCH(MEDIAN($B83-Conversion!$B$14,2020,2050),Report_Scenarios!$A$7:$A$13,1)),INDEX(Report_Scenarios!$G$7:$G$13,MATCH(MEDIAN($B83-Conversion!$B$14,2020,2050),Report_Scenarios!$A$7:$A$13,1))+(INDEX(Report_Scenarios!$G$7:$G$13,MIN(MATCH(MEDIAN($B83-Conversion!$B$14,2020,2050),Report_Scenarios!$A$7:$A$13,1)+1,7))-INDEX(Report_Scenarios!$G$7:$G$13,MATCH(MEDIAN($B83-Conversion!$B$14,2020,2050),Report_Scenarios!$A$7:$A$13,1)))*(MEDIAN($B83-Conversion!$B$14,2020,2050)-INDEX(Report_Scenarios!$A$7:$A$13,MATCH(MEDIAN($B83-Conversion!$B$14,2020,2050),Report_Scenarios!$A$7:$A$13,1)))/(INDEX(Report_Scenarios!$A$7:$A$13,MIN(MATCH(MEDIAN($B83-Conversion!$B$14,2020,2050),Report_Scenarios!$A$7:$A$13,1)+1,7))-INDEX(Report_Scenarios!$A$7:$A$13,MATCH(MEDIAN($B83-Conversion!$B$14,2020,2050),Report_Scenarios!$A$7:$A$13,1)))),IF($D83="Central",IF(INDEX(Report_Scenarios!$A$18:$A$24,MIN(MATCH(MEDIAN($B83-Conversion!$B$14,2020,2050),Report_Scenarios!$A$18:$A$24,1)+1,7))=INDEX(Report_Scenarios!$A$18:$A$24,MATCH(MEDIAN($B83-Conversion!$B$14,2020,2050),Report_Scenarios!$A$18:$A$24,1)),INDEX(Report_Scenarios!$G$18:$G$24,MATCH(MEDIAN($B83-Conversion!$B$14,2020,2050),Report_Scenarios!$A$18:$A$24,1)),INDEX(Report_Scenarios!$G$18:$G$24,MATCH(MEDIAN($B83-Conversion!$B$14,2020,2050),Report_Scenarios!$A$18:$A$24,1))+(INDEX(Report_Scenarios!$G$18:$G$24,MIN(MATCH(MEDIAN($B83-Conversion!$B$14,2020,2050),Report_Scenarios!$A$18:$A$24,1)+1,7))-INDEX(Report_Scenarios!$G$18:$G$24,MATCH(MEDIAN($B83-Conversion!$B$14,2020,2050),Report_Scenarios!$A$18:$A$24,1)))*(MEDIAN($B83-Conversion!$B$14,2020,2050)-INDEX(Report_Scenarios!$A$18:$A$24,MATCH(MEDIAN($B83-Conversion!$B$14,2020,2050),Report_Scenarios!$A$18:$A$24,1)))/(INDEX(Report_Scenarios!$A$18:$A$24,MIN(MATCH(MEDIAN($B83-Conversion!$B$14,2020,2050),Report_Scenarios!$A$18:$A$24,1)+1,7))-INDEX(Report_Scenarios!$A$18:$A$24,MATCH(MEDIAN($B83-Conversion!$B$14,2020,2050),Report_Scenarios!$A$18:$A$24,1)))),IF(INDEX(Report_Scenarios!$A$29:$A$35,MIN(MATCH(MEDIAN($B83-Conversion!$B$14,2020,2050),Report_Scenarios!$A$29:$A$35,1)+1,7))=INDEX(Report_Scenarios!$A$29:$A$35,MATCH(MEDIAN($B83-Conversion!$B$14,2020,2050),Report_Scenarios!$A$29:$A$35,1)),INDEX(Report_Scenarios!$G$29:$G$35,MATCH(MEDIAN($B83-Conversion!$B$14,2020,2050),Report_Scenarios!$A$29:$A$35,1)),INDEX(Report_Scenarios!$G$29:$G$35,MATCH(MEDIAN($B83-Conversion!$B$14,2020,2050),Report_Scenarios!$A$29:$A$35,1))+(INDEX(Report_Scenarios!$G$29:$G$35,MIN(MATCH(MEDIAN($B83-Conversion!$B$14,2020,2050),Report_Scenarios!$A$29:$A$35,1)+1,7))-INDEX(Report_Scenarios!$G$29:$G$35,MATCH(MEDIAN($B83-Conversion!$B$14,2020,2050),Report_Scenarios!$A$29:$A$35,1)))*(MEDIAN($B83-Conversion!$B$14,2020,2050)-INDEX(Report_Scenarios!$A$29:$A$35,MATCH(MEDIAN($B83-Conversion!$B$14,2020,2050),Report_Scenarios!$A$29:$A$35,1)))/(INDEX(Report_Scenarios!$A$29:$A$35,MIN(MATCH(MEDIAN($B83-Conversion!$B$14,2020,2050),Report_Scenarios!$A$29:$A$35,1)+1,7))-INDEX(Report_Scenarios!$A$29:$A$35,MATCH(MEDIAN($B83-Conversion!$B$14,2020,2050),Report_Scenarios!$A$29:$A$35,1))))))</f>
        <v/>
      </c>
      <c r="K83" s="23">
        <f>SUM(E83:J83)</f>
        <v/>
      </c>
      <c r="L83" s="23">
        <f>IF(R83&lt;&gt;"",R83,IF($K83=0,0,E83/$K83))</f>
        <v/>
      </c>
      <c r="M83" s="23">
        <f>IF(S83&lt;&gt;"",S83,IF($K83=0,0,F83/$K83))</f>
        <v/>
      </c>
      <c r="N83" s="23">
        <f>IF(T83&lt;&gt;"",T83,IF($K83=0,0,G83/$K83))</f>
        <v/>
      </c>
      <c r="O83" s="23">
        <f>IF(U83&lt;&gt;"",U83,IF($K83=0,0,H83/$K83))</f>
        <v/>
      </c>
      <c r="P83" s="23">
        <f>IF(V83&lt;&gt;"",V83,IF($K83=0,0,I83/$K83))</f>
        <v/>
      </c>
      <c r="Q83" s="23">
        <f>IF(W83&lt;&gt;"",W83,IF($K83=0,0,J83/$K83))</f>
        <v/>
      </c>
      <c r="R83" s="24" t="n"/>
      <c r="S83" s="24" t="n"/>
      <c r="T83" s="24" t="n"/>
      <c r="U83" s="24" t="n"/>
      <c r="V83" s="24" t="n"/>
      <c r="W83" s="24" t="n"/>
    </row>
    <row r="84">
      <c r="A84" s="4" t="inlineStr">
        <is>
          <t>EF</t>
        </is>
      </c>
      <c r="B84" s="4" t="n">
        <v>2050</v>
      </c>
      <c r="C84" s="4" t="inlineStr">
        <is>
          <t>Share_Mode</t>
        </is>
      </c>
      <c r="D84" s="4">
        <f>Conversion!$B$19</f>
        <v/>
      </c>
      <c r="E84" s="23">
        <f>IF($D84="Conservative",IF(INDEX(Report_Scenarios!$A$7:$A$13,MIN(MATCH(MEDIAN($B84-Conversion!$B$14,2020,2050),Report_Scenarios!$A$7:$A$13,1)+1,7))=INDEX(Report_Scenarios!$A$7:$A$13,MATCH(MEDIAN($B84-Conversion!$B$14,2020,2050),Report_Scenarios!$A$7:$A$13,1)),INDEX(Report_Scenarios!$B$7:$B$13,MATCH(MEDIAN($B84-Conversion!$B$14,2020,2050),Report_Scenarios!$A$7:$A$13,1)),INDEX(Report_Scenarios!$B$7:$B$13,MATCH(MEDIAN($B84-Conversion!$B$14,2020,2050),Report_Scenarios!$A$7:$A$13,1))+(INDEX(Report_Scenarios!$B$7:$B$13,MIN(MATCH(MEDIAN($B84-Conversion!$B$14,2020,2050),Report_Scenarios!$A$7:$A$13,1)+1,7))-INDEX(Report_Scenarios!$B$7:$B$13,MATCH(MEDIAN($B84-Conversion!$B$14,2020,2050),Report_Scenarios!$A$7:$A$13,1)))*(MEDIAN($B84-Conversion!$B$14,2020,2050)-INDEX(Report_Scenarios!$A$7:$A$13,MATCH(MEDIAN($B84-Conversion!$B$14,2020,2050),Report_Scenarios!$A$7:$A$13,1)))/(INDEX(Report_Scenarios!$A$7:$A$13,MIN(MATCH(MEDIAN($B84-Conversion!$B$14,2020,2050),Report_Scenarios!$A$7:$A$13,1)+1,7))-INDEX(Report_Scenarios!$A$7:$A$13,MATCH(MEDIAN($B84-Conversion!$B$14,2020,2050),Report_Scenarios!$A$7:$A$13,1)))),IF($D84="Central",IF(INDEX(Report_Scenarios!$A$18:$A$24,MIN(MATCH(MEDIAN($B84-Conversion!$B$14,2020,2050),Report_Scenarios!$A$18:$A$24,1)+1,7))=INDEX(Report_Scenarios!$A$18:$A$24,MATCH(MEDIAN($B84-Conversion!$B$14,2020,2050),Report_Scenarios!$A$18:$A$24,1)),INDEX(Report_Scenarios!$B$18:$B$24,MATCH(MEDIAN($B84-Conversion!$B$14,2020,2050),Report_Scenarios!$A$18:$A$24,1)),INDEX(Report_Scenarios!$B$18:$B$24,MATCH(MEDIAN($B84-Conversion!$B$14,2020,2050),Report_Scenarios!$A$18:$A$24,1))+(INDEX(Report_Scenarios!$B$18:$B$24,MIN(MATCH(MEDIAN($B84-Conversion!$B$14,2020,2050),Report_Scenarios!$A$18:$A$24,1)+1,7))-INDEX(Report_Scenarios!$B$18:$B$24,MATCH(MEDIAN($B84-Conversion!$B$14,2020,2050),Report_Scenarios!$A$18:$A$24,1)))*(MEDIAN($B84-Conversion!$B$14,2020,2050)-INDEX(Report_Scenarios!$A$18:$A$24,MATCH(MEDIAN($B84-Conversion!$B$14,2020,2050),Report_Scenarios!$A$18:$A$24,1)))/(INDEX(Report_Scenarios!$A$18:$A$24,MIN(MATCH(MEDIAN($B84-Conversion!$B$14,2020,2050),Report_Scenarios!$A$18:$A$24,1)+1,7))-INDEX(Report_Scenarios!$A$18:$A$24,MATCH(MEDIAN($B84-Conversion!$B$14,2020,2050),Report_Scenarios!$A$18:$A$24,1)))),IF(INDEX(Report_Scenarios!$A$29:$A$35,MIN(MATCH(MEDIAN($B84-Conversion!$B$14,2020,2050),Report_Scenarios!$A$29:$A$35,1)+1,7))=INDEX(Report_Scenarios!$A$29:$A$35,MATCH(MEDIAN($B84-Conversion!$B$14,2020,2050),Report_Scenarios!$A$29:$A$35,1)),INDEX(Report_Scenarios!$B$29:$B$35,MATCH(MEDIAN($B84-Conversion!$B$14,2020,2050),Report_Scenarios!$A$29:$A$35,1)),INDEX(Report_Scenarios!$B$29:$B$35,MATCH(MEDIAN($B84-Conversion!$B$14,2020,2050),Report_Scenarios!$A$29:$A$35,1))+(INDEX(Report_Scenarios!$B$29:$B$35,MIN(MATCH(MEDIAN($B84-Conversion!$B$14,2020,2050),Report_Scenarios!$A$29:$A$35,1)+1,7))-INDEX(Report_Scenarios!$B$29:$B$35,MATCH(MEDIAN($B84-Conversion!$B$14,2020,2050),Report_Scenarios!$A$29:$A$35,1)))*(MEDIAN($B84-Conversion!$B$14,2020,2050)-INDEX(Report_Scenarios!$A$29:$A$35,MATCH(MEDIAN($B84-Conversion!$B$14,2020,2050),Report_Scenarios!$A$29:$A$35,1)))/(INDEX(Report_Scenarios!$A$29:$A$35,MIN(MATCH(MEDIAN($B84-Conversion!$B$14,2020,2050),Report_Scenarios!$A$29:$A$35,1)+1,7))-INDEX(Report_Scenarios!$A$29:$A$35,MATCH(MEDIAN($B84-Conversion!$B$14,2020,2050),Report_Scenarios!$A$29:$A$35,1))))))</f>
        <v/>
      </c>
      <c r="F84" s="23">
        <f>IF($D84="Conservative",IF(INDEX(Report_Scenarios!$A$7:$A$13,MIN(MATCH(MEDIAN($B84-Conversion!$B$14,2020,2050),Report_Scenarios!$A$7:$A$13,1)+1,7))=INDEX(Report_Scenarios!$A$7:$A$13,MATCH(MEDIAN($B84-Conversion!$B$14,2020,2050),Report_Scenarios!$A$7:$A$13,1)),INDEX(Report_Scenarios!$C$7:$C$13,MATCH(MEDIAN($B84-Conversion!$B$14,2020,2050),Report_Scenarios!$A$7:$A$13,1)),INDEX(Report_Scenarios!$C$7:$C$13,MATCH(MEDIAN($B84-Conversion!$B$14,2020,2050),Report_Scenarios!$A$7:$A$13,1))+(INDEX(Report_Scenarios!$C$7:$C$13,MIN(MATCH(MEDIAN($B84-Conversion!$B$14,2020,2050),Report_Scenarios!$A$7:$A$13,1)+1,7))-INDEX(Report_Scenarios!$C$7:$C$13,MATCH(MEDIAN($B84-Conversion!$B$14,2020,2050),Report_Scenarios!$A$7:$A$13,1)))*(MEDIAN($B84-Conversion!$B$14,2020,2050)-INDEX(Report_Scenarios!$A$7:$A$13,MATCH(MEDIAN($B84-Conversion!$B$14,2020,2050),Report_Scenarios!$A$7:$A$13,1)))/(INDEX(Report_Scenarios!$A$7:$A$13,MIN(MATCH(MEDIAN($B84-Conversion!$B$14,2020,2050),Report_Scenarios!$A$7:$A$13,1)+1,7))-INDEX(Report_Scenarios!$A$7:$A$13,MATCH(MEDIAN($B84-Conversion!$B$14,2020,2050),Report_Scenarios!$A$7:$A$13,1)))),IF($D84="Central",IF(INDEX(Report_Scenarios!$A$18:$A$24,MIN(MATCH(MEDIAN($B84-Conversion!$B$14,2020,2050),Report_Scenarios!$A$18:$A$24,1)+1,7))=INDEX(Report_Scenarios!$A$18:$A$24,MATCH(MEDIAN($B84-Conversion!$B$14,2020,2050),Report_Scenarios!$A$18:$A$24,1)),INDEX(Report_Scenarios!$C$18:$C$24,MATCH(MEDIAN($B84-Conversion!$B$14,2020,2050),Report_Scenarios!$A$18:$A$24,1)),INDEX(Report_Scenarios!$C$18:$C$24,MATCH(MEDIAN($B84-Conversion!$B$14,2020,2050),Report_Scenarios!$A$18:$A$24,1))+(INDEX(Report_Scenarios!$C$18:$C$24,MIN(MATCH(MEDIAN($B84-Conversion!$B$14,2020,2050),Report_Scenarios!$A$18:$A$24,1)+1,7))-INDEX(Report_Scenarios!$C$18:$C$24,MATCH(MEDIAN($B84-Conversion!$B$14,2020,2050),Report_Scenarios!$A$18:$A$24,1)))*(MEDIAN($B84-Conversion!$B$14,2020,2050)-INDEX(Report_Scenarios!$A$18:$A$24,MATCH(MEDIAN($B84-Conversion!$B$14,2020,2050),Report_Scenarios!$A$18:$A$24,1)))/(INDEX(Report_Scenarios!$A$18:$A$24,MIN(MATCH(MEDIAN($B84-Conversion!$B$14,2020,2050),Report_Scenarios!$A$18:$A$24,1)+1,7))-INDEX(Report_Scenarios!$A$18:$A$24,MATCH(MEDIAN($B84-Conversion!$B$14,2020,2050),Report_Scenarios!$A$18:$A$24,1)))),IF(INDEX(Report_Scenarios!$A$29:$A$35,MIN(MATCH(MEDIAN($B84-Conversion!$B$14,2020,2050),Report_Scenarios!$A$29:$A$35,1)+1,7))=INDEX(Report_Scenarios!$A$29:$A$35,MATCH(MEDIAN($B84-Conversion!$B$14,2020,2050),Report_Scenarios!$A$29:$A$35,1)),INDEX(Report_Scenarios!$C$29:$C$35,MATCH(MEDIAN($B84-Conversion!$B$14,2020,2050),Report_Scenarios!$A$29:$A$35,1)),INDEX(Report_Scenarios!$C$29:$C$35,MATCH(MEDIAN($B84-Conversion!$B$14,2020,2050),Report_Scenarios!$A$29:$A$35,1))+(INDEX(Report_Scenarios!$C$29:$C$35,MIN(MATCH(MEDIAN($B84-Conversion!$B$14,2020,2050),Report_Scenarios!$A$29:$A$35,1)+1,7))-INDEX(Report_Scenarios!$C$29:$C$35,MATCH(MEDIAN($B84-Conversion!$B$14,2020,2050),Report_Scenarios!$A$29:$A$35,1)))*(MEDIAN($B84-Conversion!$B$14,2020,2050)-INDEX(Report_Scenarios!$A$29:$A$35,MATCH(MEDIAN($B84-Conversion!$B$14,2020,2050),Report_Scenarios!$A$29:$A$35,1)))/(INDEX(Report_Scenarios!$A$29:$A$35,MIN(MATCH(MEDIAN($B84-Conversion!$B$14,2020,2050),Report_Scenarios!$A$29:$A$35,1)+1,7))-INDEX(Report_Scenarios!$A$29:$A$35,MATCH(MEDIAN($B84-Conversion!$B$14,2020,2050),Report_Scenarios!$A$29:$A$35,1))))))</f>
        <v/>
      </c>
      <c r="G84" s="23">
        <f>IF($D84="Conservative",IF(INDEX(Report_Scenarios!$A$7:$A$13,MIN(MATCH(MEDIAN($B84-Conversion!$B$14,2020,2050),Report_Scenarios!$A$7:$A$13,1)+1,7))=INDEX(Report_Scenarios!$A$7:$A$13,MATCH(MEDIAN($B84-Conversion!$B$14,2020,2050),Report_Scenarios!$A$7:$A$13,1)),INDEX(Report_Scenarios!$D$7:$D$13,MATCH(MEDIAN($B84-Conversion!$B$14,2020,2050),Report_Scenarios!$A$7:$A$13,1)),INDEX(Report_Scenarios!$D$7:$D$13,MATCH(MEDIAN($B84-Conversion!$B$14,2020,2050),Report_Scenarios!$A$7:$A$13,1))+(INDEX(Report_Scenarios!$D$7:$D$13,MIN(MATCH(MEDIAN($B84-Conversion!$B$14,2020,2050),Report_Scenarios!$A$7:$A$13,1)+1,7))-INDEX(Report_Scenarios!$D$7:$D$13,MATCH(MEDIAN($B84-Conversion!$B$14,2020,2050),Report_Scenarios!$A$7:$A$13,1)))*(MEDIAN($B84-Conversion!$B$14,2020,2050)-INDEX(Report_Scenarios!$A$7:$A$13,MATCH(MEDIAN($B84-Conversion!$B$14,2020,2050),Report_Scenarios!$A$7:$A$13,1)))/(INDEX(Report_Scenarios!$A$7:$A$13,MIN(MATCH(MEDIAN($B84-Conversion!$B$14,2020,2050),Report_Scenarios!$A$7:$A$13,1)+1,7))-INDEX(Report_Scenarios!$A$7:$A$13,MATCH(MEDIAN($B84-Conversion!$B$14,2020,2050),Report_Scenarios!$A$7:$A$13,1)))),IF($D84="Central",IF(INDEX(Report_Scenarios!$A$18:$A$24,MIN(MATCH(MEDIAN($B84-Conversion!$B$14,2020,2050),Report_Scenarios!$A$18:$A$24,1)+1,7))=INDEX(Report_Scenarios!$A$18:$A$24,MATCH(MEDIAN($B84-Conversion!$B$14,2020,2050),Report_Scenarios!$A$18:$A$24,1)),INDEX(Report_Scenarios!$D$18:$D$24,MATCH(MEDIAN($B84-Conversion!$B$14,2020,2050),Report_Scenarios!$A$18:$A$24,1)),INDEX(Report_Scenarios!$D$18:$D$24,MATCH(MEDIAN($B84-Conversion!$B$14,2020,2050),Report_Scenarios!$A$18:$A$24,1))+(INDEX(Report_Scenarios!$D$18:$D$24,MIN(MATCH(MEDIAN($B84-Conversion!$B$14,2020,2050),Report_Scenarios!$A$18:$A$24,1)+1,7))-INDEX(Report_Scenarios!$D$18:$D$24,MATCH(MEDIAN($B84-Conversion!$B$14,2020,2050),Report_Scenarios!$A$18:$A$24,1)))*(MEDIAN($B84-Conversion!$B$14,2020,2050)-INDEX(Report_Scenarios!$A$18:$A$24,MATCH(MEDIAN($B84-Conversion!$B$14,2020,2050),Report_Scenarios!$A$18:$A$24,1)))/(INDEX(Report_Scenarios!$A$18:$A$24,MIN(MATCH(MEDIAN($B84-Conversion!$B$14,2020,2050),Report_Scenarios!$A$18:$A$24,1)+1,7))-INDEX(Report_Scenarios!$A$18:$A$24,MATCH(MEDIAN($B84-Conversion!$B$14,2020,2050),Report_Scenarios!$A$18:$A$24,1)))),IF(INDEX(Report_Scenarios!$A$29:$A$35,MIN(MATCH(MEDIAN($B84-Conversion!$B$14,2020,2050),Report_Scenarios!$A$29:$A$35,1)+1,7))=INDEX(Report_Scenarios!$A$29:$A$35,MATCH(MEDIAN($B84-Conversion!$B$14,2020,2050),Report_Scenarios!$A$29:$A$35,1)),INDEX(Report_Scenarios!$D$29:$D$35,MATCH(MEDIAN($B84-Conversion!$B$14,2020,2050),Report_Scenarios!$A$29:$A$35,1)),INDEX(Report_Scenarios!$D$29:$D$35,MATCH(MEDIAN($B84-Conversion!$B$14,2020,2050),Report_Scenarios!$A$29:$A$35,1))+(INDEX(Report_Scenarios!$D$29:$D$35,MIN(MATCH(MEDIAN($B84-Conversion!$B$14,2020,2050),Report_Scenarios!$A$29:$A$35,1)+1,7))-INDEX(Report_Scenarios!$D$29:$D$35,MATCH(MEDIAN($B84-Conversion!$B$14,2020,2050),Report_Scenarios!$A$29:$A$35,1)))*(MEDIAN($B84-Conversion!$B$14,2020,2050)-INDEX(Report_Scenarios!$A$29:$A$35,MATCH(MEDIAN($B84-Conversion!$B$14,2020,2050),Report_Scenarios!$A$29:$A$35,1)))/(INDEX(Report_Scenarios!$A$29:$A$35,MIN(MATCH(MEDIAN($B84-Conversion!$B$14,2020,2050),Report_Scenarios!$A$29:$A$35,1)+1,7))-INDEX(Report_Scenarios!$A$29:$A$35,MATCH(MEDIAN($B84-Conversion!$B$14,2020,2050),Report_Scenarios!$A$29:$A$35,1))))))</f>
        <v/>
      </c>
      <c r="H84" s="23">
        <f>IF($D84="Conservative",IF(INDEX(Report_Scenarios!$A$7:$A$13,MIN(MATCH(MEDIAN($B84-Conversion!$B$14,2020,2050),Report_Scenarios!$A$7:$A$13,1)+1,7))=INDEX(Report_Scenarios!$A$7:$A$13,MATCH(MEDIAN($B84-Conversion!$B$14,2020,2050),Report_Scenarios!$A$7:$A$13,1)),INDEX(Report_Scenarios!$E$7:$E$13,MATCH(MEDIAN($B84-Conversion!$B$14,2020,2050),Report_Scenarios!$A$7:$A$13,1)),INDEX(Report_Scenarios!$E$7:$E$13,MATCH(MEDIAN($B84-Conversion!$B$14,2020,2050),Report_Scenarios!$A$7:$A$13,1))+(INDEX(Report_Scenarios!$E$7:$E$13,MIN(MATCH(MEDIAN($B84-Conversion!$B$14,2020,2050),Report_Scenarios!$A$7:$A$13,1)+1,7))-INDEX(Report_Scenarios!$E$7:$E$13,MATCH(MEDIAN($B84-Conversion!$B$14,2020,2050),Report_Scenarios!$A$7:$A$13,1)))*(MEDIAN($B84-Conversion!$B$14,2020,2050)-INDEX(Report_Scenarios!$A$7:$A$13,MATCH(MEDIAN($B84-Conversion!$B$14,2020,2050),Report_Scenarios!$A$7:$A$13,1)))/(INDEX(Report_Scenarios!$A$7:$A$13,MIN(MATCH(MEDIAN($B84-Conversion!$B$14,2020,2050),Report_Scenarios!$A$7:$A$13,1)+1,7))-INDEX(Report_Scenarios!$A$7:$A$13,MATCH(MEDIAN($B84-Conversion!$B$14,2020,2050),Report_Scenarios!$A$7:$A$13,1)))),IF($D84="Central",IF(INDEX(Report_Scenarios!$A$18:$A$24,MIN(MATCH(MEDIAN($B84-Conversion!$B$14,2020,2050),Report_Scenarios!$A$18:$A$24,1)+1,7))=INDEX(Report_Scenarios!$A$18:$A$24,MATCH(MEDIAN($B84-Conversion!$B$14,2020,2050),Report_Scenarios!$A$18:$A$24,1)),INDEX(Report_Scenarios!$E$18:$E$24,MATCH(MEDIAN($B84-Conversion!$B$14,2020,2050),Report_Scenarios!$A$18:$A$24,1)),INDEX(Report_Scenarios!$E$18:$E$24,MATCH(MEDIAN($B84-Conversion!$B$14,2020,2050),Report_Scenarios!$A$18:$A$24,1))+(INDEX(Report_Scenarios!$E$18:$E$24,MIN(MATCH(MEDIAN($B84-Conversion!$B$14,2020,2050),Report_Scenarios!$A$18:$A$24,1)+1,7))-INDEX(Report_Scenarios!$E$18:$E$24,MATCH(MEDIAN($B84-Conversion!$B$14,2020,2050),Report_Scenarios!$A$18:$A$24,1)))*(MEDIAN($B84-Conversion!$B$14,2020,2050)-INDEX(Report_Scenarios!$A$18:$A$24,MATCH(MEDIAN($B84-Conversion!$B$14,2020,2050),Report_Scenarios!$A$18:$A$24,1)))/(INDEX(Report_Scenarios!$A$18:$A$24,MIN(MATCH(MEDIAN($B84-Conversion!$B$14,2020,2050),Report_Scenarios!$A$18:$A$24,1)+1,7))-INDEX(Report_Scenarios!$A$18:$A$24,MATCH(MEDIAN($B84-Conversion!$B$14,2020,2050),Report_Scenarios!$A$18:$A$24,1)))),IF(INDEX(Report_Scenarios!$A$29:$A$35,MIN(MATCH(MEDIAN($B84-Conversion!$B$14,2020,2050),Report_Scenarios!$A$29:$A$35,1)+1,7))=INDEX(Report_Scenarios!$A$29:$A$35,MATCH(MEDIAN($B84-Conversion!$B$14,2020,2050),Report_Scenarios!$A$29:$A$35,1)),INDEX(Report_Scenarios!$E$29:$E$35,MATCH(MEDIAN($B84-Conversion!$B$14,2020,2050),Report_Scenarios!$A$29:$A$35,1)),INDEX(Report_Scenarios!$E$29:$E$35,MATCH(MEDIAN($B84-Conversion!$B$14,2020,2050),Report_Scenarios!$A$29:$A$35,1))+(INDEX(Report_Scenarios!$E$29:$E$35,MIN(MATCH(MEDIAN($B84-Conversion!$B$14,2020,2050),Report_Scenarios!$A$29:$A$35,1)+1,7))-INDEX(Report_Scenarios!$E$29:$E$35,MATCH(MEDIAN($B84-Conversion!$B$14,2020,2050),Report_Scenarios!$A$29:$A$35,1)))*(MEDIAN($B84-Conversion!$B$14,2020,2050)-INDEX(Report_Scenarios!$A$29:$A$35,MATCH(MEDIAN($B84-Conversion!$B$14,2020,2050),Report_Scenarios!$A$29:$A$35,1)))/(INDEX(Report_Scenarios!$A$29:$A$35,MIN(MATCH(MEDIAN($B84-Conversion!$B$14,2020,2050),Report_Scenarios!$A$29:$A$35,1)+1,7))-INDEX(Report_Scenarios!$A$29:$A$35,MATCH(MEDIAN($B84-Conversion!$B$14,2020,2050),Report_Scenarios!$A$29:$A$35,1))))))</f>
        <v/>
      </c>
      <c r="I84" s="23">
        <f>IF($D84="Conservative",IF(INDEX(Report_Scenarios!$A$7:$A$13,MIN(MATCH(MEDIAN($B84-Conversion!$B$14,2020,2050),Report_Scenarios!$A$7:$A$13,1)+1,7))=INDEX(Report_Scenarios!$A$7:$A$13,MATCH(MEDIAN($B84-Conversion!$B$14,2020,2050),Report_Scenarios!$A$7:$A$13,1)),INDEX(Report_Scenarios!$F$7:$F$13,MATCH(MEDIAN($B84-Conversion!$B$14,2020,2050),Report_Scenarios!$A$7:$A$13,1)),INDEX(Report_Scenarios!$F$7:$F$13,MATCH(MEDIAN($B84-Conversion!$B$14,2020,2050),Report_Scenarios!$A$7:$A$13,1))+(INDEX(Report_Scenarios!$F$7:$F$13,MIN(MATCH(MEDIAN($B84-Conversion!$B$14,2020,2050),Report_Scenarios!$A$7:$A$13,1)+1,7))-INDEX(Report_Scenarios!$F$7:$F$13,MATCH(MEDIAN($B84-Conversion!$B$14,2020,2050),Report_Scenarios!$A$7:$A$13,1)))*(MEDIAN($B84-Conversion!$B$14,2020,2050)-INDEX(Report_Scenarios!$A$7:$A$13,MATCH(MEDIAN($B84-Conversion!$B$14,2020,2050),Report_Scenarios!$A$7:$A$13,1)))/(INDEX(Report_Scenarios!$A$7:$A$13,MIN(MATCH(MEDIAN($B84-Conversion!$B$14,2020,2050),Report_Scenarios!$A$7:$A$13,1)+1,7))-INDEX(Report_Scenarios!$A$7:$A$13,MATCH(MEDIAN($B84-Conversion!$B$14,2020,2050),Report_Scenarios!$A$7:$A$13,1)))),IF($D84="Central",IF(INDEX(Report_Scenarios!$A$18:$A$24,MIN(MATCH(MEDIAN($B84-Conversion!$B$14,2020,2050),Report_Scenarios!$A$18:$A$24,1)+1,7))=INDEX(Report_Scenarios!$A$18:$A$24,MATCH(MEDIAN($B84-Conversion!$B$14,2020,2050),Report_Scenarios!$A$18:$A$24,1)),INDEX(Report_Scenarios!$F$18:$F$24,MATCH(MEDIAN($B84-Conversion!$B$14,2020,2050),Report_Scenarios!$A$18:$A$24,1)),INDEX(Report_Scenarios!$F$18:$F$24,MATCH(MEDIAN($B84-Conversion!$B$14,2020,2050),Report_Scenarios!$A$18:$A$24,1))+(INDEX(Report_Scenarios!$F$18:$F$24,MIN(MATCH(MEDIAN($B84-Conversion!$B$14,2020,2050),Report_Scenarios!$A$18:$A$24,1)+1,7))-INDEX(Report_Scenarios!$F$18:$F$24,MATCH(MEDIAN($B84-Conversion!$B$14,2020,2050),Report_Scenarios!$A$18:$A$24,1)))*(MEDIAN($B84-Conversion!$B$14,2020,2050)-INDEX(Report_Scenarios!$A$18:$A$24,MATCH(MEDIAN($B84-Conversion!$B$14,2020,2050),Report_Scenarios!$A$18:$A$24,1)))/(INDEX(Report_Scenarios!$A$18:$A$24,MIN(MATCH(MEDIAN($B84-Conversion!$B$14,2020,2050),Report_Scenarios!$A$18:$A$24,1)+1,7))-INDEX(Report_Scenarios!$A$18:$A$24,MATCH(MEDIAN($B84-Conversion!$B$14,2020,2050),Report_Scenarios!$A$18:$A$24,1)))),IF(INDEX(Report_Scenarios!$A$29:$A$35,MIN(MATCH(MEDIAN($B84-Conversion!$B$14,2020,2050),Report_Scenarios!$A$29:$A$35,1)+1,7))=INDEX(Report_Scenarios!$A$29:$A$35,MATCH(MEDIAN($B84-Conversion!$B$14,2020,2050),Report_Scenarios!$A$29:$A$35,1)),INDEX(Report_Scenarios!$F$29:$F$35,MATCH(MEDIAN($B84-Conversion!$B$14,2020,2050),Report_Scenarios!$A$29:$A$35,1)),INDEX(Report_Scenarios!$F$29:$F$35,MATCH(MEDIAN($B84-Conversion!$B$14,2020,2050),Report_Scenarios!$A$29:$A$35,1))+(INDEX(Report_Scenarios!$F$29:$F$35,MIN(MATCH(MEDIAN($B84-Conversion!$B$14,2020,2050),Report_Scenarios!$A$29:$A$35,1)+1,7))-INDEX(Report_Scenarios!$F$29:$F$35,MATCH(MEDIAN($B84-Conversion!$B$14,2020,2050),Report_Scenarios!$A$29:$A$35,1)))*(MEDIAN($B84-Conversion!$B$14,2020,2050)-INDEX(Report_Scenarios!$A$29:$A$35,MATCH(MEDIAN($B84-Conversion!$B$14,2020,2050),Report_Scenarios!$A$29:$A$35,1)))/(INDEX(Report_Scenarios!$A$29:$A$35,MIN(MATCH(MEDIAN($B84-Conversion!$B$14,2020,2050),Report_Scenarios!$A$29:$A$35,1)+1,7))-INDEX(Report_Scenarios!$A$29:$A$35,MATCH(MEDIAN($B84-Conversion!$B$14,2020,2050),Report_Scenarios!$A$29:$A$35,1))))))</f>
        <v/>
      </c>
      <c r="J84" s="23">
        <f>IF($D84="Conservative",IF(INDEX(Report_Scenarios!$A$7:$A$13,MIN(MATCH(MEDIAN($B84-Conversion!$B$14,2020,2050),Report_Scenarios!$A$7:$A$13,1)+1,7))=INDEX(Report_Scenarios!$A$7:$A$13,MATCH(MEDIAN($B84-Conversion!$B$14,2020,2050),Report_Scenarios!$A$7:$A$13,1)),INDEX(Report_Scenarios!$G$7:$G$13,MATCH(MEDIAN($B84-Conversion!$B$14,2020,2050),Report_Scenarios!$A$7:$A$13,1)),INDEX(Report_Scenarios!$G$7:$G$13,MATCH(MEDIAN($B84-Conversion!$B$14,2020,2050),Report_Scenarios!$A$7:$A$13,1))+(INDEX(Report_Scenarios!$G$7:$G$13,MIN(MATCH(MEDIAN($B84-Conversion!$B$14,2020,2050),Report_Scenarios!$A$7:$A$13,1)+1,7))-INDEX(Report_Scenarios!$G$7:$G$13,MATCH(MEDIAN($B84-Conversion!$B$14,2020,2050),Report_Scenarios!$A$7:$A$13,1)))*(MEDIAN($B84-Conversion!$B$14,2020,2050)-INDEX(Report_Scenarios!$A$7:$A$13,MATCH(MEDIAN($B84-Conversion!$B$14,2020,2050),Report_Scenarios!$A$7:$A$13,1)))/(INDEX(Report_Scenarios!$A$7:$A$13,MIN(MATCH(MEDIAN($B84-Conversion!$B$14,2020,2050),Report_Scenarios!$A$7:$A$13,1)+1,7))-INDEX(Report_Scenarios!$A$7:$A$13,MATCH(MEDIAN($B84-Conversion!$B$14,2020,2050),Report_Scenarios!$A$7:$A$13,1)))),IF($D84="Central",IF(INDEX(Report_Scenarios!$A$18:$A$24,MIN(MATCH(MEDIAN($B84-Conversion!$B$14,2020,2050),Report_Scenarios!$A$18:$A$24,1)+1,7))=INDEX(Report_Scenarios!$A$18:$A$24,MATCH(MEDIAN($B84-Conversion!$B$14,2020,2050),Report_Scenarios!$A$18:$A$24,1)),INDEX(Report_Scenarios!$G$18:$G$24,MATCH(MEDIAN($B84-Conversion!$B$14,2020,2050),Report_Scenarios!$A$18:$A$24,1)),INDEX(Report_Scenarios!$G$18:$G$24,MATCH(MEDIAN($B84-Conversion!$B$14,2020,2050),Report_Scenarios!$A$18:$A$24,1))+(INDEX(Report_Scenarios!$G$18:$G$24,MIN(MATCH(MEDIAN($B84-Conversion!$B$14,2020,2050),Report_Scenarios!$A$18:$A$24,1)+1,7))-INDEX(Report_Scenarios!$G$18:$G$24,MATCH(MEDIAN($B84-Conversion!$B$14,2020,2050),Report_Scenarios!$A$18:$A$24,1)))*(MEDIAN($B84-Conversion!$B$14,2020,2050)-INDEX(Report_Scenarios!$A$18:$A$24,MATCH(MEDIAN($B84-Conversion!$B$14,2020,2050),Report_Scenarios!$A$18:$A$24,1)))/(INDEX(Report_Scenarios!$A$18:$A$24,MIN(MATCH(MEDIAN($B84-Conversion!$B$14,2020,2050),Report_Scenarios!$A$18:$A$24,1)+1,7))-INDEX(Report_Scenarios!$A$18:$A$24,MATCH(MEDIAN($B84-Conversion!$B$14,2020,2050),Report_Scenarios!$A$18:$A$24,1)))),IF(INDEX(Report_Scenarios!$A$29:$A$35,MIN(MATCH(MEDIAN($B84-Conversion!$B$14,2020,2050),Report_Scenarios!$A$29:$A$35,1)+1,7))=INDEX(Report_Scenarios!$A$29:$A$35,MATCH(MEDIAN($B84-Conversion!$B$14,2020,2050),Report_Scenarios!$A$29:$A$35,1)),INDEX(Report_Scenarios!$G$29:$G$35,MATCH(MEDIAN($B84-Conversion!$B$14,2020,2050),Report_Scenarios!$A$29:$A$35,1)),INDEX(Report_Scenarios!$G$29:$G$35,MATCH(MEDIAN($B84-Conversion!$B$14,2020,2050),Report_Scenarios!$A$29:$A$35,1))+(INDEX(Report_Scenarios!$G$29:$G$35,MIN(MATCH(MEDIAN($B84-Conversion!$B$14,2020,2050),Report_Scenarios!$A$29:$A$35,1)+1,7))-INDEX(Report_Scenarios!$G$29:$G$35,MATCH(MEDIAN($B84-Conversion!$B$14,2020,2050),Report_Scenarios!$A$29:$A$35,1)))*(MEDIAN($B84-Conversion!$B$14,2020,2050)-INDEX(Report_Scenarios!$A$29:$A$35,MATCH(MEDIAN($B84-Conversion!$B$14,2020,2050),Report_Scenarios!$A$29:$A$35,1)))/(INDEX(Report_Scenarios!$A$29:$A$35,MIN(MATCH(MEDIAN($B84-Conversion!$B$14,2020,2050),Report_Scenarios!$A$29:$A$35,1)+1,7))-INDEX(Report_Scenarios!$A$29:$A$35,MATCH(MEDIAN($B84-Conversion!$B$14,2020,2050),Report_Scenarios!$A$29:$A$35,1))))))</f>
        <v/>
      </c>
      <c r="K84" s="23">
        <f>SUM(E84:J84)</f>
        <v/>
      </c>
      <c r="L84" s="23">
        <f>IF(R84&lt;&gt;"",R84,IF($K84=0,0,E84/$K84))</f>
        <v/>
      </c>
      <c r="M84" s="23">
        <f>IF(S84&lt;&gt;"",S84,IF($K84=0,0,F84/$K84))</f>
        <v/>
      </c>
      <c r="N84" s="23">
        <f>IF(T84&lt;&gt;"",T84,IF($K84=0,0,G84/$K84))</f>
        <v/>
      </c>
      <c r="O84" s="23">
        <f>IF(U84&lt;&gt;"",U84,IF($K84=0,0,H84/$K84))</f>
        <v/>
      </c>
      <c r="P84" s="23">
        <f>IF(V84&lt;&gt;"",V84,IF($K84=0,0,I84/$K84))</f>
        <v/>
      </c>
      <c r="Q84" s="23">
        <f>IF(W84&lt;&gt;"",W84,IF($K84=0,0,J84/$K84))</f>
        <v/>
      </c>
      <c r="R84" s="24" t="n"/>
      <c r="S84" s="24" t="n"/>
      <c r="T84" s="24" t="n"/>
      <c r="U84" s="24" t="n"/>
      <c r="V84" s="24" t="n"/>
      <c r="W84" s="24" t="n"/>
    </row>
    <row r="85">
      <c r="A85" s="4" t="inlineStr">
        <is>
          <t>EF</t>
        </is>
      </c>
      <c r="B85" s="4" t="n">
        <v>2050</v>
      </c>
      <c r="C85" s="4" t="inlineStr">
        <is>
          <t>Share_Max</t>
        </is>
      </c>
      <c r="D85" s="4">
        <f>Conversion!$B$20</f>
        <v/>
      </c>
      <c r="E85" s="23">
        <f>IF($D85="Conservative",IF(INDEX(Report_Scenarios!$A$7:$A$13,MIN(MATCH(MEDIAN($B85-Conversion!$B$14,2020,2050),Report_Scenarios!$A$7:$A$13,1)+1,7))=INDEX(Report_Scenarios!$A$7:$A$13,MATCH(MEDIAN($B85-Conversion!$B$14,2020,2050),Report_Scenarios!$A$7:$A$13,1)),INDEX(Report_Scenarios!$B$7:$B$13,MATCH(MEDIAN($B85-Conversion!$B$14,2020,2050),Report_Scenarios!$A$7:$A$13,1)),INDEX(Report_Scenarios!$B$7:$B$13,MATCH(MEDIAN($B85-Conversion!$B$14,2020,2050),Report_Scenarios!$A$7:$A$13,1))+(INDEX(Report_Scenarios!$B$7:$B$13,MIN(MATCH(MEDIAN($B85-Conversion!$B$14,2020,2050),Report_Scenarios!$A$7:$A$13,1)+1,7))-INDEX(Report_Scenarios!$B$7:$B$13,MATCH(MEDIAN($B85-Conversion!$B$14,2020,2050),Report_Scenarios!$A$7:$A$13,1)))*(MEDIAN($B85-Conversion!$B$14,2020,2050)-INDEX(Report_Scenarios!$A$7:$A$13,MATCH(MEDIAN($B85-Conversion!$B$14,2020,2050),Report_Scenarios!$A$7:$A$13,1)))/(INDEX(Report_Scenarios!$A$7:$A$13,MIN(MATCH(MEDIAN($B85-Conversion!$B$14,2020,2050),Report_Scenarios!$A$7:$A$13,1)+1,7))-INDEX(Report_Scenarios!$A$7:$A$13,MATCH(MEDIAN($B85-Conversion!$B$14,2020,2050),Report_Scenarios!$A$7:$A$13,1)))),IF($D85="Central",IF(INDEX(Report_Scenarios!$A$18:$A$24,MIN(MATCH(MEDIAN($B85-Conversion!$B$14,2020,2050),Report_Scenarios!$A$18:$A$24,1)+1,7))=INDEX(Report_Scenarios!$A$18:$A$24,MATCH(MEDIAN($B85-Conversion!$B$14,2020,2050),Report_Scenarios!$A$18:$A$24,1)),INDEX(Report_Scenarios!$B$18:$B$24,MATCH(MEDIAN($B85-Conversion!$B$14,2020,2050),Report_Scenarios!$A$18:$A$24,1)),INDEX(Report_Scenarios!$B$18:$B$24,MATCH(MEDIAN($B85-Conversion!$B$14,2020,2050),Report_Scenarios!$A$18:$A$24,1))+(INDEX(Report_Scenarios!$B$18:$B$24,MIN(MATCH(MEDIAN($B85-Conversion!$B$14,2020,2050),Report_Scenarios!$A$18:$A$24,1)+1,7))-INDEX(Report_Scenarios!$B$18:$B$24,MATCH(MEDIAN($B85-Conversion!$B$14,2020,2050),Report_Scenarios!$A$18:$A$24,1)))*(MEDIAN($B85-Conversion!$B$14,2020,2050)-INDEX(Report_Scenarios!$A$18:$A$24,MATCH(MEDIAN($B85-Conversion!$B$14,2020,2050),Report_Scenarios!$A$18:$A$24,1)))/(INDEX(Report_Scenarios!$A$18:$A$24,MIN(MATCH(MEDIAN($B85-Conversion!$B$14,2020,2050),Report_Scenarios!$A$18:$A$24,1)+1,7))-INDEX(Report_Scenarios!$A$18:$A$24,MATCH(MEDIAN($B85-Conversion!$B$14,2020,2050),Report_Scenarios!$A$18:$A$24,1)))),IF(INDEX(Report_Scenarios!$A$29:$A$35,MIN(MATCH(MEDIAN($B85-Conversion!$B$14,2020,2050),Report_Scenarios!$A$29:$A$35,1)+1,7))=INDEX(Report_Scenarios!$A$29:$A$35,MATCH(MEDIAN($B85-Conversion!$B$14,2020,2050),Report_Scenarios!$A$29:$A$35,1)),INDEX(Report_Scenarios!$B$29:$B$35,MATCH(MEDIAN($B85-Conversion!$B$14,2020,2050),Report_Scenarios!$A$29:$A$35,1)),INDEX(Report_Scenarios!$B$29:$B$35,MATCH(MEDIAN($B85-Conversion!$B$14,2020,2050),Report_Scenarios!$A$29:$A$35,1))+(INDEX(Report_Scenarios!$B$29:$B$35,MIN(MATCH(MEDIAN($B85-Conversion!$B$14,2020,2050),Report_Scenarios!$A$29:$A$35,1)+1,7))-INDEX(Report_Scenarios!$B$29:$B$35,MATCH(MEDIAN($B85-Conversion!$B$14,2020,2050),Report_Scenarios!$A$29:$A$35,1)))*(MEDIAN($B85-Conversion!$B$14,2020,2050)-INDEX(Report_Scenarios!$A$29:$A$35,MATCH(MEDIAN($B85-Conversion!$B$14,2020,2050),Report_Scenarios!$A$29:$A$35,1)))/(INDEX(Report_Scenarios!$A$29:$A$35,MIN(MATCH(MEDIAN($B85-Conversion!$B$14,2020,2050),Report_Scenarios!$A$29:$A$35,1)+1,7))-INDEX(Report_Scenarios!$A$29:$A$35,MATCH(MEDIAN($B85-Conversion!$B$14,2020,2050),Report_Scenarios!$A$29:$A$35,1))))))</f>
        <v/>
      </c>
      <c r="F85" s="23">
        <f>IF($D85="Conservative",IF(INDEX(Report_Scenarios!$A$7:$A$13,MIN(MATCH(MEDIAN($B85-Conversion!$B$14,2020,2050),Report_Scenarios!$A$7:$A$13,1)+1,7))=INDEX(Report_Scenarios!$A$7:$A$13,MATCH(MEDIAN($B85-Conversion!$B$14,2020,2050),Report_Scenarios!$A$7:$A$13,1)),INDEX(Report_Scenarios!$C$7:$C$13,MATCH(MEDIAN($B85-Conversion!$B$14,2020,2050),Report_Scenarios!$A$7:$A$13,1)),INDEX(Report_Scenarios!$C$7:$C$13,MATCH(MEDIAN($B85-Conversion!$B$14,2020,2050),Report_Scenarios!$A$7:$A$13,1))+(INDEX(Report_Scenarios!$C$7:$C$13,MIN(MATCH(MEDIAN($B85-Conversion!$B$14,2020,2050),Report_Scenarios!$A$7:$A$13,1)+1,7))-INDEX(Report_Scenarios!$C$7:$C$13,MATCH(MEDIAN($B85-Conversion!$B$14,2020,2050),Report_Scenarios!$A$7:$A$13,1)))*(MEDIAN($B85-Conversion!$B$14,2020,2050)-INDEX(Report_Scenarios!$A$7:$A$13,MATCH(MEDIAN($B85-Conversion!$B$14,2020,2050),Report_Scenarios!$A$7:$A$13,1)))/(INDEX(Report_Scenarios!$A$7:$A$13,MIN(MATCH(MEDIAN($B85-Conversion!$B$14,2020,2050),Report_Scenarios!$A$7:$A$13,1)+1,7))-INDEX(Report_Scenarios!$A$7:$A$13,MATCH(MEDIAN($B85-Conversion!$B$14,2020,2050),Report_Scenarios!$A$7:$A$13,1)))),IF($D85="Central",IF(INDEX(Report_Scenarios!$A$18:$A$24,MIN(MATCH(MEDIAN($B85-Conversion!$B$14,2020,2050),Report_Scenarios!$A$18:$A$24,1)+1,7))=INDEX(Report_Scenarios!$A$18:$A$24,MATCH(MEDIAN($B85-Conversion!$B$14,2020,2050),Report_Scenarios!$A$18:$A$24,1)),INDEX(Report_Scenarios!$C$18:$C$24,MATCH(MEDIAN($B85-Conversion!$B$14,2020,2050),Report_Scenarios!$A$18:$A$24,1)),INDEX(Report_Scenarios!$C$18:$C$24,MATCH(MEDIAN($B85-Conversion!$B$14,2020,2050),Report_Scenarios!$A$18:$A$24,1))+(INDEX(Report_Scenarios!$C$18:$C$24,MIN(MATCH(MEDIAN($B85-Conversion!$B$14,2020,2050),Report_Scenarios!$A$18:$A$24,1)+1,7))-INDEX(Report_Scenarios!$C$18:$C$24,MATCH(MEDIAN($B85-Conversion!$B$14,2020,2050),Report_Scenarios!$A$18:$A$24,1)))*(MEDIAN($B85-Conversion!$B$14,2020,2050)-INDEX(Report_Scenarios!$A$18:$A$24,MATCH(MEDIAN($B85-Conversion!$B$14,2020,2050),Report_Scenarios!$A$18:$A$24,1)))/(INDEX(Report_Scenarios!$A$18:$A$24,MIN(MATCH(MEDIAN($B85-Conversion!$B$14,2020,2050),Report_Scenarios!$A$18:$A$24,1)+1,7))-INDEX(Report_Scenarios!$A$18:$A$24,MATCH(MEDIAN($B85-Conversion!$B$14,2020,2050),Report_Scenarios!$A$18:$A$24,1)))),IF(INDEX(Report_Scenarios!$A$29:$A$35,MIN(MATCH(MEDIAN($B85-Conversion!$B$14,2020,2050),Report_Scenarios!$A$29:$A$35,1)+1,7))=INDEX(Report_Scenarios!$A$29:$A$35,MATCH(MEDIAN($B85-Conversion!$B$14,2020,2050),Report_Scenarios!$A$29:$A$35,1)),INDEX(Report_Scenarios!$C$29:$C$35,MATCH(MEDIAN($B85-Conversion!$B$14,2020,2050),Report_Scenarios!$A$29:$A$35,1)),INDEX(Report_Scenarios!$C$29:$C$35,MATCH(MEDIAN($B85-Conversion!$B$14,2020,2050),Report_Scenarios!$A$29:$A$35,1))+(INDEX(Report_Scenarios!$C$29:$C$35,MIN(MATCH(MEDIAN($B85-Conversion!$B$14,2020,2050),Report_Scenarios!$A$29:$A$35,1)+1,7))-INDEX(Report_Scenarios!$C$29:$C$35,MATCH(MEDIAN($B85-Conversion!$B$14,2020,2050),Report_Scenarios!$A$29:$A$35,1)))*(MEDIAN($B85-Conversion!$B$14,2020,2050)-INDEX(Report_Scenarios!$A$29:$A$35,MATCH(MEDIAN($B85-Conversion!$B$14,2020,2050),Report_Scenarios!$A$29:$A$35,1)))/(INDEX(Report_Scenarios!$A$29:$A$35,MIN(MATCH(MEDIAN($B85-Conversion!$B$14,2020,2050),Report_Scenarios!$A$29:$A$35,1)+1,7))-INDEX(Report_Scenarios!$A$29:$A$35,MATCH(MEDIAN($B85-Conversion!$B$14,2020,2050),Report_Scenarios!$A$29:$A$35,1))))))</f>
        <v/>
      </c>
      <c r="G85" s="23">
        <f>IF($D85="Conservative",IF(INDEX(Report_Scenarios!$A$7:$A$13,MIN(MATCH(MEDIAN($B85-Conversion!$B$14,2020,2050),Report_Scenarios!$A$7:$A$13,1)+1,7))=INDEX(Report_Scenarios!$A$7:$A$13,MATCH(MEDIAN($B85-Conversion!$B$14,2020,2050),Report_Scenarios!$A$7:$A$13,1)),INDEX(Report_Scenarios!$D$7:$D$13,MATCH(MEDIAN($B85-Conversion!$B$14,2020,2050),Report_Scenarios!$A$7:$A$13,1)),INDEX(Report_Scenarios!$D$7:$D$13,MATCH(MEDIAN($B85-Conversion!$B$14,2020,2050),Report_Scenarios!$A$7:$A$13,1))+(INDEX(Report_Scenarios!$D$7:$D$13,MIN(MATCH(MEDIAN($B85-Conversion!$B$14,2020,2050),Report_Scenarios!$A$7:$A$13,1)+1,7))-INDEX(Report_Scenarios!$D$7:$D$13,MATCH(MEDIAN($B85-Conversion!$B$14,2020,2050),Report_Scenarios!$A$7:$A$13,1)))*(MEDIAN($B85-Conversion!$B$14,2020,2050)-INDEX(Report_Scenarios!$A$7:$A$13,MATCH(MEDIAN($B85-Conversion!$B$14,2020,2050),Report_Scenarios!$A$7:$A$13,1)))/(INDEX(Report_Scenarios!$A$7:$A$13,MIN(MATCH(MEDIAN($B85-Conversion!$B$14,2020,2050),Report_Scenarios!$A$7:$A$13,1)+1,7))-INDEX(Report_Scenarios!$A$7:$A$13,MATCH(MEDIAN($B85-Conversion!$B$14,2020,2050),Report_Scenarios!$A$7:$A$13,1)))),IF($D85="Central",IF(INDEX(Report_Scenarios!$A$18:$A$24,MIN(MATCH(MEDIAN($B85-Conversion!$B$14,2020,2050),Report_Scenarios!$A$18:$A$24,1)+1,7))=INDEX(Report_Scenarios!$A$18:$A$24,MATCH(MEDIAN($B85-Conversion!$B$14,2020,2050),Report_Scenarios!$A$18:$A$24,1)),INDEX(Report_Scenarios!$D$18:$D$24,MATCH(MEDIAN($B85-Conversion!$B$14,2020,2050),Report_Scenarios!$A$18:$A$24,1)),INDEX(Report_Scenarios!$D$18:$D$24,MATCH(MEDIAN($B85-Conversion!$B$14,2020,2050),Report_Scenarios!$A$18:$A$24,1))+(INDEX(Report_Scenarios!$D$18:$D$24,MIN(MATCH(MEDIAN($B85-Conversion!$B$14,2020,2050),Report_Scenarios!$A$18:$A$24,1)+1,7))-INDEX(Report_Scenarios!$D$18:$D$24,MATCH(MEDIAN($B85-Conversion!$B$14,2020,2050),Report_Scenarios!$A$18:$A$24,1)))*(MEDIAN($B85-Conversion!$B$14,2020,2050)-INDEX(Report_Scenarios!$A$18:$A$24,MATCH(MEDIAN($B85-Conversion!$B$14,2020,2050),Report_Scenarios!$A$18:$A$24,1)))/(INDEX(Report_Scenarios!$A$18:$A$24,MIN(MATCH(MEDIAN($B85-Conversion!$B$14,2020,2050),Report_Scenarios!$A$18:$A$24,1)+1,7))-INDEX(Report_Scenarios!$A$18:$A$24,MATCH(MEDIAN($B85-Conversion!$B$14,2020,2050),Report_Scenarios!$A$18:$A$24,1)))),IF(INDEX(Report_Scenarios!$A$29:$A$35,MIN(MATCH(MEDIAN($B85-Conversion!$B$14,2020,2050),Report_Scenarios!$A$29:$A$35,1)+1,7))=INDEX(Report_Scenarios!$A$29:$A$35,MATCH(MEDIAN($B85-Conversion!$B$14,2020,2050),Report_Scenarios!$A$29:$A$35,1)),INDEX(Report_Scenarios!$D$29:$D$35,MATCH(MEDIAN($B85-Conversion!$B$14,2020,2050),Report_Scenarios!$A$29:$A$35,1)),INDEX(Report_Scenarios!$D$29:$D$35,MATCH(MEDIAN($B85-Conversion!$B$14,2020,2050),Report_Scenarios!$A$29:$A$35,1))+(INDEX(Report_Scenarios!$D$29:$D$35,MIN(MATCH(MEDIAN($B85-Conversion!$B$14,2020,2050),Report_Scenarios!$A$29:$A$35,1)+1,7))-INDEX(Report_Scenarios!$D$29:$D$35,MATCH(MEDIAN($B85-Conversion!$B$14,2020,2050),Report_Scenarios!$A$29:$A$35,1)))*(MEDIAN($B85-Conversion!$B$14,2020,2050)-INDEX(Report_Scenarios!$A$29:$A$35,MATCH(MEDIAN($B85-Conversion!$B$14,2020,2050),Report_Scenarios!$A$29:$A$35,1)))/(INDEX(Report_Scenarios!$A$29:$A$35,MIN(MATCH(MEDIAN($B85-Conversion!$B$14,2020,2050),Report_Scenarios!$A$29:$A$35,1)+1,7))-INDEX(Report_Scenarios!$A$29:$A$35,MATCH(MEDIAN($B85-Conversion!$B$14,2020,2050),Report_Scenarios!$A$29:$A$35,1))))))</f>
        <v/>
      </c>
      <c r="H85" s="23">
        <f>IF($D85="Conservative",IF(INDEX(Report_Scenarios!$A$7:$A$13,MIN(MATCH(MEDIAN($B85-Conversion!$B$14,2020,2050),Report_Scenarios!$A$7:$A$13,1)+1,7))=INDEX(Report_Scenarios!$A$7:$A$13,MATCH(MEDIAN($B85-Conversion!$B$14,2020,2050),Report_Scenarios!$A$7:$A$13,1)),INDEX(Report_Scenarios!$E$7:$E$13,MATCH(MEDIAN($B85-Conversion!$B$14,2020,2050),Report_Scenarios!$A$7:$A$13,1)),INDEX(Report_Scenarios!$E$7:$E$13,MATCH(MEDIAN($B85-Conversion!$B$14,2020,2050),Report_Scenarios!$A$7:$A$13,1))+(INDEX(Report_Scenarios!$E$7:$E$13,MIN(MATCH(MEDIAN($B85-Conversion!$B$14,2020,2050),Report_Scenarios!$A$7:$A$13,1)+1,7))-INDEX(Report_Scenarios!$E$7:$E$13,MATCH(MEDIAN($B85-Conversion!$B$14,2020,2050),Report_Scenarios!$A$7:$A$13,1)))*(MEDIAN($B85-Conversion!$B$14,2020,2050)-INDEX(Report_Scenarios!$A$7:$A$13,MATCH(MEDIAN($B85-Conversion!$B$14,2020,2050),Report_Scenarios!$A$7:$A$13,1)))/(INDEX(Report_Scenarios!$A$7:$A$13,MIN(MATCH(MEDIAN($B85-Conversion!$B$14,2020,2050),Report_Scenarios!$A$7:$A$13,1)+1,7))-INDEX(Report_Scenarios!$A$7:$A$13,MATCH(MEDIAN($B85-Conversion!$B$14,2020,2050),Report_Scenarios!$A$7:$A$13,1)))),IF($D85="Central",IF(INDEX(Report_Scenarios!$A$18:$A$24,MIN(MATCH(MEDIAN($B85-Conversion!$B$14,2020,2050),Report_Scenarios!$A$18:$A$24,1)+1,7))=INDEX(Report_Scenarios!$A$18:$A$24,MATCH(MEDIAN($B85-Conversion!$B$14,2020,2050),Report_Scenarios!$A$18:$A$24,1)),INDEX(Report_Scenarios!$E$18:$E$24,MATCH(MEDIAN($B85-Conversion!$B$14,2020,2050),Report_Scenarios!$A$18:$A$24,1)),INDEX(Report_Scenarios!$E$18:$E$24,MATCH(MEDIAN($B85-Conversion!$B$14,2020,2050),Report_Scenarios!$A$18:$A$24,1))+(INDEX(Report_Scenarios!$E$18:$E$24,MIN(MATCH(MEDIAN($B85-Conversion!$B$14,2020,2050),Report_Scenarios!$A$18:$A$24,1)+1,7))-INDEX(Report_Scenarios!$E$18:$E$24,MATCH(MEDIAN($B85-Conversion!$B$14,2020,2050),Report_Scenarios!$A$18:$A$24,1)))*(MEDIAN($B85-Conversion!$B$14,2020,2050)-INDEX(Report_Scenarios!$A$18:$A$24,MATCH(MEDIAN($B85-Conversion!$B$14,2020,2050),Report_Scenarios!$A$18:$A$24,1)))/(INDEX(Report_Scenarios!$A$18:$A$24,MIN(MATCH(MEDIAN($B85-Conversion!$B$14,2020,2050),Report_Scenarios!$A$18:$A$24,1)+1,7))-INDEX(Report_Scenarios!$A$18:$A$24,MATCH(MEDIAN($B85-Conversion!$B$14,2020,2050),Report_Scenarios!$A$18:$A$24,1)))),IF(INDEX(Report_Scenarios!$A$29:$A$35,MIN(MATCH(MEDIAN($B85-Conversion!$B$14,2020,2050),Report_Scenarios!$A$29:$A$35,1)+1,7))=INDEX(Report_Scenarios!$A$29:$A$35,MATCH(MEDIAN($B85-Conversion!$B$14,2020,2050),Report_Scenarios!$A$29:$A$35,1)),INDEX(Report_Scenarios!$E$29:$E$35,MATCH(MEDIAN($B85-Conversion!$B$14,2020,2050),Report_Scenarios!$A$29:$A$35,1)),INDEX(Report_Scenarios!$E$29:$E$35,MATCH(MEDIAN($B85-Conversion!$B$14,2020,2050),Report_Scenarios!$A$29:$A$35,1))+(INDEX(Report_Scenarios!$E$29:$E$35,MIN(MATCH(MEDIAN($B85-Conversion!$B$14,2020,2050),Report_Scenarios!$A$29:$A$35,1)+1,7))-INDEX(Report_Scenarios!$E$29:$E$35,MATCH(MEDIAN($B85-Conversion!$B$14,2020,2050),Report_Scenarios!$A$29:$A$35,1)))*(MEDIAN($B85-Conversion!$B$14,2020,2050)-INDEX(Report_Scenarios!$A$29:$A$35,MATCH(MEDIAN($B85-Conversion!$B$14,2020,2050),Report_Scenarios!$A$29:$A$35,1)))/(INDEX(Report_Scenarios!$A$29:$A$35,MIN(MATCH(MEDIAN($B85-Conversion!$B$14,2020,2050),Report_Scenarios!$A$29:$A$35,1)+1,7))-INDEX(Report_Scenarios!$A$29:$A$35,MATCH(MEDIAN($B85-Conversion!$B$14,2020,2050),Report_Scenarios!$A$29:$A$35,1))))))</f>
        <v/>
      </c>
      <c r="I85" s="23">
        <f>IF($D85="Conservative",IF(INDEX(Report_Scenarios!$A$7:$A$13,MIN(MATCH(MEDIAN($B85-Conversion!$B$14,2020,2050),Report_Scenarios!$A$7:$A$13,1)+1,7))=INDEX(Report_Scenarios!$A$7:$A$13,MATCH(MEDIAN($B85-Conversion!$B$14,2020,2050),Report_Scenarios!$A$7:$A$13,1)),INDEX(Report_Scenarios!$F$7:$F$13,MATCH(MEDIAN($B85-Conversion!$B$14,2020,2050),Report_Scenarios!$A$7:$A$13,1)),INDEX(Report_Scenarios!$F$7:$F$13,MATCH(MEDIAN($B85-Conversion!$B$14,2020,2050),Report_Scenarios!$A$7:$A$13,1))+(INDEX(Report_Scenarios!$F$7:$F$13,MIN(MATCH(MEDIAN($B85-Conversion!$B$14,2020,2050),Report_Scenarios!$A$7:$A$13,1)+1,7))-INDEX(Report_Scenarios!$F$7:$F$13,MATCH(MEDIAN($B85-Conversion!$B$14,2020,2050),Report_Scenarios!$A$7:$A$13,1)))*(MEDIAN($B85-Conversion!$B$14,2020,2050)-INDEX(Report_Scenarios!$A$7:$A$13,MATCH(MEDIAN($B85-Conversion!$B$14,2020,2050),Report_Scenarios!$A$7:$A$13,1)))/(INDEX(Report_Scenarios!$A$7:$A$13,MIN(MATCH(MEDIAN($B85-Conversion!$B$14,2020,2050),Report_Scenarios!$A$7:$A$13,1)+1,7))-INDEX(Report_Scenarios!$A$7:$A$13,MATCH(MEDIAN($B85-Conversion!$B$14,2020,2050),Report_Scenarios!$A$7:$A$13,1)))),IF($D85="Central",IF(INDEX(Report_Scenarios!$A$18:$A$24,MIN(MATCH(MEDIAN($B85-Conversion!$B$14,2020,2050),Report_Scenarios!$A$18:$A$24,1)+1,7))=INDEX(Report_Scenarios!$A$18:$A$24,MATCH(MEDIAN($B85-Conversion!$B$14,2020,2050),Report_Scenarios!$A$18:$A$24,1)),INDEX(Report_Scenarios!$F$18:$F$24,MATCH(MEDIAN($B85-Conversion!$B$14,2020,2050),Report_Scenarios!$A$18:$A$24,1)),INDEX(Report_Scenarios!$F$18:$F$24,MATCH(MEDIAN($B85-Conversion!$B$14,2020,2050),Report_Scenarios!$A$18:$A$24,1))+(INDEX(Report_Scenarios!$F$18:$F$24,MIN(MATCH(MEDIAN($B85-Conversion!$B$14,2020,2050),Report_Scenarios!$A$18:$A$24,1)+1,7))-INDEX(Report_Scenarios!$F$18:$F$24,MATCH(MEDIAN($B85-Conversion!$B$14,2020,2050),Report_Scenarios!$A$18:$A$24,1)))*(MEDIAN($B85-Conversion!$B$14,2020,2050)-INDEX(Report_Scenarios!$A$18:$A$24,MATCH(MEDIAN($B85-Conversion!$B$14,2020,2050),Report_Scenarios!$A$18:$A$24,1)))/(INDEX(Report_Scenarios!$A$18:$A$24,MIN(MATCH(MEDIAN($B85-Conversion!$B$14,2020,2050),Report_Scenarios!$A$18:$A$24,1)+1,7))-INDEX(Report_Scenarios!$A$18:$A$24,MATCH(MEDIAN($B85-Conversion!$B$14,2020,2050),Report_Scenarios!$A$18:$A$24,1)))),IF(INDEX(Report_Scenarios!$A$29:$A$35,MIN(MATCH(MEDIAN($B85-Conversion!$B$14,2020,2050),Report_Scenarios!$A$29:$A$35,1)+1,7))=INDEX(Report_Scenarios!$A$29:$A$35,MATCH(MEDIAN($B85-Conversion!$B$14,2020,2050),Report_Scenarios!$A$29:$A$35,1)),INDEX(Report_Scenarios!$F$29:$F$35,MATCH(MEDIAN($B85-Conversion!$B$14,2020,2050),Report_Scenarios!$A$29:$A$35,1)),INDEX(Report_Scenarios!$F$29:$F$35,MATCH(MEDIAN($B85-Conversion!$B$14,2020,2050),Report_Scenarios!$A$29:$A$35,1))+(INDEX(Report_Scenarios!$F$29:$F$35,MIN(MATCH(MEDIAN($B85-Conversion!$B$14,2020,2050),Report_Scenarios!$A$29:$A$35,1)+1,7))-INDEX(Report_Scenarios!$F$29:$F$35,MATCH(MEDIAN($B85-Conversion!$B$14,2020,2050),Report_Scenarios!$A$29:$A$35,1)))*(MEDIAN($B85-Conversion!$B$14,2020,2050)-INDEX(Report_Scenarios!$A$29:$A$35,MATCH(MEDIAN($B85-Conversion!$B$14,2020,2050),Report_Scenarios!$A$29:$A$35,1)))/(INDEX(Report_Scenarios!$A$29:$A$35,MIN(MATCH(MEDIAN($B85-Conversion!$B$14,2020,2050),Report_Scenarios!$A$29:$A$35,1)+1,7))-INDEX(Report_Scenarios!$A$29:$A$35,MATCH(MEDIAN($B85-Conversion!$B$14,2020,2050),Report_Scenarios!$A$29:$A$35,1))))))</f>
        <v/>
      </c>
      <c r="J85" s="23">
        <f>IF($D85="Conservative",IF(INDEX(Report_Scenarios!$A$7:$A$13,MIN(MATCH(MEDIAN($B85-Conversion!$B$14,2020,2050),Report_Scenarios!$A$7:$A$13,1)+1,7))=INDEX(Report_Scenarios!$A$7:$A$13,MATCH(MEDIAN($B85-Conversion!$B$14,2020,2050),Report_Scenarios!$A$7:$A$13,1)),INDEX(Report_Scenarios!$G$7:$G$13,MATCH(MEDIAN($B85-Conversion!$B$14,2020,2050),Report_Scenarios!$A$7:$A$13,1)),INDEX(Report_Scenarios!$G$7:$G$13,MATCH(MEDIAN($B85-Conversion!$B$14,2020,2050),Report_Scenarios!$A$7:$A$13,1))+(INDEX(Report_Scenarios!$G$7:$G$13,MIN(MATCH(MEDIAN($B85-Conversion!$B$14,2020,2050),Report_Scenarios!$A$7:$A$13,1)+1,7))-INDEX(Report_Scenarios!$G$7:$G$13,MATCH(MEDIAN($B85-Conversion!$B$14,2020,2050),Report_Scenarios!$A$7:$A$13,1)))*(MEDIAN($B85-Conversion!$B$14,2020,2050)-INDEX(Report_Scenarios!$A$7:$A$13,MATCH(MEDIAN($B85-Conversion!$B$14,2020,2050),Report_Scenarios!$A$7:$A$13,1)))/(INDEX(Report_Scenarios!$A$7:$A$13,MIN(MATCH(MEDIAN($B85-Conversion!$B$14,2020,2050),Report_Scenarios!$A$7:$A$13,1)+1,7))-INDEX(Report_Scenarios!$A$7:$A$13,MATCH(MEDIAN($B85-Conversion!$B$14,2020,2050),Report_Scenarios!$A$7:$A$13,1)))),IF($D85="Central",IF(INDEX(Report_Scenarios!$A$18:$A$24,MIN(MATCH(MEDIAN($B85-Conversion!$B$14,2020,2050),Report_Scenarios!$A$18:$A$24,1)+1,7))=INDEX(Report_Scenarios!$A$18:$A$24,MATCH(MEDIAN($B85-Conversion!$B$14,2020,2050),Report_Scenarios!$A$18:$A$24,1)),INDEX(Report_Scenarios!$G$18:$G$24,MATCH(MEDIAN($B85-Conversion!$B$14,2020,2050),Report_Scenarios!$A$18:$A$24,1)),INDEX(Report_Scenarios!$G$18:$G$24,MATCH(MEDIAN($B85-Conversion!$B$14,2020,2050),Report_Scenarios!$A$18:$A$24,1))+(INDEX(Report_Scenarios!$G$18:$G$24,MIN(MATCH(MEDIAN($B85-Conversion!$B$14,2020,2050),Report_Scenarios!$A$18:$A$24,1)+1,7))-INDEX(Report_Scenarios!$G$18:$G$24,MATCH(MEDIAN($B85-Conversion!$B$14,2020,2050),Report_Scenarios!$A$18:$A$24,1)))*(MEDIAN($B85-Conversion!$B$14,2020,2050)-INDEX(Report_Scenarios!$A$18:$A$24,MATCH(MEDIAN($B85-Conversion!$B$14,2020,2050),Report_Scenarios!$A$18:$A$24,1)))/(INDEX(Report_Scenarios!$A$18:$A$24,MIN(MATCH(MEDIAN($B85-Conversion!$B$14,2020,2050),Report_Scenarios!$A$18:$A$24,1)+1,7))-INDEX(Report_Scenarios!$A$18:$A$24,MATCH(MEDIAN($B85-Conversion!$B$14,2020,2050),Report_Scenarios!$A$18:$A$24,1)))),IF(INDEX(Report_Scenarios!$A$29:$A$35,MIN(MATCH(MEDIAN($B85-Conversion!$B$14,2020,2050),Report_Scenarios!$A$29:$A$35,1)+1,7))=INDEX(Report_Scenarios!$A$29:$A$35,MATCH(MEDIAN($B85-Conversion!$B$14,2020,2050),Report_Scenarios!$A$29:$A$35,1)),INDEX(Report_Scenarios!$G$29:$G$35,MATCH(MEDIAN($B85-Conversion!$B$14,2020,2050),Report_Scenarios!$A$29:$A$35,1)),INDEX(Report_Scenarios!$G$29:$G$35,MATCH(MEDIAN($B85-Conversion!$B$14,2020,2050),Report_Scenarios!$A$29:$A$35,1))+(INDEX(Report_Scenarios!$G$29:$G$35,MIN(MATCH(MEDIAN($B85-Conversion!$B$14,2020,2050),Report_Scenarios!$A$29:$A$35,1)+1,7))-INDEX(Report_Scenarios!$G$29:$G$35,MATCH(MEDIAN($B85-Conversion!$B$14,2020,2050),Report_Scenarios!$A$29:$A$35,1)))*(MEDIAN($B85-Conversion!$B$14,2020,2050)-INDEX(Report_Scenarios!$A$29:$A$35,MATCH(MEDIAN($B85-Conversion!$B$14,2020,2050),Report_Scenarios!$A$29:$A$35,1)))/(INDEX(Report_Scenarios!$A$29:$A$35,MIN(MATCH(MEDIAN($B85-Conversion!$B$14,2020,2050),Report_Scenarios!$A$29:$A$35,1)+1,7))-INDEX(Report_Scenarios!$A$29:$A$35,MATCH(MEDIAN($B85-Conversion!$B$14,2020,2050),Report_Scenarios!$A$29:$A$35,1))))))</f>
        <v/>
      </c>
      <c r="K85" s="23">
        <f>SUM(E85:J85)</f>
        <v/>
      </c>
      <c r="L85" s="23">
        <f>IF(R85&lt;&gt;"",R85,IF($K85=0,0,E85/$K85))</f>
        <v/>
      </c>
      <c r="M85" s="23">
        <f>IF(S85&lt;&gt;"",S85,IF($K85=0,0,F85/$K85))</f>
        <v/>
      </c>
      <c r="N85" s="23">
        <f>IF(T85&lt;&gt;"",T85,IF($K85=0,0,G85/$K85))</f>
        <v/>
      </c>
      <c r="O85" s="23">
        <f>IF(U85&lt;&gt;"",U85,IF($K85=0,0,H85/$K85))</f>
        <v/>
      </c>
      <c r="P85" s="23">
        <f>IF(V85&lt;&gt;"",V85,IF($K85=0,0,I85/$K85))</f>
        <v/>
      </c>
      <c r="Q85" s="23">
        <f>IF(W85&lt;&gt;"",W85,IF($K85=0,0,J85/$K85))</f>
        <v/>
      </c>
      <c r="R85" s="24" t="n"/>
      <c r="S85" s="24" t="n"/>
      <c r="T85" s="24" t="n"/>
      <c r="U85" s="24" t="n"/>
      <c r="V85" s="24" t="n"/>
      <c r="W85" s="24" t="n"/>
    </row>
    <row r="86">
      <c r="A86" s="4" t="inlineStr">
        <is>
          <t>EF</t>
        </is>
      </c>
      <c r="B86" s="4" t="n">
        <v>2055</v>
      </c>
      <c r="C86" s="4" t="inlineStr">
        <is>
          <t>Share_Min</t>
        </is>
      </c>
      <c r="D86" s="4">
        <f>Conversion!$B$18</f>
        <v/>
      </c>
      <c r="E86" s="23">
        <f>IF($D86="Conservative",IF(INDEX(Report_Scenarios!$A$7:$A$13,MIN(MATCH(MEDIAN($B86-Conversion!$B$14,2020,2050),Report_Scenarios!$A$7:$A$13,1)+1,7))=INDEX(Report_Scenarios!$A$7:$A$13,MATCH(MEDIAN($B86-Conversion!$B$14,2020,2050),Report_Scenarios!$A$7:$A$13,1)),INDEX(Report_Scenarios!$B$7:$B$13,MATCH(MEDIAN($B86-Conversion!$B$14,2020,2050),Report_Scenarios!$A$7:$A$13,1)),INDEX(Report_Scenarios!$B$7:$B$13,MATCH(MEDIAN($B86-Conversion!$B$14,2020,2050),Report_Scenarios!$A$7:$A$13,1))+(INDEX(Report_Scenarios!$B$7:$B$13,MIN(MATCH(MEDIAN($B86-Conversion!$B$14,2020,2050),Report_Scenarios!$A$7:$A$13,1)+1,7))-INDEX(Report_Scenarios!$B$7:$B$13,MATCH(MEDIAN($B86-Conversion!$B$14,2020,2050),Report_Scenarios!$A$7:$A$13,1)))*(MEDIAN($B86-Conversion!$B$14,2020,2050)-INDEX(Report_Scenarios!$A$7:$A$13,MATCH(MEDIAN($B86-Conversion!$B$14,2020,2050),Report_Scenarios!$A$7:$A$13,1)))/(INDEX(Report_Scenarios!$A$7:$A$13,MIN(MATCH(MEDIAN($B86-Conversion!$B$14,2020,2050),Report_Scenarios!$A$7:$A$13,1)+1,7))-INDEX(Report_Scenarios!$A$7:$A$13,MATCH(MEDIAN($B86-Conversion!$B$14,2020,2050),Report_Scenarios!$A$7:$A$13,1)))),IF($D86="Central",IF(INDEX(Report_Scenarios!$A$18:$A$24,MIN(MATCH(MEDIAN($B86-Conversion!$B$14,2020,2050),Report_Scenarios!$A$18:$A$24,1)+1,7))=INDEX(Report_Scenarios!$A$18:$A$24,MATCH(MEDIAN($B86-Conversion!$B$14,2020,2050),Report_Scenarios!$A$18:$A$24,1)),INDEX(Report_Scenarios!$B$18:$B$24,MATCH(MEDIAN($B86-Conversion!$B$14,2020,2050),Report_Scenarios!$A$18:$A$24,1)),INDEX(Report_Scenarios!$B$18:$B$24,MATCH(MEDIAN($B86-Conversion!$B$14,2020,2050),Report_Scenarios!$A$18:$A$24,1))+(INDEX(Report_Scenarios!$B$18:$B$24,MIN(MATCH(MEDIAN($B86-Conversion!$B$14,2020,2050),Report_Scenarios!$A$18:$A$24,1)+1,7))-INDEX(Report_Scenarios!$B$18:$B$24,MATCH(MEDIAN($B86-Conversion!$B$14,2020,2050),Report_Scenarios!$A$18:$A$24,1)))*(MEDIAN($B86-Conversion!$B$14,2020,2050)-INDEX(Report_Scenarios!$A$18:$A$24,MATCH(MEDIAN($B86-Conversion!$B$14,2020,2050),Report_Scenarios!$A$18:$A$24,1)))/(INDEX(Report_Scenarios!$A$18:$A$24,MIN(MATCH(MEDIAN($B86-Conversion!$B$14,2020,2050),Report_Scenarios!$A$18:$A$24,1)+1,7))-INDEX(Report_Scenarios!$A$18:$A$24,MATCH(MEDIAN($B86-Conversion!$B$14,2020,2050),Report_Scenarios!$A$18:$A$24,1)))),IF(INDEX(Report_Scenarios!$A$29:$A$35,MIN(MATCH(MEDIAN($B86-Conversion!$B$14,2020,2050),Report_Scenarios!$A$29:$A$35,1)+1,7))=INDEX(Report_Scenarios!$A$29:$A$35,MATCH(MEDIAN($B86-Conversion!$B$14,2020,2050),Report_Scenarios!$A$29:$A$35,1)),INDEX(Report_Scenarios!$B$29:$B$35,MATCH(MEDIAN($B86-Conversion!$B$14,2020,2050),Report_Scenarios!$A$29:$A$35,1)),INDEX(Report_Scenarios!$B$29:$B$35,MATCH(MEDIAN($B86-Conversion!$B$14,2020,2050),Report_Scenarios!$A$29:$A$35,1))+(INDEX(Report_Scenarios!$B$29:$B$35,MIN(MATCH(MEDIAN($B86-Conversion!$B$14,2020,2050),Report_Scenarios!$A$29:$A$35,1)+1,7))-INDEX(Report_Scenarios!$B$29:$B$35,MATCH(MEDIAN($B86-Conversion!$B$14,2020,2050),Report_Scenarios!$A$29:$A$35,1)))*(MEDIAN($B86-Conversion!$B$14,2020,2050)-INDEX(Report_Scenarios!$A$29:$A$35,MATCH(MEDIAN($B86-Conversion!$B$14,2020,2050),Report_Scenarios!$A$29:$A$35,1)))/(INDEX(Report_Scenarios!$A$29:$A$35,MIN(MATCH(MEDIAN($B86-Conversion!$B$14,2020,2050),Report_Scenarios!$A$29:$A$35,1)+1,7))-INDEX(Report_Scenarios!$A$29:$A$35,MATCH(MEDIAN($B86-Conversion!$B$14,2020,2050),Report_Scenarios!$A$29:$A$35,1))))))</f>
        <v/>
      </c>
      <c r="F86" s="23">
        <f>IF($D86="Conservative",IF(INDEX(Report_Scenarios!$A$7:$A$13,MIN(MATCH(MEDIAN($B86-Conversion!$B$14,2020,2050),Report_Scenarios!$A$7:$A$13,1)+1,7))=INDEX(Report_Scenarios!$A$7:$A$13,MATCH(MEDIAN($B86-Conversion!$B$14,2020,2050),Report_Scenarios!$A$7:$A$13,1)),INDEX(Report_Scenarios!$C$7:$C$13,MATCH(MEDIAN($B86-Conversion!$B$14,2020,2050),Report_Scenarios!$A$7:$A$13,1)),INDEX(Report_Scenarios!$C$7:$C$13,MATCH(MEDIAN($B86-Conversion!$B$14,2020,2050),Report_Scenarios!$A$7:$A$13,1))+(INDEX(Report_Scenarios!$C$7:$C$13,MIN(MATCH(MEDIAN($B86-Conversion!$B$14,2020,2050),Report_Scenarios!$A$7:$A$13,1)+1,7))-INDEX(Report_Scenarios!$C$7:$C$13,MATCH(MEDIAN($B86-Conversion!$B$14,2020,2050),Report_Scenarios!$A$7:$A$13,1)))*(MEDIAN($B86-Conversion!$B$14,2020,2050)-INDEX(Report_Scenarios!$A$7:$A$13,MATCH(MEDIAN($B86-Conversion!$B$14,2020,2050),Report_Scenarios!$A$7:$A$13,1)))/(INDEX(Report_Scenarios!$A$7:$A$13,MIN(MATCH(MEDIAN($B86-Conversion!$B$14,2020,2050),Report_Scenarios!$A$7:$A$13,1)+1,7))-INDEX(Report_Scenarios!$A$7:$A$13,MATCH(MEDIAN($B86-Conversion!$B$14,2020,2050),Report_Scenarios!$A$7:$A$13,1)))),IF($D86="Central",IF(INDEX(Report_Scenarios!$A$18:$A$24,MIN(MATCH(MEDIAN($B86-Conversion!$B$14,2020,2050),Report_Scenarios!$A$18:$A$24,1)+1,7))=INDEX(Report_Scenarios!$A$18:$A$24,MATCH(MEDIAN($B86-Conversion!$B$14,2020,2050),Report_Scenarios!$A$18:$A$24,1)),INDEX(Report_Scenarios!$C$18:$C$24,MATCH(MEDIAN($B86-Conversion!$B$14,2020,2050),Report_Scenarios!$A$18:$A$24,1)),INDEX(Report_Scenarios!$C$18:$C$24,MATCH(MEDIAN($B86-Conversion!$B$14,2020,2050),Report_Scenarios!$A$18:$A$24,1))+(INDEX(Report_Scenarios!$C$18:$C$24,MIN(MATCH(MEDIAN($B86-Conversion!$B$14,2020,2050),Report_Scenarios!$A$18:$A$24,1)+1,7))-INDEX(Report_Scenarios!$C$18:$C$24,MATCH(MEDIAN($B86-Conversion!$B$14,2020,2050),Report_Scenarios!$A$18:$A$24,1)))*(MEDIAN($B86-Conversion!$B$14,2020,2050)-INDEX(Report_Scenarios!$A$18:$A$24,MATCH(MEDIAN($B86-Conversion!$B$14,2020,2050),Report_Scenarios!$A$18:$A$24,1)))/(INDEX(Report_Scenarios!$A$18:$A$24,MIN(MATCH(MEDIAN($B86-Conversion!$B$14,2020,2050),Report_Scenarios!$A$18:$A$24,1)+1,7))-INDEX(Report_Scenarios!$A$18:$A$24,MATCH(MEDIAN($B86-Conversion!$B$14,2020,2050),Report_Scenarios!$A$18:$A$24,1)))),IF(INDEX(Report_Scenarios!$A$29:$A$35,MIN(MATCH(MEDIAN($B86-Conversion!$B$14,2020,2050),Report_Scenarios!$A$29:$A$35,1)+1,7))=INDEX(Report_Scenarios!$A$29:$A$35,MATCH(MEDIAN($B86-Conversion!$B$14,2020,2050),Report_Scenarios!$A$29:$A$35,1)),INDEX(Report_Scenarios!$C$29:$C$35,MATCH(MEDIAN($B86-Conversion!$B$14,2020,2050),Report_Scenarios!$A$29:$A$35,1)),INDEX(Report_Scenarios!$C$29:$C$35,MATCH(MEDIAN($B86-Conversion!$B$14,2020,2050),Report_Scenarios!$A$29:$A$35,1))+(INDEX(Report_Scenarios!$C$29:$C$35,MIN(MATCH(MEDIAN($B86-Conversion!$B$14,2020,2050),Report_Scenarios!$A$29:$A$35,1)+1,7))-INDEX(Report_Scenarios!$C$29:$C$35,MATCH(MEDIAN($B86-Conversion!$B$14,2020,2050),Report_Scenarios!$A$29:$A$35,1)))*(MEDIAN($B86-Conversion!$B$14,2020,2050)-INDEX(Report_Scenarios!$A$29:$A$35,MATCH(MEDIAN($B86-Conversion!$B$14,2020,2050),Report_Scenarios!$A$29:$A$35,1)))/(INDEX(Report_Scenarios!$A$29:$A$35,MIN(MATCH(MEDIAN($B86-Conversion!$B$14,2020,2050),Report_Scenarios!$A$29:$A$35,1)+1,7))-INDEX(Report_Scenarios!$A$29:$A$35,MATCH(MEDIAN($B86-Conversion!$B$14,2020,2050),Report_Scenarios!$A$29:$A$35,1))))))</f>
        <v/>
      </c>
      <c r="G86" s="23">
        <f>IF($D86="Conservative",IF(INDEX(Report_Scenarios!$A$7:$A$13,MIN(MATCH(MEDIAN($B86-Conversion!$B$14,2020,2050),Report_Scenarios!$A$7:$A$13,1)+1,7))=INDEX(Report_Scenarios!$A$7:$A$13,MATCH(MEDIAN($B86-Conversion!$B$14,2020,2050),Report_Scenarios!$A$7:$A$13,1)),INDEX(Report_Scenarios!$D$7:$D$13,MATCH(MEDIAN($B86-Conversion!$B$14,2020,2050),Report_Scenarios!$A$7:$A$13,1)),INDEX(Report_Scenarios!$D$7:$D$13,MATCH(MEDIAN($B86-Conversion!$B$14,2020,2050),Report_Scenarios!$A$7:$A$13,1))+(INDEX(Report_Scenarios!$D$7:$D$13,MIN(MATCH(MEDIAN($B86-Conversion!$B$14,2020,2050),Report_Scenarios!$A$7:$A$13,1)+1,7))-INDEX(Report_Scenarios!$D$7:$D$13,MATCH(MEDIAN($B86-Conversion!$B$14,2020,2050),Report_Scenarios!$A$7:$A$13,1)))*(MEDIAN($B86-Conversion!$B$14,2020,2050)-INDEX(Report_Scenarios!$A$7:$A$13,MATCH(MEDIAN($B86-Conversion!$B$14,2020,2050),Report_Scenarios!$A$7:$A$13,1)))/(INDEX(Report_Scenarios!$A$7:$A$13,MIN(MATCH(MEDIAN($B86-Conversion!$B$14,2020,2050),Report_Scenarios!$A$7:$A$13,1)+1,7))-INDEX(Report_Scenarios!$A$7:$A$13,MATCH(MEDIAN($B86-Conversion!$B$14,2020,2050),Report_Scenarios!$A$7:$A$13,1)))),IF($D86="Central",IF(INDEX(Report_Scenarios!$A$18:$A$24,MIN(MATCH(MEDIAN($B86-Conversion!$B$14,2020,2050),Report_Scenarios!$A$18:$A$24,1)+1,7))=INDEX(Report_Scenarios!$A$18:$A$24,MATCH(MEDIAN($B86-Conversion!$B$14,2020,2050),Report_Scenarios!$A$18:$A$24,1)),INDEX(Report_Scenarios!$D$18:$D$24,MATCH(MEDIAN($B86-Conversion!$B$14,2020,2050),Report_Scenarios!$A$18:$A$24,1)),INDEX(Report_Scenarios!$D$18:$D$24,MATCH(MEDIAN($B86-Conversion!$B$14,2020,2050),Report_Scenarios!$A$18:$A$24,1))+(INDEX(Report_Scenarios!$D$18:$D$24,MIN(MATCH(MEDIAN($B86-Conversion!$B$14,2020,2050),Report_Scenarios!$A$18:$A$24,1)+1,7))-INDEX(Report_Scenarios!$D$18:$D$24,MATCH(MEDIAN($B86-Conversion!$B$14,2020,2050),Report_Scenarios!$A$18:$A$24,1)))*(MEDIAN($B86-Conversion!$B$14,2020,2050)-INDEX(Report_Scenarios!$A$18:$A$24,MATCH(MEDIAN($B86-Conversion!$B$14,2020,2050),Report_Scenarios!$A$18:$A$24,1)))/(INDEX(Report_Scenarios!$A$18:$A$24,MIN(MATCH(MEDIAN($B86-Conversion!$B$14,2020,2050),Report_Scenarios!$A$18:$A$24,1)+1,7))-INDEX(Report_Scenarios!$A$18:$A$24,MATCH(MEDIAN($B86-Conversion!$B$14,2020,2050),Report_Scenarios!$A$18:$A$24,1)))),IF(INDEX(Report_Scenarios!$A$29:$A$35,MIN(MATCH(MEDIAN($B86-Conversion!$B$14,2020,2050),Report_Scenarios!$A$29:$A$35,1)+1,7))=INDEX(Report_Scenarios!$A$29:$A$35,MATCH(MEDIAN($B86-Conversion!$B$14,2020,2050),Report_Scenarios!$A$29:$A$35,1)),INDEX(Report_Scenarios!$D$29:$D$35,MATCH(MEDIAN($B86-Conversion!$B$14,2020,2050),Report_Scenarios!$A$29:$A$35,1)),INDEX(Report_Scenarios!$D$29:$D$35,MATCH(MEDIAN($B86-Conversion!$B$14,2020,2050),Report_Scenarios!$A$29:$A$35,1))+(INDEX(Report_Scenarios!$D$29:$D$35,MIN(MATCH(MEDIAN($B86-Conversion!$B$14,2020,2050),Report_Scenarios!$A$29:$A$35,1)+1,7))-INDEX(Report_Scenarios!$D$29:$D$35,MATCH(MEDIAN($B86-Conversion!$B$14,2020,2050),Report_Scenarios!$A$29:$A$35,1)))*(MEDIAN($B86-Conversion!$B$14,2020,2050)-INDEX(Report_Scenarios!$A$29:$A$35,MATCH(MEDIAN($B86-Conversion!$B$14,2020,2050),Report_Scenarios!$A$29:$A$35,1)))/(INDEX(Report_Scenarios!$A$29:$A$35,MIN(MATCH(MEDIAN($B86-Conversion!$B$14,2020,2050),Report_Scenarios!$A$29:$A$35,1)+1,7))-INDEX(Report_Scenarios!$A$29:$A$35,MATCH(MEDIAN($B86-Conversion!$B$14,2020,2050),Report_Scenarios!$A$29:$A$35,1))))))</f>
        <v/>
      </c>
      <c r="H86" s="23">
        <f>IF($D86="Conservative",IF(INDEX(Report_Scenarios!$A$7:$A$13,MIN(MATCH(MEDIAN($B86-Conversion!$B$14,2020,2050),Report_Scenarios!$A$7:$A$13,1)+1,7))=INDEX(Report_Scenarios!$A$7:$A$13,MATCH(MEDIAN($B86-Conversion!$B$14,2020,2050),Report_Scenarios!$A$7:$A$13,1)),INDEX(Report_Scenarios!$E$7:$E$13,MATCH(MEDIAN($B86-Conversion!$B$14,2020,2050),Report_Scenarios!$A$7:$A$13,1)),INDEX(Report_Scenarios!$E$7:$E$13,MATCH(MEDIAN($B86-Conversion!$B$14,2020,2050),Report_Scenarios!$A$7:$A$13,1))+(INDEX(Report_Scenarios!$E$7:$E$13,MIN(MATCH(MEDIAN($B86-Conversion!$B$14,2020,2050),Report_Scenarios!$A$7:$A$13,1)+1,7))-INDEX(Report_Scenarios!$E$7:$E$13,MATCH(MEDIAN($B86-Conversion!$B$14,2020,2050),Report_Scenarios!$A$7:$A$13,1)))*(MEDIAN($B86-Conversion!$B$14,2020,2050)-INDEX(Report_Scenarios!$A$7:$A$13,MATCH(MEDIAN($B86-Conversion!$B$14,2020,2050),Report_Scenarios!$A$7:$A$13,1)))/(INDEX(Report_Scenarios!$A$7:$A$13,MIN(MATCH(MEDIAN($B86-Conversion!$B$14,2020,2050),Report_Scenarios!$A$7:$A$13,1)+1,7))-INDEX(Report_Scenarios!$A$7:$A$13,MATCH(MEDIAN($B86-Conversion!$B$14,2020,2050),Report_Scenarios!$A$7:$A$13,1)))),IF($D86="Central",IF(INDEX(Report_Scenarios!$A$18:$A$24,MIN(MATCH(MEDIAN($B86-Conversion!$B$14,2020,2050),Report_Scenarios!$A$18:$A$24,1)+1,7))=INDEX(Report_Scenarios!$A$18:$A$24,MATCH(MEDIAN($B86-Conversion!$B$14,2020,2050),Report_Scenarios!$A$18:$A$24,1)),INDEX(Report_Scenarios!$E$18:$E$24,MATCH(MEDIAN($B86-Conversion!$B$14,2020,2050),Report_Scenarios!$A$18:$A$24,1)),INDEX(Report_Scenarios!$E$18:$E$24,MATCH(MEDIAN($B86-Conversion!$B$14,2020,2050),Report_Scenarios!$A$18:$A$24,1))+(INDEX(Report_Scenarios!$E$18:$E$24,MIN(MATCH(MEDIAN($B86-Conversion!$B$14,2020,2050),Report_Scenarios!$A$18:$A$24,1)+1,7))-INDEX(Report_Scenarios!$E$18:$E$24,MATCH(MEDIAN($B86-Conversion!$B$14,2020,2050),Report_Scenarios!$A$18:$A$24,1)))*(MEDIAN($B86-Conversion!$B$14,2020,2050)-INDEX(Report_Scenarios!$A$18:$A$24,MATCH(MEDIAN($B86-Conversion!$B$14,2020,2050),Report_Scenarios!$A$18:$A$24,1)))/(INDEX(Report_Scenarios!$A$18:$A$24,MIN(MATCH(MEDIAN($B86-Conversion!$B$14,2020,2050),Report_Scenarios!$A$18:$A$24,1)+1,7))-INDEX(Report_Scenarios!$A$18:$A$24,MATCH(MEDIAN($B86-Conversion!$B$14,2020,2050),Report_Scenarios!$A$18:$A$24,1)))),IF(INDEX(Report_Scenarios!$A$29:$A$35,MIN(MATCH(MEDIAN($B86-Conversion!$B$14,2020,2050),Report_Scenarios!$A$29:$A$35,1)+1,7))=INDEX(Report_Scenarios!$A$29:$A$35,MATCH(MEDIAN($B86-Conversion!$B$14,2020,2050),Report_Scenarios!$A$29:$A$35,1)),INDEX(Report_Scenarios!$E$29:$E$35,MATCH(MEDIAN($B86-Conversion!$B$14,2020,2050),Report_Scenarios!$A$29:$A$35,1)),INDEX(Report_Scenarios!$E$29:$E$35,MATCH(MEDIAN($B86-Conversion!$B$14,2020,2050),Report_Scenarios!$A$29:$A$35,1))+(INDEX(Report_Scenarios!$E$29:$E$35,MIN(MATCH(MEDIAN($B86-Conversion!$B$14,2020,2050),Report_Scenarios!$A$29:$A$35,1)+1,7))-INDEX(Report_Scenarios!$E$29:$E$35,MATCH(MEDIAN($B86-Conversion!$B$14,2020,2050),Report_Scenarios!$A$29:$A$35,1)))*(MEDIAN($B86-Conversion!$B$14,2020,2050)-INDEX(Report_Scenarios!$A$29:$A$35,MATCH(MEDIAN($B86-Conversion!$B$14,2020,2050),Report_Scenarios!$A$29:$A$35,1)))/(INDEX(Report_Scenarios!$A$29:$A$35,MIN(MATCH(MEDIAN($B86-Conversion!$B$14,2020,2050),Report_Scenarios!$A$29:$A$35,1)+1,7))-INDEX(Report_Scenarios!$A$29:$A$35,MATCH(MEDIAN($B86-Conversion!$B$14,2020,2050),Report_Scenarios!$A$29:$A$35,1))))))</f>
        <v/>
      </c>
      <c r="I86" s="23">
        <f>IF($D86="Conservative",IF(INDEX(Report_Scenarios!$A$7:$A$13,MIN(MATCH(MEDIAN($B86-Conversion!$B$14,2020,2050),Report_Scenarios!$A$7:$A$13,1)+1,7))=INDEX(Report_Scenarios!$A$7:$A$13,MATCH(MEDIAN($B86-Conversion!$B$14,2020,2050),Report_Scenarios!$A$7:$A$13,1)),INDEX(Report_Scenarios!$F$7:$F$13,MATCH(MEDIAN($B86-Conversion!$B$14,2020,2050),Report_Scenarios!$A$7:$A$13,1)),INDEX(Report_Scenarios!$F$7:$F$13,MATCH(MEDIAN($B86-Conversion!$B$14,2020,2050),Report_Scenarios!$A$7:$A$13,1))+(INDEX(Report_Scenarios!$F$7:$F$13,MIN(MATCH(MEDIAN($B86-Conversion!$B$14,2020,2050),Report_Scenarios!$A$7:$A$13,1)+1,7))-INDEX(Report_Scenarios!$F$7:$F$13,MATCH(MEDIAN($B86-Conversion!$B$14,2020,2050),Report_Scenarios!$A$7:$A$13,1)))*(MEDIAN($B86-Conversion!$B$14,2020,2050)-INDEX(Report_Scenarios!$A$7:$A$13,MATCH(MEDIAN($B86-Conversion!$B$14,2020,2050),Report_Scenarios!$A$7:$A$13,1)))/(INDEX(Report_Scenarios!$A$7:$A$13,MIN(MATCH(MEDIAN($B86-Conversion!$B$14,2020,2050),Report_Scenarios!$A$7:$A$13,1)+1,7))-INDEX(Report_Scenarios!$A$7:$A$13,MATCH(MEDIAN($B86-Conversion!$B$14,2020,2050),Report_Scenarios!$A$7:$A$13,1)))),IF($D86="Central",IF(INDEX(Report_Scenarios!$A$18:$A$24,MIN(MATCH(MEDIAN($B86-Conversion!$B$14,2020,2050),Report_Scenarios!$A$18:$A$24,1)+1,7))=INDEX(Report_Scenarios!$A$18:$A$24,MATCH(MEDIAN($B86-Conversion!$B$14,2020,2050),Report_Scenarios!$A$18:$A$24,1)),INDEX(Report_Scenarios!$F$18:$F$24,MATCH(MEDIAN($B86-Conversion!$B$14,2020,2050),Report_Scenarios!$A$18:$A$24,1)),INDEX(Report_Scenarios!$F$18:$F$24,MATCH(MEDIAN($B86-Conversion!$B$14,2020,2050),Report_Scenarios!$A$18:$A$24,1))+(INDEX(Report_Scenarios!$F$18:$F$24,MIN(MATCH(MEDIAN($B86-Conversion!$B$14,2020,2050),Report_Scenarios!$A$18:$A$24,1)+1,7))-INDEX(Report_Scenarios!$F$18:$F$24,MATCH(MEDIAN($B86-Conversion!$B$14,2020,2050),Report_Scenarios!$A$18:$A$24,1)))*(MEDIAN($B86-Conversion!$B$14,2020,2050)-INDEX(Report_Scenarios!$A$18:$A$24,MATCH(MEDIAN($B86-Conversion!$B$14,2020,2050),Report_Scenarios!$A$18:$A$24,1)))/(INDEX(Report_Scenarios!$A$18:$A$24,MIN(MATCH(MEDIAN($B86-Conversion!$B$14,2020,2050),Report_Scenarios!$A$18:$A$24,1)+1,7))-INDEX(Report_Scenarios!$A$18:$A$24,MATCH(MEDIAN($B86-Conversion!$B$14,2020,2050),Report_Scenarios!$A$18:$A$24,1)))),IF(INDEX(Report_Scenarios!$A$29:$A$35,MIN(MATCH(MEDIAN($B86-Conversion!$B$14,2020,2050),Report_Scenarios!$A$29:$A$35,1)+1,7))=INDEX(Report_Scenarios!$A$29:$A$35,MATCH(MEDIAN($B86-Conversion!$B$14,2020,2050),Report_Scenarios!$A$29:$A$35,1)),INDEX(Report_Scenarios!$F$29:$F$35,MATCH(MEDIAN($B86-Conversion!$B$14,2020,2050),Report_Scenarios!$A$29:$A$35,1)),INDEX(Report_Scenarios!$F$29:$F$35,MATCH(MEDIAN($B86-Conversion!$B$14,2020,2050),Report_Scenarios!$A$29:$A$35,1))+(INDEX(Report_Scenarios!$F$29:$F$35,MIN(MATCH(MEDIAN($B86-Conversion!$B$14,2020,2050),Report_Scenarios!$A$29:$A$35,1)+1,7))-INDEX(Report_Scenarios!$F$29:$F$35,MATCH(MEDIAN($B86-Conversion!$B$14,2020,2050),Report_Scenarios!$A$29:$A$35,1)))*(MEDIAN($B86-Conversion!$B$14,2020,2050)-INDEX(Report_Scenarios!$A$29:$A$35,MATCH(MEDIAN($B86-Conversion!$B$14,2020,2050),Report_Scenarios!$A$29:$A$35,1)))/(INDEX(Report_Scenarios!$A$29:$A$35,MIN(MATCH(MEDIAN($B86-Conversion!$B$14,2020,2050),Report_Scenarios!$A$29:$A$35,1)+1,7))-INDEX(Report_Scenarios!$A$29:$A$35,MATCH(MEDIAN($B86-Conversion!$B$14,2020,2050),Report_Scenarios!$A$29:$A$35,1))))))</f>
        <v/>
      </c>
      <c r="J86" s="23">
        <f>IF($D86="Conservative",IF(INDEX(Report_Scenarios!$A$7:$A$13,MIN(MATCH(MEDIAN($B86-Conversion!$B$14,2020,2050),Report_Scenarios!$A$7:$A$13,1)+1,7))=INDEX(Report_Scenarios!$A$7:$A$13,MATCH(MEDIAN($B86-Conversion!$B$14,2020,2050),Report_Scenarios!$A$7:$A$13,1)),INDEX(Report_Scenarios!$G$7:$G$13,MATCH(MEDIAN($B86-Conversion!$B$14,2020,2050),Report_Scenarios!$A$7:$A$13,1)),INDEX(Report_Scenarios!$G$7:$G$13,MATCH(MEDIAN($B86-Conversion!$B$14,2020,2050),Report_Scenarios!$A$7:$A$13,1))+(INDEX(Report_Scenarios!$G$7:$G$13,MIN(MATCH(MEDIAN($B86-Conversion!$B$14,2020,2050),Report_Scenarios!$A$7:$A$13,1)+1,7))-INDEX(Report_Scenarios!$G$7:$G$13,MATCH(MEDIAN($B86-Conversion!$B$14,2020,2050),Report_Scenarios!$A$7:$A$13,1)))*(MEDIAN($B86-Conversion!$B$14,2020,2050)-INDEX(Report_Scenarios!$A$7:$A$13,MATCH(MEDIAN($B86-Conversion!$B$14,2020,2050),Report_Scenarios!$A$7:$A$13,1)))/(INDEX(Report_Scenarios!$A$7:$A$13,MIN(MATCH(MEDIAN($B86-Conversion!$B$14,2020,2050),Report_Scenarios!$A$7:$A$13,1)+1,7))-INDEX(Report_Scenarios!$A$7:$A$13,MATCH(MEDIAN($B86-Conversion!$B$14,2020,2050),Report_Scenarios!$A$7:$A$13,1)))),IF($D86="Central",IF(INDEX(Report_Scenarios!$A$18:$A$24,MIN(MATCH(MEDIAN($B86-Conversion!$B$14,2020,2050),Report_Scenarios!$A$18:$A$24,1)+1,7))=INDEX(Report_Scenarios!$A$18:$A$24,MATCH(MEDIAN($B86-Conversion!$B$14,2020,2050),Report_Scenarios!$A$18:$A$24,1)),INDEX(Report_Scenarios!$G$18:$G$24,MATCH(MEDIAN($B86-Conversion!$B$14,2020,2050),Report_Scenarios!$A$18:$A$24,1)),INDEX(Report_Scenarios!$G$18:$G$24,MATCH(MEDIAN($B86-Conversion!$B$14,2020,2050),Report_Scenarios!$A$18:$A$24,1))+(INDEX(Report_Scenarios!$G$18:$G$24,MIN(MATCH(MEDIAN($B86-Conversion!$B$14,2020,2050),Report_Scenarios!$A$18:$A$24,1)+1,7))-INDEX(Report_Scenarios!$G$18:$G$24,MATCH(MEDIAN($B86-Conversion!$B$14,2020,2050),Report_Scenarios!$A$18:$A$24,1)))*(MEDIAN($B86-Conversion!$B$14,2020,2050)-INDEX(Report_Scenarios!$A$18:$A$24,MATCH(MEDIAN($B86-Conversion!$B$14,2020,2050),Report_Scenarios!$A$18:$A$24,1)))/(INDEX(Report_Scenarios!$A$18:$A$24,MIN(MATCH(MEDIAN($B86-Conversion!$B$14,2020,2050),Report_Scenarios!$A$18:$A$24,1)+1,7))-INDEX(Report_Scenarios!$A$18:$A$24,MATCH(MEDIAN($B86-Conversion!$B$14,2020,2050),Report_Scenarios!$A$18:$A$24,1)))),IF(INDEX(Report_Scenarios!$A$29:$A$35,MIN(MATCH(MEDIAN($B86-Conversion!$B$14,2020,2050),Report_Scenarios!$A$29:$A$35,1)+1,7))=INDEX(Report_Scenarios!$A$29:$A$35,MATCH(MEDIAN($B86-Conversion!$B$14,2020,2050),Report_Scenarios!$A$29:$A$35,1)),INDEX(Report_Scenarios!$G$29:$G$35,MATCH(MEDIAN($B86-Conversion!$B$14,2020,2050),Report_Scenarios!$A$29:$A$35,1)),INDEX(Report_Scenarios!$G$29:$G$35,MATCH(MEDIAN($B86-Conversion!$B$14,2020,2050),Report_Scenarios!$A$29:$A$35,1))+(INDEX(Report_Scenarios!$G$29:$G$35,MIN(MATCH(MEDIAN($B86-Conversion!$B$14,2020,2050),Report_Scenarios!$A$29:$A$35,1)+1,7))-INDEX(Report_Scenarios!$G$29:$G$35,MATCH(MEDIAN($B86-Conversion!$B$14,2020,2050),Report_Scenarios!$A$29:$A$35,1)))*(MEDIAN($B86-Conversion!$B$14,2020,2050)-INDEX(Report_Scenarios!$A$29:$A$35,MATCH(MEDIAN($B86-Conversion!$B$14,2020,2050),Report_Scenarios!$A$29:$A$35,1)))/(INDEX(Report_Scenarios!$A$29:$A$35,MIN(MATCH(MEDIAN($B86-Conversion!$B$14,2020,2050),Report_Scenarios!$A$29:$A$35,1)+1,7))-INDEX(Report_Scenarios!$A$29:$A$35,MATCH(MEDIAN($B86-Conversion!$B$14,2020,2050),Report_Scenarios!$A$29:$A$35,1))))))</f>
        <v/>
      </c>
      <c r="K86" s="23">
        <f>SUM(E86:J86)</f>
        <v/>
      </c>
      <c r="L86" s="23">
        <f>IF(R86&lt;&gt;"",R86,IF($K86=0,0,E86/$K86))</f>
        <v/>
      </c>
      <c r="M86" s="23">
        <f>IF(S86&lt;&gt;"",S86,IF($K86=0,0,F86/$K86))</f>
        <v/>
      </c>
      <c r="N86" s="23">
        <f>IF(T86&lt;&gt;"",T86,IF($K86=0,0,G86/$K86))</f>
        <v/>
      </c>
      <c r="O86" s="23">
        <f>IF(U86&lt;&gt;"",U86,IF($K86=0,0,H86/$K86))</f>
        <v/>
      </c>
      <c r="P86" s="23">
        <f>IF(V86&lt;&gt;"",V86,IF($K86=0,0,I86/$K86))</f>
        <v/>
      </c>
      <c r="Q86" s="23">
        <f>IF(W86&lt;&gt;"",W86,IF($K86=0,0,J86/$K86))</f>
        <v/>
      </c>
      <c r="R86" s="24" t="n"/>
      <c r="S86" s="24" t="n"/>
      <c r="T86" s="24" t="n"/>
      <c r="U86" s="24" t="n"/>
      <c r="V86" s="24" t="n"/>
      <c r="W86" s="24" t="n"/>
    </row>
    <row r="87">
      <c r="A87" s="4" t="inlineStr">
        <is>
          <t>EF</t>
        </is>
      </c>
      <c r="B87" s="4" t="n">
        <v>2055</v>
      </c>
      <c r="C87" s="4" t="inlineStr">
        <is>
          <t>Share_Mode</t>
        </is>
      </c>
      <c r="D87" s="4">
        <f>Conversion!$B$19</f>
        <v/>
      </c>
      <c r="E87" s="23">
        <f>IF($D87="Conservative",IF(INDEX(Report_Scenarios!$A$7:$A$13,MIN(MATCH(MEDIAN($B87-Conversion!$B$14,2020,2050),Report_Scenarios!$A$7:$A$13,1)+1,7))=INDEX(Report_Scenarios!$A$7:$A$13,MATCH(MEDIAN($B87-Conversion!$B$14,2020,2050),Report_Scenarios!$A$7:$A$13,1)),INDEX(Report_Scenarios!$B$7:$B$13,MATCH(MEDIAN($B87-Conversion!$B$14,2020,2050),Report_Scenarios!$A$7:$A$13,1)),INDEX(Report_Scenarios!$B$7:$B$13,MATCH(MEDIAN($B87-Conversion!$B$14,2020,2050),Report_Scenarios!$A$7:$A$13,1))+(INDEX(Report_Scenarios!$B$7:$B$13,MIN(MATCH(MEDIAN($B87-Conversion!$B$14,2020,2050),Report_Scenarios!$A$7:$A$13,1)+1,7))-INDEX(Report_Scenarios!$B$7:$B$13,MATCH(MEDIAN($B87-Conversion!$B$14,2020,2050),Report_Scenarios!$A$7:$A$13,1)))*(MEDIAN($B87-Conversion!$B$14,2020,2050)-INDEX(Report_Scenarios!$A$7:$A$13,MATCH(MEDIAN($B87-Conversion!$B$14,2020,2050),Report_Scenarios!$A$7:$A$13,1)))/(INDEX(Report_Scenarios!$A$7:$A$13,MIN(MATCH(MEDIAN($B87-Conversion!$B$14,2020,2050),Report_Scenarios!$A$7:$A$13,1)+1,7))-INDEX(Report_Scenarios!$A$7:$A$13,MATCH(MEDIAN($B87-Conversion!$B$14,2020,2050),Report_Scenarios!$A$7:$A$13,1)))),IF($D87="Central",IF(INDEX(Report_Scenarios!$A$18:$A$24,MIN(MATCH(MEDIAN($B87-Conversion!$B$14,2020,2050),Report_Scenarios!$A$18:$A$24,1)+1,7))=INDEX(Report_Scenarios!$A$18:$A$24,MATCH(MEDIAN($B87-Conversion!$B$14,2020,2050),Report_Scenarios!$A$18:$A$24,1)),INDEX(Report_Scenarios!$B$18:$B$24,MATCH(MEDIAN($B87-Conversion!$B$14,2020,2050),Report_Scenarios!$A$18:$A$24,1)),INDEX(Report_Scenarios!$B$18:$B$24,MATCH(MEDIAN($B87-Conversion!$B$14,2020,2050),Report_Scenarios!$A$18:$A$24,1))+(INDEX(Report_Scenarios!$B$18:$B$24,MIN(MATCH(MEDIAN($B87-Conversion!$B$14,2020,2050),Report_Scenarios!$A$18:$A$24,1)+1,7))-INDEX(Report_Scenarios!$B$18:$B$24,MATCH(MEDIAN($B87-Conversion!$B$14,2020,2050),Report_Scenarios!$A$18:$A$24,1)))*(MEDIAN($B87-Conversion!$B$14,2020,2050)-INDEX(Report_Scenarios!$A$18:$A$24,MATCH(MEDIAN($B87-Conversion!$B$14,2020,2050),Report_Scenarios!$A$18:$A$24,1)))/(INDEX(Report_Scenarios!$A$18:$A$24,MIN(MATCH(MEDIAN($B87-Conversion!$B$14,2020,2050),Report_Scenarios!$A$18:$A$24,1)+1,7))-INDEX(Report_Scenarios!$A$18:$A$24,MATCH(MEDIAN($B87-Conversion!$B$14,2020,2050),Report_Scenarios!$A$18:$A$24,1)))),IF(INDEX(Report_Scenarios!$A$29:$A$35,MIN(MATCH(MEDIAN($B87-Conversion!$B$14,2020,2050),Report_Scenarios!$A$29:$A$35,1)+1,7))=INDEX(Report_Scenarios!$A$29:$A$35,MATCH(MEDIAN($B87-Conversion!$B$14,2020,2050),Report_Scenarios!$A$29:$A$35,1)),INDEX(Report_Scenarios!$B$29:$B$35,MATCH(MEDIAN($B87-Conversion!$B$14,2020,2050),Report_Scenarios!$A$29:$A$35,1)),INDEX(Report_Scenarios!$B$29:$B$35,MATCH(MEDIAN($B87-Conversion!$B$14,2020,2050),Report_Scenarios!$A$29:$A$35,1))+(INDEX(Report_Scenarios!$B$29:$B$35,MIN(MATCH(MEDIAN($B87-Conversion!$B$14,2020,2050),Report_Scenarios!$A$29:$A$35,1)+1,7))-INDEX(Report_Scenarios!$B$29:$B$35,MATCH(MEDIAN($B87-Conversion!$B$14,2020,2050),Report_Scenarios!$A$29:$A$35,1)))*(MEDIAN($B87-Conversion!$B$14,2020,2050)-INDEX(Report_Scenarios!$A$29:$A$35,MATCH(MEDIAN($B87-Conversion!$B$14,2020,2050),Report_Scenarios!$A$29:$A$35,1)))/(INDEX(Report_Scenarios!$A$29:$A$35,MIN(MATCH(MEDIAN($B87-Conversion!$B$14,2020,2050),Report_Scenarios!$A$29:$A$35,1)+1,7))-INDEX(Report_Scenarios!$A$29:$A$35,MATCH(MEDIAN($B87-Conversion!$B$14,2020,2050),Report_Scenarios!$A$29:$A$35,1))))))</f>
        <v/>
      </c>
      <c r="F87" s="23">
        <f>IF($D87="Conservative",IF(INDEX(Report_Scenarios!$A$7:$A$13,MIN(MATCH(MEDIAN($B87-Conversion!$B$14,2020,2050),Report_Scenarios!$A$7:$A$13,1)+1,7))=INDEX(Report_Scenarios!$A$7:$A$13,MATCH(MEDIAN($B87-Conversion!$B$14,2020,2050),Report_Scenarios!$A$7:$A$13,1)),INDEX(Report_Scenarios!$C$7:$C$13,MATCH(MEDIAN($B87-Conversion!$B$14,2020,2050),Report_Scenarios!$A$7:$A$13,1)),INDEX(Report_Scenarios!$C$7:$C$13,MATCH(MEDIAN($B87-Conversion!$B$14,2020,2050),Report_Scenarios!$A$7:$A$13,1))+(INDEX(Report_Scenarios!$C$7:$C$13,MIN(MATCH(MEDIAN($B87-Conversion!$B$14,2020,2050),Report_Scenarios!$A$7:$A$13,1)+1,7))-INDEX(Report_Scenarios!$C$7:$C$13,MATCH(MEDIAN($B87-Conversion!$B$14,2020,2050),Report_Scenarios!$A$7:$A$13,1)))*(MEDIAN($B87-Conversion!$B$14,2020,2050)-INDEX(Report_Scenarios!$A$7:$A$13,MATCH(MEDIAN($B87-Conversion!$B$14,2020,2050),Report_Scenarios!$A$7:$A$13,1)))/(INDEX(Report_Scenarios!$A$7:$A$13,MIN(MATCH(MEDIAN($B87-Conversion!$B$14,2020,2050),Report_Scenarios!$A$7:$A$13,1)+1,7))-INDEX(Report_Scenarios!$A$7:$A$13,MATCH(MEDIAN($B87-Conversion!$B$14,2020,2050),Report_Scenarios!$A$7:$A$13,1)))),IF($D87="Central",IF(INDEX(Report_Scenarios!$A$18:$A$24,MIN(MATCH(MEDIAN($B87-Conversion!$B$14,2020,2050),Report_Scenarios!$A$18:$A$24,1)+1,7))=INDEX(Report_Scenarios!$A$18:$A$24,MATCH(MEDIAN($B87-Conversion!$B$14,2020,2050),Report_Scenarios!$A$18:$A$24,1)),INDEX(Report_Scenarios!$C$18:$C$24,MATCH(MEDIAN($B87-Conversion!$B$14,2020,2050),Report_Scenarios!$A$18:$A$24,1)),INDEX(Report_Scenarios!$C$18:$C$24,MATCH(MEDIAN($B87-Conversion!$B$14,2020,2050),Report_Scenarios!$A$18:$A$24,1))+(INDEX(Report_Scenarios!$C$18:$C$24,MIN(MATCH(MEDIAN($B87-Conversion!$B$14,2020,2050),Report_Scenarios!$A$18:$A$24,1)+1,7))-INDEX(Report_Scenarios!$C$18:$C$24,MATCH(MEDIAN($B87-Conversion!$B$14,2020,2050),Report_Scenarios!$A$18:$A$24,1)))*(MEDIAN($B87-Conversion!$B$14,2020,2050)-INDEX(Report_Scenarios!$A$18:$A$24,MATCH(MEDIAN($B87-Conversion!$B$14,2020,2050),Report_Scenarios!$A$18:$A$24,1)))/(INDEX(Report_Scenarios!$A$18:$A$24,MIN(MATCH(MEDIAN($B87-Conversion!$B$14,2020,2050),Report_Scenarios!$A$18:$A$24,1)+1,7))-INDEX(Report_Scenarios!$A$18:$A$24,MATCH(MEDIAN($B87-Conversion!$B$14,2020,2050),Report_Scenarios!$A$18:$A$24,1)))),IF(INDEX(Report_Scenarios!$A$29:$A$35,MIN(MATCH(MEDIAN($B87-Conversion!$B$14,2020,2050),Report_Scenarios!$A$29:$A$35,1)+1,7))=INDEX(Report_Scenarios!$A$29:$A$35,MATCH(MEDIAN($B87-Conversion!$B$14,2020,2050),Report_Scenarios!$A$29:$A$35,1)),INDEX(Report_Scenarios!$C$29:$C$35,MATCH(MEDIAN($B87-Conversion!$B$14,2020,2050),Report_Scenarios!$A$29:$A$35,1)),INDEX(Report_Scenarios!$C$29:$C$35,MATCH(MEDIAN($B87-Conversion!$B$14,2020,2050),Report_Scenarios!$A$29:$A$35,1))+(INDEX(Report_Scenarios!$C$29:$C$35,MIN(MATCH(MEDIAN($B87-Conversion!$B$14,2020,2050),Report_Scenarios!$A$29:$A$35,1)+1,7))-INDEX(Report_Scenarios!$C$29:$C$35,MATCH(MEDIAN($B87-Conversion!$B$14,2020,2050),Report_Scenarios!$A$29:$A$35,1)))*(MEDIAN($B87-Conversion!$B$14,2020,2050)-INDEX(Report_Scenarios!$A$29:$A$35,MATCH(MEDIAN($B87-Conversion!$B$14,2020,2050),Report_Scenarios!$A$29:$A$35,1)))/(INDEX(Report_Scenarios!$A$29:$A$35,MIN(MATCH(MEDIAN($B87-Conversion!$B$14,2020,2050),Report_Scenarios!$A$29:$A$35,1)+1,7))-INDEX(Report_Scenarios!$A$29:$A$35,MATCH(MEDIAN($B87-Conversion!$B$14,2020,2050),Report_Scenarios!$A$29:$A$35,1))))))</f>
        <v/>
      </c>
      <c r="G87" s="23">
        <f>IF($D87="Conservative",IF(INDEX(Report_Scenarios!$A$7:$A$13,MIN(MATCH(MEDIAN($B87-Conversion!$B$14,2020,2050),Report_Scenarios!$A$7:$A$13,1)+1,7))=INDEX(Report_Scenarios!$A$7:$A$13,MATCH(MEDIAN($B87-Conversion!$B$14,2020,2050),Report_Scenarios!$A$7:$A$13,1)),INDEX(Report_Scenarios!$D$7:$D$13,MATCH(MEDIAN($B87-Conversion!$B$14,2020,2050),Report_Scenarios!$A$7:$A$13,1)),INDEX(Report_Scenarios!$D$7:$D$13,MATCH(MEDIAN($B87-Conversion!$B$14,2020,2050),Report_Scenarios!$A$7:$A$13,1))+(INDEX(Report_Scenarios!$D$7:$D$13,MIN(MATCH(MEDIAN($B87-Conversion!$B$14,2020,2050),Report_Scenarios!$A$7:$A$13,1)+1,7))-INDEX(Report_Scenarios!$D$7:$D$13,MATCH(MEDIAN($B87-Conversion!$B$14,2020,2050),Report_Scenarios!$A$7:$A$13,1)))*(MEDIAN($B87-Conversion!$B$14,2020,2050)-INDEX(Report_Scenarios!$A$7:$A$13,MATCH(MEDIAN($B87-Conversion!$B$14,2020,2050),Report_Scenarios!$A$7:$A$13,1)))/(INDEX(Report_Scenarios!$A$7:$A$13,MIN(MATCH(MEDIAN($B87-Conversion!$B$14,2020,2050),Report_Scenarios!$A$7:$A$13,1)+1,7))-INDEX(Report_Scenarios!$A$7:$A$13,MATCH(MEDIAN($B87-Conversion!$B$14,2020,2050),Report_Scenarios!$A$7:$A$13,1)))),IF($D87="Central",IF(INDEX(Report_Scenarios!$A$18:$A$24,MIN(MATCH(MEDIAN($B87-Conversion!$B$14,2020,2050),Report_Scenarios!$A$18:$A$24,1)+1,7))=INDEX(Report_Scenarios!$A$18:$A$24,MATCH(MEDIAN($B87-Conversion!$B$14,2020,2050),Report_Scenarios!$A$18:$A$24,1)),INDEX(Report_Scenarios!$D$18:$D$24,MATCH(MEDIAN($B87-Conversion!$B$14,2020,2050),Report_Scenarios!$A$18:$A$24,1)),INDEX(Report_Scenarios!$D$18:$D$24,MATCH(MEDIAN($B87-Conversion!$B$14,2020,2050),Report_Scenarios!$A$18:$A$24,1))+(INDEX(Report_Scenarios!$D$18:$D$24,MIN(MATCH(MEDIAN($B87-Conversion!$B$14,2020,2050),Report_Scenarios!$A$18:$A$24,1)+1,7))-INDEX(Report_Scenarios!$D$18:$D$24,MATCH(MEDIAN($B87-Conversion!$B$14,2020,2050),Report_Scenarios!$A$18:$A$24,1)))*(MEDIAN($B87-Conversion!$B$14,2020,2050)-INDEX(Report_Scenarios!$A$18:$A$24,MATCH(MEDIAN($B87-Conversion!$B$14,2020,2050),Report_Scenarios!$A$18:$A$24,1)))/(INDEX(Report_Scenarios!$A$18:$A$24,MIN(MATCH(MEDIAN($B87-Conversion!$B$14,2020,2050),Report_Scenarios!$A$18:$A$24,1)+1,7))-INDEX(Report_Scenarios!$A$18:$A$24,MATCH(MEDIAN($B87-Conversion!$B$14,2020,2050),Report_Scenarios!$A$18:$A$24,1)))),IF(INDEX(Report_Scenarios!$A$29:$A$35,MIN(MATCH(MEDIAN($B87-Conversion!$B$14,2020,2050),Report_Scenarios!$A$29:$A$35,1)+1,7))=INDEX(Report_Scenarios!$A$29:$A$35,MATCH(MEDIAN($B87-Conversion!$B$14,2020,2050),Report_Scenarios!$A$29:$A$35,1)),INDEX(Report_Scenarios!$D$29:$D$35,MATCH(MEDIAN($B87-Conversion!$B$14,2020,2050),Report_Scenarios!$A$29:$A$35,1)),INDEX(Report_Scenarios!$D$29:$D$35,MATCH(MEDIAN($B87-Conversion!$B$14,2020,2050),Report_Scenarios!$A$29:$A$35,1))+(INDEX(Report_Scenarios!$D$29:$D$35,MIN(MATCH(MEDIAN($B87-Conversion!$B$14,2020,2050),Report_Scenarios!$A$29:$A$35,1)+1,7))-INDEX(Report_Scenarios!$D$29:$D$35,MATCH(MEDIAN($B87-Conversion!$B$14,2020,2050),Report_Scenarios!$A$29:$A$35,1)))*(MEDIAN($B87-Conversion!$B$14,2020,2050)-INDEX(Report_Scenarios!$A$29:$A$35,MATCH(MEDIAN($B87-Conversion!$B$14,2020,2050),Report_Scenarios!$A$29:$A$35,1)))/(INDEX(Report_Scenarios!$A$29:$A$35,MIN(MATCH(MEDIAN($B87-Conversion!$B$14,2020,2050),Report_Scenarios!$A$29:$A$35,1)+1,7))-INDEX(Report_Scenarios!$A$29:$A$35,MATCH(MEDIAN($B87-Conversion!$B$14,2020,2050),Report_Scenarios!$A$29:$A$35,1))))))</f>
        <v/>
      </c>
      <c r="H87" s="23">
        <f>IF($D87="Conservative",IF(INDEX(Report_Scenarios!$A$7:$A$13,MIN(MATCH(MEDIAN($B87-Conversion!$B$14,2020,2050),Report_Scenarios!$A$7:$A$13,1)+1,7))=INDEX(Report_Scenarios!$A$7:$A$13,MATCH(MEDIAN($B87-Conversion!$B$14,2020,2050),Report_Scenarios!$A$7:$A$13,1)),INDEX(Report_Scenarios!$E$7:$E$13,MATCH(MEDIAN($B87-Conversion!$B$14,2020,2050),Report_Scenarios!$A$7:$A$13,1)),INDEX(Report_Scenarios!$E$7:$E$13,MATCH(MEDIAN($B87-Conversion!$B$14,2020,2050),Report_Scenarios!$A$7:$A$13,1))+(INDEX(Report_Scenarios!$E$7:$E$13,MIN(MATCH(MEDIAN($B87-Conversion!$B$14,2020,2050),Report_Scenarios!$A$7:$A$13,1)+1,7))-INDEX(Report_Scenarios!$E$7:$E$13,MATCH(MEDIAN($B87-Conversion!$B$14,2020,2050),Report_Scenarios!$A$7:$A$13,1)))*(MEDIAN($B87-Conversion!$B$14,2020,2050)-INDEX(Report_Scenarios!$A$7:$A$13,MATCH(MEDIAN($B87-Conversion!$B$14,2020,2050),Report_Scenarios!$A$7:$A$13,1)))/(INDEX(Report_Scenarios!$A$7:$A$13,MIN(MATCH(MEDIAN($B87-Conversion!$B$14,2020,2050),Report_Scenarios!$A$7:$A$13,1)+1,7))-INDEX(Report_Scenarios!$A$7:$A$13,MATCH(MEDIAN($B87-Conversion!$B$14,2020,2050),Report_Scenarios!$A$7:$A$13,1)))),IF($D87="Central",IF(INDEX(Report_Scenarios!$A$18:$A$24,MIN(MATCH(MEDIAN($B87-Conversion!$B$14,2020,2050),Report_Scenarios!$A$18:$A$24,1)+1,7))=INDEX(Report_Scenarios!$A$18:$A$24,MATCH(MEDIAN($B87-Conversion!$B$14,2020,2050),Report_Scenarios!$A$18:$A$24,1)),INDEX(Report_Scenarios!$E$18:$E$24,MATCH(MEDIAN($B87-Conversion!$B$14,2020,2050),Report_Scenarios!$A$18:$A$24,1)),INDEX(Report_Scenarios!$E$18:$E$24,MATCH(MEDIAN($B87-Conversion!$B$14,2020,2050),Report_Scenarios!$A$18:$A$24,1))+(INDEX(Report_Scenarios!$E$18:$E$24,MIN(MATCH(MEDIAN($B87-Conversion!$B$14,2020,2050),Report_Scenarios!$A$18:$A$24,1)+1,7))-INDEX(Report_Scenarios!$E$18:$E$24,MATCH(MEDIAN($B87-Conversion!$B$14,2020,2050),Report_Scenarios!$A$18:$A$24,1)))*(MEDIAN($B87-Conversion!$B$14,2020,2050)-INDEX(Report_Scenarios!$A$18:$A$24,MATCH(MEDIAN($B87-Conversion!$B$14,2020,2050),Report_Scenarios!$A$18:$A$24,1)))/(INDEX(Report_Scenarios!$A$18:$A$24,MIN(MATCH(MEDIAN($B87-Conversion!$B$14,2020,2050),Report_Scenarios!$A$18:$A$24,1)+1,7))-INDEX(Report_Scenarios!$A$18:$A$24,MATCH(MEDIAN($B87-Conversion!$B$14,2020,2050),Report_Scenarios!$A$18:$A$24,1)))),IF(INDEX(Report_Scenarios!$A$29:$A$35,MIN(MATCH(MEDIAN($B87-Conversion!$B$14,2020,2050),Report_Scenarios!$A$29:$A$35,1)+1,7))=INDEX(Report_Scenarios!$A$29:$A$35,MATCH(MEDIAN($B87-Conversion!$B$14,2020,2050),Report_Scenarios!$A$29:$A$35,1)),INDEX(Report_Scenarios!$E$29:$E$35,MATCH(MEDIAN($B87-Conversion!$B$14,2020,2050),Report_Scenarios!$A$29:$A$35,1)),INDEX(Report_Scenarios!$E$29:$E$35,MATCH(MEDIAN($B87-Conversion!$B$14,2020,2050),Report_Scenarios!$A$29:$A$35,1))+(INDEX(Report_Scenarios!$E$29:$E$35,MIN(MATCH(MEDIAN($B87-Conversion!$B$14,2020,2050),Report_Scenarios!$A$29:$A$35,1)+1,7))-INDEX(Report_Scenarios!$E$29:$E$35,MATCH(MEDIAN($B87-Conversion!$B$14,2020,2050),Report_Scenarios!$A$29:$A$35,1)))*(MEDIAN($B87-Conversion!$B$14,2020,2050)-INDEX(Report_Scenarios!$A$29:$A$35,MATCH(MEDIAN($B87-Conversion!$B$14,2020,2050),Report_Scenarios!$A$29:$A$35,1)))/(INDEX(Report_Scenarios!$A$29:$A$35,MIN(MATCH(MEDIAN($B87-Conversion!$B$14,2020,2050),Report_Scenarios!$A$29:$A$35,1)+1,7))-INDEX(Report_Scenarios!$A$29:$A$35,MATCH(MEDIAN($B87-Conversion!$B$14,2020,2050),Report_Scenarios!$A$29:$A$35,1))))))</f>
        <v/>
      </c>
      <c r="I87" s="23">
        <f>IF($D87="Conservative",IF(INDEX(Report_Scenarios!$A$7:$A$13,MIN(MATCH(MEDIAN($B87-Conversion!$B$14,2020,2050),Report_Scenarios!$A$7:$A$13,1)+1,7))=INDEX(Report_Scenarios!$A$7:$A$13,MATCH(MEDIAN($B87-Conversion!$B$14,2020,2050),Report_Scenarios!$A$7:$A$13,1)),INDEX(Report_Scenarios!$F$7:$F$13,MATCH(MEDIAN($B87-Conversion!$B$14,2020,2050),Report_Scenarios!$A$7:$A$13,1)),INDEX(Report_Scenarios!$F$7:$F$13,MATCH(MEDIAN($B87-Conversion!$B$14,2020,2050),Report_Scenarios!$A$7:$A$13,1))+(INDEX(Report_Scenarios!$F$7:$F$13,MIN(MATCH(MEDIAN($B87-Conversion!$B$14,2020,2050),Report_Scenarios!$A$7:$A$13,1)+1,7))-INDEX(Report_Scenarios!$F$7:$F$13,MATCH(MEDIAN($B87-Conversion!$B$14,2020,2050),Report_Scenarios!$A$7:$A$13,1)))*(MEDIAN($B87-Conversion!$B$14,2020,2050)-INDEX(Report_Scenarios!$A$7:$A$13,MATCH(MEDIAN($B87-Conversion!$B$14,2020,2050),Report_Scenarios!$A$7:$A$13,1)))/(INDEX(Report_Scenarios!$A$7:$A$13,MIN(MATCH(MEDIAN($B87-Conversion!$B$14,2020,2050),Report_Scenarios!$A$7:$A$13,1)+1,7))-INDEX(Report_Scenarios!$A$7:$A$13,MATCH(MEDIAN($B87-Conversion!$B$14,2020,2050),Report_Scenarios!$A$7:$A$13,1)))),IF($D87="Central",IF(INDEX(Report_Scenarios!$A$18:$A$24,MIN(MATCH(MEDIAN($B87-Conversion!$B$14,2020,2050),Report_Scenarios!$A$18:$A$24,1)+1,7))=INDEX(Report_Scenarios!$A$18:$A$24,MATCH(MEDIAN($B87-Conversion!$B$14,2020,2050),Report_Scenarios!$A$18:$A$24,1)),INDEX(Report_Scenarios!$F$18:$F$24,MATCH(MEDIAN($B87-Conversion!$B$14,2020,2050),Report_Scenarios!$A$18:$A$24,1)),INDEX(Report_Scenarios!$F$18:$F$24,MATCH(MEDIAN($B87-Conversion!$B$14,2020,2050),Report_Scenarios!$A$18:$A$24,1))+(INDEX(Report_Scenarios!$F$18:$F$24,MIN(MATCH(MEDIAN($B87-Conversion!$B$14,2020,2050),Report_Scenarios!$A$18:$A$24,1)+1,7))-INDEX(Report_Scenarios!$F$18:$F$24,MATCH(MEDIAN($B87-Conversion!$B$14,2020,2050),Report_Scenarios!$A$18:$A$24,1)))*(MEDIAN($B87-Conversion!$B$14,2020,2050)-INDEX(Report_Scenarios!$A$18:$A$24,MATCH(MEDIAN($B87-Conversion!$B$14,2020,2050),Report_Scenarios!$A$18:$A$24,1)))/(INDEX(Report_Scenarios!$A$18:$A$24,MIN(MATCH(MEDIAN($B87-Conversion!$B$14,2020,2050),Report_Scenarios!$A$18:$A$24,1)+1,7))-INDEX(Report_Scenarios!$A$18:$A$24,MATCH(MEDIAN($B87-Conversion!$B$14,2020,2050),Report_Scenarios!$A$18:$A$24,1)))),IF(INDEX(Report_Scenarios!$A$29:$A$35,MIN(MATCH(MEDIAN($B87-Conversion!$B$14,2020,2050),Report_Scenarios!$A$29:$A$35,1)+1,7))=INDEX(Report_Scenarios!$A$29:$A$35,MATCH(MEDIAN($B87-Conversion!$B$14,2020,2050),Report_Scenarios!$A$29:$A$35,1)),INDEX(Report_Scenarios!$F$29:$F$35,MATCH(MEDIAN($B87-Conversion!$B$14,2020,2050),Report_Scenarios!$A$29:$A$35,1)),INDEX(Report_Scenarios!$F$29:$F$35,MATCH(MEDIAN($B87-Conversion!$B$14,2020,2050),Report_Scenarios!$A$29:$A$35,1))+(INDEX(Report_Scenarios!$F$29:$F$35,MIN(MATCH(MEDIAN($B87-Conversion!$B$14,2020,2050),Report_Scenarios!$A$29:$A$35,1)+1,7))-INDEX(Report_Scenarios!$F$29:$F$35,MATCH(MEDIAN($B87-Conversion!$B$14,2020,2050),Report_Scenarios!$A$29:$A$35,1)))*(MEDIAN($B87-Conversion!$B$14,2020,2050)-INDEX(Report_Scenarios!$A$29:$A$35,MATCH(MEDIAN($B87-Conversion!$B$14,2020,2050),Report_Scenarios!$A$29:$A$35,1)))/(INDEX(Report_Scenarios!$A$29:$A$35,MIN(MATCH(MEDIAN($B87-Conversion!$B$14,2020,2050),Report_Scenarios!$A$29:$A$35,1)+1,7))-INDEX(Report_Scenarios!$A$29:$A$35,MATCH(MEDIAN($B87-Conversion!$B$14,2020,2050),Report_Scenarios!$A$29:$A$35,1))))))</f>
        <v/>
      </c>
      <c r="J87" s="23">
        <f>IF($D87="Conservative",IF(INDEX(Report_Scenarios!$A$7:$A$13,MIN(MATCH(MEDIAN($B87-Conversion!$B$14,2020,2050),Report_Scenarios!$A$7:$A$13,1)+1,7))=INDEX(Report_Scenarios!$A$7:$A$13,MATCH(MEDIAN($B87-Conversion!$B$14,2020,2050),Report_Scenarios!$A$7:$A$13,1)),INDEX(Report_Scenarios!$G$7:$G$13,MATCH(MEDIAN($B87-Conversion!$B$14,2020,2050),Report_Scenarios!$A$7:$A$13,1)),INDEX(Report_Scenarios!$G$7:$G$13,MATCH(MEDIAN($B87-Conversion!$B$14,2020,2050),Report_Scenarios!$A$7:$A$13,1))+(INDEX(Report_Scenarios!$G$7:$G$13,MIN(MATCH(MEDIAN($B87-Conversion!$B$14,2020,2050),Report_Scenarios!$A$7:$A$13,1)+1,7))-INDEX(Report_Scenarios!$G$7:$G$13,MATCH(MEDIAN($B87-Conversion!$B$14,2020,2050),Report_Scenarios!$A$7:$A$13,1)))*(MEDIAN($B87-Conversion!$B$14,2020,2050)-INDEX(Report_Scenarios!$A$7:$A$13,MATCH(MEDIAN($B87-Conversion!$B$14,2020,2050),Report_Scenarios!$A$7:$A$13,1)))/(INDEX(Report_Scenarios!$A$7:$A$13,MIN(MATCH(MEDIAN($B87-Conversion!$B$14,2020,2050),Report_Scenarios!$A$7:$A$13,1)+1,7))-INDEX(Report_Scenarios!$A$7:$A$13,MATCH(MEDIAN($B87-Conversion!$B$14,2020,2050),Report_Scenarios!$A$7:$A$13,1)))),IF($D87="Central",IF(INDEX(Report_Scenarios!$A$18:$A$24,MIN(MATCH(MEDIAN($B87-Conversion!$B$14,2020,2050),Report_Scenarios!$A$18:$A$24,1)+1,7))=INDEX(Report_Scenarios!$A$18:$A$24,MATCH(MEDIAN($B87-Conversion!$B$14,2020,2050),Report_Scenarios!$A$18:$A$24,1)),INDEX(Report_Scenarios!$G$18:$G$24,MATCH(MEDIAN($B87-Conversion!$B$14,2020,2050),Report_Scenarios!$A$18:$A$24,1)),INDEX(Report_Scenarios!$G$18:$G$24,MATCH(MEDIAN($B87-Conversion!$B$14,2020,2050),Report_Scenarios!$A$18:$A$24,1))+(INDEX(Report_Scenarios!$G$18:$G$24,MIN(MATCH(MEDIAN($B87-Conversion!$B$14,2020,2050),Report_Scenarios!$A$18:$A$24,1)+1,7))-INDEX(Report_Scenarios!$G$18:$G$24,MATCH(MEDIAN($B87-Conversion!$B$14,2020,2050),Report_Scenarios!$A$18:$A$24,1)))*(MEDIAN($B87-Conversion!$B$14,2020,2050)-INDEX(Report_Scenarios!$A$18:$A$24,MATCH(MEDIAN($B87-Conversion!$B$14,2020,2050),Report_Scenarios!$A$18:$A$24,1)))/(INDEX(Report_Scenarios!$A$18:$A$24,MIN(MATCH(MEDIAN($B87-Conversion!$B$14,2020,2050),Report_Scenarios!$A$18:$A$24,1)+1,7))-INDEX(Report_Scenarios!$A$18:$A$24,MATCH(MEDIAN($B87-Conversion!$B$14,2020,2050),Report_Scenarios!$A$18:$A$24,1)))),IF(INDEX(Report_Scenarios!$A$29:$A$35,MIN(MATCH(MEDIAN($B87-Conversion!$B$14,2020,2050),Report_Scenarios!$A$29:$A$35,1)+1,7))=INDEX(Report_Scenarios!$A$29:$A$35,MATCH(MEDIAN($B87-Conversion!$B$14,2020,2050),Report_Scenarios!$A$29:$A$35,1)),INDEX(Report_Scenarios!$G$29:$G$35,MATCH(MEDIAN($B87-Conversion!$B$14,2020,2050),Report_Scenarios!$A$29:$A$35,1)),INDEX(Report_Scenarios!$G$29:$G$35,MATCH(MEDIAN($B87-Conversion!$B$14,2020,2050),Report_Scenarios!$A$29:$A$35,1))+(INDEX(Report_Scenarios!$G$29:$G$35,MIN(MATCH(MEDIAN($B87-Conversion!$B$14,2020,2050),Report_Scenarios!$A$29:$A$35,1)+1,7))-INDEX(Report_Scenarios!$G$29:$G$35,MATCH(MEDIAN($B87-Conversion!$B$14,2020,2050),Report_Scenarios!$A$29:$A$35,1)))*(MEDIAN($B87-Conversion!$B$14,2020,2050)-INDEX(Report_Scenarios!$A$29:$A$35,MATCH(MEDIAN($B87-Conversion!$B$14,2020,2050),Report_Scenarios!$A$29:$A$35,1)))/(INDEX(Report_Scenarios!$A$29:$A$35,MIN(MATCH(MEDIAN($B87-Conversion!$B$14,2020,2050),Report_Scenarios!$A$29:$A$35,1)+1,7))-INDEX(Report_Scenarios!$A$29:$A$35,MATCH(MEDIAN($B87-Conversion!$B$14,2020,2050),Report_Scenarios!$A$29:$A$35,1))))))</f>
        <v/>
      </c>
      <c r="K87" s="23">
        <f>SUM(E87:J87)</f>
        <v/>
      </c>
      <c r="L87" s="23">
        <f>IF(R87&lt;&gt;"",R87,IF($K87=0,0,E87/$K87))</f>
        <v/>
      </c>
      <c r="M87" s="23">
        <f>IF(S87&lt;&gt;"",S87,IF($K87=0,0,F87/$K87))</f>
        <v/>
      </c>
      <c r="N87" s="23">
        <f>IF(T87&lt;&gt;"",T87,IF($K87=0,0,G87/$K87))</f>
        <v/>
      </c>
      <c r="O87" s="23">
        <f>IF(U87&lt;&gt;"",U87,IF($K87=0,0,H87/$K87))</f>
        <v/>
      </c>
      <c r="P87" s="23">
        <f>IF(V87&lt;&gt;"",V87,IF($K87=0,0,I87/$K87))</f>
        <v/>
      </c>
      <c r="Q87" s="23">
        <f>IF(W87&lt;&gt;"",W87,IF($K87=0,0,J87/$K87))</f>
        <v/>
      </c>
      <c r="R87" s="24" t="n"/>
      <c r="S87" s="24" t="n"/>
      <c r="T87" s="24" t="n"/>
      <c r="U87" s="24" t="n"/>
      <c r="V87" s="24" t="n"/>
      <c r="W87" s="24" t="n"/>
    </row>
    <row r="88">
      <c r="A88" s="4" t="inlineStr">
        <is>
          <t>EF</t>
        </is>
      </c>
      <c r="B88" s="4" t="n">
        <v>2055</v>
      </c>
      <c r="C88" s="4" t="inlineStr">
        <is>
          <t>Share_Max</t>
        </is>
      </c>
      <c r="D88" s="4">
        <f>Conversion!$B$20</f>
        <v/>
      </c>
      <c r="E88" s="23">
        <f>IF($D88="Conservative",IF(INDEX(Report_Scenarios!$A$7:$A$13,MIN(MATCH(MEDIAN($B88-Conversion!$B$14,2020,2050),Report_Scenarios!$A$7:$A$13,1)+1,7))=INDEX(Report_Scenarios!$A$7:$A$13,MATCH(MEDIAN($B88-Conversion!$B$14,2020,2050),Report_Scenarios!$A$7:$A$13,1)),INDEX(Report_Scenarios!$B$7:$B$13,MATCH(MEDIAN($B88-Conversion!$B$14,2020,2050),Report_Scenarios!$A$7:$A$13,1)),INDEX(Report_Scenarios!$B$7:$B$13,MATCH(MEDIAN($B88-Conversion!$B$14,2020,2050),Report_Scenarios!$A$7:$A$13,1))+(INDEX(Report_Scenarios!$B$7:$B$13,MIN(MATCH(MEDIAN($B88-Conversion!$B$14,2020,2050),Report_Scenarios!$A$7:$A$13,1)+1,7))-INDEX(Report_Scenarios!$B$7:$B$13,MATCH(MEDIAN($B88-Conversion!$B$14,2020,2050),Report_Scenarios!$A$7:$A$13,1)))*(MEDIAN($B88-Conversion!$B$14,2020,2050)-INDEX(Report_Scenarios!$A$7:$A$13,MATCH(MEDIAN($B88-Conversion!$B$14,2020,2050),Report_Scenarios!$A$7:$A$13,1)))/(INDEX(Report_Scenarios!$A$7:$A$13,MIN(MATCH(MEDIAN($B88-Conversion!$B$14,2020,2050),Report_Scenarios!$A$7:$A$13,1)+1,7))-INDEX(Report_Scenarios!$A$7:$A$13,MATCH(MEDIAN($B88-Conversion!$B$14,2020,2050),Report_Scenarios!$A$7:$A$13,1)))),IF($D88="Central",IF(INDEX(Report_Scenarios!$A$18:$A$24,MIN(MATCH(MEDIAN($B88-Conversion!$B$14,2020,2050),Report_Scenarios!$A$18:$A$24,1)+1,7))=INDEX(Report_Scenarios!$A$18:$A$24,MATCH(MEDIAN($B88-Conversion!$B$14,2020,2050),Report_Scenarios!$A$18:$A$24,1)),INDEX(Report_Scenarios!$B$18:$B$24,MATCH(MEDIAN($B88-Conversion!$B$14,2020,2050),Report_Scenarios!$A$18:$A$24,1)),INDEX(Report_Scenarios!$B$18:$B$24,MATCH(MEDIAN($B88-Conversion!$B$14,2020,2050),Report_Scenarios!$A$18:$A$24,1))+(INDEX(Report_Scenarios!$B$18:$B$24,MIN(MATCH(MEDIAN($B88-Conversion!$B$14,2020,2050),Report_Scenarios!$A$18:$A$24,1)+1,7))-INDEX(Report_Scenarios!$B$18:$B$24,MATCH(MEDIAN($B88-Conversion!$B$14,2020,2050),Report_Scenarios!$A$18:$A$24,1)))*(MEDIAN($B88-Conversion!$B$14,2020,2050)-INDEX(Report_Scenarios!$A$18:$A$24,MATCH(MEDIAN($B88-Conversion!$B$14,2020,2050),Report_Scenarios!$A$18:$A$24,1)))/(INDEX(Report_Scenarios!$A$18:$A$24,MIN(MATCH(MEDIAN($B88-Conversion!$B$14,2020,2050),Report_Scenarios!$A$18:$A$24,1)+1,7))-INDEX(Report_Scenarios!$A$18:$A$24,MATCH(MEDIAN($B88-Conversion!$B$14,2020,2050),Report_Scenarios!$A$18:$A$24,1)))),IF(INDEX(Report_Scenarios!$A$29:$A$35,MIN(MATCH(MEDIAN($B88-Conversion!$B$14,2020,2050),Report_Scenarios!$A$29:$A$35,1)+1,7))=INDEX(Report_Scenarios!$A$29:$A$35,MATCH(MEDIAN($B88-Conversion!$B$14,2020,2050),Report_Scenarios!$A$29:$A$35,1)),INDEX(Report_Scenarios!$B$29:$B$35,MATCH(MEDIAN($B88-Conversion!$B$14,2020,2050),Report_Scenarios!$A$29:$A$35,1)),INDEX(Report_Scenarios!$B$29:$B$35,MATCH(MEDIAN($B88-Conversion!$B$14,2020,2050),Report_Scenarios!$A$29:$A$35,1))+(INDEX(Report_Scenarios!$B$29:$B$35,MIN(MATCH(MEDIAN($B88-Conversion!$B$14,2020,2050),Report_Scenarios!$A$29:$A$35,1)+1,7))-INDEX(Report_Scenarios!$B$29:$B$35,MATCH(MEDIAN($B88-Conversion!$B$14,2020,2050),Report_Scenarios!$A$29:$A$35,1)))*(MEDIAN($B88-Conversion!$B$14,2020,2050)-INDEX(Report_Scenarios!$A$29:$A$35,MATCH(MEDIAN($B88-Conversion!$B$14,2020,2050),Report_Scenarios!$A$29:$A$35,1)))/(INDEX(Report_Scenarios!$A$29:$A$35,MIN(MATCH(MEDIAN($B88-Conversion!$B$14,2020,2050),Report_Scenarios!$A$29:$A$35,1)+1,7))-INDEX(Report_Scenarios!$A$29:$A$35,MATCH(MEDIAN($B88-Conversion!$B$14,2020,2050),Report_Scenarios!$A$29:$A$35,1))))))</f>
        <v/>
      </c>
      <c r="F88" s="23">
        <f>IF($D88="Conservative",IF(INDEX(Report_Scenarios!$A$7:$A$13,MIN(MATCH(MEDIAN($B88-Conversion!$B$14,2020,2050),Report_Scenarios!$A$7:$A$13,1)+1,7))=INDEX(Report_Scenarios!$A$7:$A$13,MATCH(MEDIAN($B88-Conversion!$B$14,2020,2050),Report_Scenarios!$A$7:$A$13,1)),INDEX(Report_Scenarios!$C$7:$C$13,MATCH(MEDIAN($B88-Conversion!$B$14,2020,2050),Report_Scenarios!$A$7:$A$13,1)),INDEX(Report_Scenarios!$C$7:$C$13,MATCH(MEDIAN($B88-Conversion!$B$14,2020,2050),Report_Scenarios!$A$7:$A$13,1))+(INDEX(Report_Scenarios!$C$7:$C$13,MIN(MATCH(MEDIAN($B88-Conversion!$B$14,2020,2050),Report_Scenarios!$A$7:$A$13,1)+1,7))-INDEX(Report_Scenarios!$C$7:$C$13,MATCH(MEDIAN($B88-Conversion!$B$14,2020,2050),Report_Scenarios!$A$7:$A$13,1)))*(MEDIAN($B88-Conversion!$B$14,2020,2050)-INDEX(Report_Scenarios!$A$7:$A$13,MATCH(MEDIAN($B88-Conversion!$B$14,2020,2050),Report_Scenarios!$A$7:$A$13,1)))/(INDEX(Report_Scenarios!$A$7:$A$13,MIN(MATCH(MEDIAN($B88-Conversion!$B$14,2020,2050),Report_Scenarios!$A$7:$A$13,1)+1,7))-INDEX(Report_Scenarios!$A$7:$A$13,MATCH(MEDIAN($B88-Conversion!$B$14,2020,2050),Report_Scenarios!$A$7:$A$13,1)))),IF($D88="Central",IF(INDEX(Report_Scenarios!$A$18:$A$24,MIN(MATCH(MEDIAN($B88-Conversion!$B$14,2020,2050),Report_Scenarios!$A$18:$A$24,1)+1,7))=INDEX(Report_Scenarios!$A$18:$A$24,MATCH(MEDIAN($B88-Conversion!$B$14,2020,2050),Report_Scenarios!$A$18:$A$24,1)),INDEX(Report_Scenarios!$C$18:$C$24,MATCH(MEDIAN($B88-Conversion!$B$14,2020,2050),Report_Scenarios!$A$18:$A$24,1)),INDEX(Report_Scenarios!$C$18:$C$24,MATCH(MEDIAN($B88-Conversion!$B$14,2020,2050),Report_Scenarios!$A$18:$A$24,1))+(INDEX(Report_Scenarios!$C$18:$C$24,MIN(MATCH(MEDIAN($B88-Conversion!$B$14,2020,2050),Report_Scenarios!$A$18:$A$24,1)+1,7))-INDEX(Report_Scenarios!$C$18:$C$24,MATCH(MEDIAN($B88-Conversion!$B$14,2020,2050),Report_Scenarios!$A$18:$A$24,1)))*(MEDIAN($B88-Conversion!$B$14,2020,2050)-INDEX(Report_Scenarios!$A$18:$A$24,MATCH(MEDIAN($B88-Conversion!$B$14,2020,2050),Report_Scenarios!$A$18:$A$24,1)))/(INDEX(Report_Scenarios!$A$18:$A$24,MIN(MATCH(MEDIAN($B88-Conversion!$B$14,2020,2050),Report_Scenarios!$A$18:$A$24,1)+1,7))-INDEX(Report_Scenarios!$A$18:$A$24,MATCH(MEDIAN($B88-Conversion!$B$14,2020,2050),Report_Scenarios!$A$18:$A$24,1)))),IF(INDEX(Report_Scenarios!$A$29:$A$35,MIN(MATCH(MEDIAN($B88-Conversion!$B$14,2020,2050),Report_Scenarios!$A$29:$A$35,1)+1,7))=INDEX(Report_Scenarios!$A$29:$A$35,MATCH(MEDIAN($B88-Conversion!$B$14,2020,2050),Report_Scenarios!$A$29:$A$35,1)),INDEX(Report_Scenarios!$C$29:$C$35,MATCH(MEDIAN($B88-Conversion!$B$14,2020,2050),Report_Scenarios!$A$29:$A$35,1)),INDEX(Report_Scenarios!$C$29:$C$35,MATCH(MEDIAN($B88-Conversion!$B$14,2020,2050),Report_Scenarios!$A$29:$A$35,1))+(INDEX(Report_Scenarios!$C$29:$C$35,MIN(MATCH(MEDIAN($B88-Conversion!$B$14,2020,2050),Report_Scenarios!$A$29:$A$35,1)+1,7))-INDEX(Report_Scenarios!$C$29:$C$35,MATCH(MEDIAN($B88-Conversion!$B$14,2020,2050),Report_Scenarios!$A$29:$A$35,1)))*(MEDIAN($B88-Conversion!$B$14,2020,2050)-INDEX(Report_Scenarios!$A$29:$A$35,MATCH(MEDIAN($B88-Conversion!$B$14,2020,2050),Report_Scenarios!$A$29:$A$35,1)))/(INDEX(Report_Scenarios!$A$29:$A$35,MIN(MATCH(MEDIAN($B88-Conversion!$B$14,2020,2050),Report_Scenarios!$A$29:$A$35,1)+1,7))-INDEX(Report_Scenarios!$A$29:$A$35,MATCH(MEDIAN($B88-Conversion!$B$14,2020,2050),Report_Scenarios!$A$29:$A$35,1))))))</f>
        <v/>
      </c>
      <c r="G88" s="23">
        <f>IF($D88="Conservative",IF(INDEX(Report_Scenarios!$A$7:$A$13,MIN(MATCH(MEDIAN($B88-Conversion!$B$14,2020,2050),Report_Scenarios!$A$7:$A$13,1)+1,7))=INDEX(Report_Scenarios!$A$7:$A$13,MATCH(MEDIAN($B88-Conversion!$B$14,2020,2050),Report_Scenarios!$A$7:$A$13,1)),INDEX(Report_Scenarios!$D$7:$D$13,MATCH(MEDIAN($B88-Conversion!$B$14,2020,2050),Report_Scenarios!$A$7:$A$13,1)),INDEX(Report_Scenarios!$D$7:$D$13,MATCH(MEDIAN($B88-Conversion!$B$14,2020,2050),Report_Scenarios!$A$7:$A$13,1))+(INDEX(Report_Scenarios!$D$7:$D$13,MIN(MATCH(MEDIAN($B88-Conversion!$B$14,2020,2050),Report_Scenarios!$A$7:$A$13,1)+1,7))-INDEX(Report_Scenarios!$D$7:$D$13,MATCH(MEDIAN($B88-Conversion!$B$14,2020,2050),Report_Scenarios!$A$7:$A$13,1)))*(MEDIAN($B88-Conversion!$B$14,2020,2050)-INDEX(Report_Scenarios!$A$7:$A$13,MATCH(MEDIAN($B88-Conversion!$B$14,2020,2050),Report_Scenarios!$A$7:$A$13,1)))/(INDEX(Report_Scenarios!$A$7:$A$13,MIN(MATCH(MEDIAN($B88-Conversion!$B$14,2020,2050),Report_Scenarios!$A$7:$A$13,1)+1,7))-INDEX(Report_Scenarios!$A$7:$A$13,MATCH(MEDIAN($B88-Conversion!$B$14,2020,2050),Report_Scenarios!$A$7:$A$13,1)))),IF($D88="Central",IF(INDEX(Report_Scenarios!$A$18:$A$24,MIN(MATCH(MEDIAN($B88-Conversion!$B$14,2020,2050),Report_Scenarios!$A$18:$A$24,1)+1,7))=INDEX(Report_Scenarios!$A$18:$A$24,MATCH(MEDIAN($B88-Conversion!$B$14,2020,2050),Report_Scenarios!$A$18:$A$24,1)),INDEX(Report_Scenarios!$D$18:$D$24,MATCH(MEDIAN($B88-Conversion!$B$14,2020,2050),Report_Scenarios!$A$18:$A$24,1)),INDEX(Report_Scenarios!$D$18:$D$24,MATCH(MEDIAN($B88-Conversion!$B$14,2020,2050),Report_Scenarios!$A$18:$A$24,1))+(INDEX(Report_Scenarios!$D$18:$D$24,MIN(MATCH(MEDIAN($B88-Conversion!$B$14,2020,2050),Report_Scenarios!$A$18:$A$24,1)+1,7))-INDEX(Report_Scenarios!$D$18:$D$24,MATCH(MEDIAN($B88-Conversion!$B$14,2020,2050),Report_Scenarios!$A$18:$A$24,1)))*(MEDIAN($B88-Conversion!$B$14,2020,2050)-INDEX(Report_Scenarios!$A$18:$A$24,MATCH(MEDIAN($B88-Conversion!$B$14,2020,2050),Report_Scenarios!$A$18:$A$24,1)))/(INDEX(Report_Scenarios!$A$18:$A$24,MIN(MATCH(MEDIAN($B88-Conversion!$B$14,2020,2050),Report_Scenarios!$A$18:$A$24,1)+1,7))-INDEX(Report_Scenarios!$A$18:$A$24,MATCH(MEDIAN($B88-Conversion!$B$14,2020,2050),Report_Scenarios!$A$18:$A$24,1)))),IF(INDEX(Report_Scenarios!$A$29:$A$35,MIN(MATCH(MEDIAN($B88-Conversion!$B$14,2020,2050),Report_Scenarios!$A$29:$A$35,1)+1,7))=INDEX(Report_Scenarios!$A$29:$A$35,MATCH(MEDIAN($B88-Conversion!$B$14,2020,2050),Report_Scenarios!$A$29:$A$35,1)),INDEX(Report_Scenarios!$D$29:$D$35,MATCH(MEDIAN($B88-Conversion!$B$14,2020,2050),Report_Scenarios!$A$29:$A$35,1)),INDEX(Report_Scenarios!$D$29:$D$35,MATCH(MEDIAN($B88-Conversion!$B$14,2020,2050),Report_Scenarios!$A$29:$A$35,1))+(INDEX(Report_Scenarios!$D$29:$D$35,MIN(MATCH(MEDIAN($B88-Conversion!$B$14,2020,2050),Report_Scenarios!$A$29:$A$35,1)+1,7))-INDEX(Report_Scenarios!$D$29:$D$35,MATCH(MEDIAN($B88-Conversion!$B$14,2020,2050),Report_Scenarios!$A$29:$A$35,1)))*(MEDIAN($B88-Conversion!$B$14,2020,2050)-INDEX(Report_Scenarios!$A$29:$A$35,MATCH(MEDIAN($B88-Conversion!$B$14,2020,2050),Report_Scenarios!$A$29:$A$35,1)))/(INDEX(Report_Scenarios!$A$29:$A$35,MIN(MATCH(MEDIAN($B88-Conversion!$B$14,2020,2050),Report_Scenarios!$A$29:$A$35,1)+1,7))-INDEX(Report_Scenarios!$A$29:$A$35,MATCH(MEDIAN($B88-Conversion!$B$14,2020,2050),Report_Scenarios!$A$29:$A$35,1))))))</f>
        <v/>
      </c>
      <c r="H88" s="23">
        <f>IF($D88="Conservative",IF(INDEX(Report_Scenarios!$A$7:$A$13,MIN(MATCH(MEDIAN($B88-Conversion!$B$14,2020,2050),Report_Scenarios!$A$7:$A$13,1)+1,7))=INDEX(Report_Scenarios!$A$7:$A$13,MATCH(MEDIAN($B88-Conversion!$B$14,2020,2050),Report_Scenarios!$A$7:$A$13,1)),INDEX(Report_Scenarios!$E$7:$E$13,MATCH(MEDIAN($B88-Conversion!$B$14,2020,2050),Report_Scenarios!$A$7:$A$13,1)),INDEX(Report_Scenarios!$E$7:$E$13,MATCH(MEDIAN($B88-Conversion!$B$14,2020,2050),Report_Scenarios!$A$7:$A$13,1))+(INDEX(Report_Scenarios!$E$7:$E$13,MIN(MATCH(MEDIAN($B88-Conversion!$B$14,2020,2050),Report_Scenarios!$A$7:$A$13,1)+1,7))-INDEX(Report_Scenarios!$E$7:$E$13,MATCH(MEDIAN($B88-Conversion!$B$14,2020,2050),Report_Scenarios!$A$7:$A$13,1)))*(MEDIAN($B88-Conversion!$B$14,2020,2050)-INDEX(Report_Scenarios!$A$7:$A$13,MATCH(MEDIAN($B88-Conversion!$B$14,2020,2050),Report_Scenarios!$A$7:$A$13,1)))/(INDEX(Report_Scenarios!$A$7:$A$13,MIN(MATCH(MEDIAN($B88-Conversion!$B$14,2020,2050),Report_Scenarios!$A$7:$A$13,1)+1,7))-INDEX(Report_Scenarios!$A$7:$A$13,MATCH(MEDIAN($B88-Conversion!$B$14,2020,2050),Report_Scenarios!$A$7:$A$13,1)))),IF($D88="Central",IF(INDEX(Report_Scenarios!$A$18:$A$24,MIN(MATCH(MEDIAN($B88-Conversion!$B$14,2020,2050),Report_Scenarios!$A$18:$A$24,1)+1,7))=INDEX(Report_Scenarios!$A$18:$A$24,MATCH(MEDIAN($B88-Conversion!$B$14,2020,2050),Report_Scenarios!$A$18:$A$24,1)),INDEX(Report_Scenarios!$E$18:$E$24,MATCH(MEDIAN($B88-Conversion!$B$14,2020,2050),Report_Scenarios!$A$18:$A$24,1)),INDEX(Report_Scenarios!$E$18:$E$24,MATCH(MEDIAN($B88-Conversion!$B$14,2020,2050),Report_Scenarios!$A$18:$A$24,1))+(INDEX(Report_Scenarios!$E$18:$E$24,MIN(MATCH(MEDIAN($B88-Conversion!$B$14,2020,2050),Report_Scenarios!$A$18:$A$24,1)+1,7))-INDEX(Report_Scenarios!$E$18:$E$24,MATCH(MEDIAN($B88-Conversion!$B$14,2020,2050),Report_Scenarios!$A$18:$A$24,1)))*(MEDIAN($B88-Conversion!$B$14,2020,2050)-INDEX(Report_Scenarios!$A$18:$A$24,MATCH(MEDIAN($B88-Conversion!$B$14,2020,2050),Report_Scenarios!$A$18:$A$24,1)))/(INDEX(Report_Scenarios!$A$18:$A$24,MIN(MATCH(MEDIAN($B88-Conversion!$B$14,2020,2050),Report_Scenarios!$A$18:$A$24,1)+1,7))-INDEX(Report_Scenarios!$A$18:$A$24,MATCH(MEDIAN($B88-Conversion!$B$14,2020,2050),Report_Scenarios!$A$18:$A$24,1)))),IF(INDEX(Report_Scenarios!$A$29:$A$35,MIN(MATCH(MEDIAN($B88-Conversion!$B$14,2020,2050),Report_Scenarios!$A$29:$A$35,1)+1,7))=INDEX(Report_Scenarios!$A$29:$A$35,MATCH(MEDIAN($B88-Conversion!$B$14,2020,2050),Report_Scenarios!$A$29:$A$35,1)),INDEX(Report_Scenarios!$E$29:$E$35,MATCH(MEDIAN($B88-Conversion!$B$14,2020,2050),Report_Scenarios!$A$29:$A$35,1)),INDEX(Report_Scenarios!$E$29:$E$35,MATCH(MEDIAN($B88-Conversion!$B$14,2020,2050),Report_Scenarios!$A$29:$A$35,1))+(INDEX(Report_Scenarios!$E$29:$E$35,MIN(MATCH(MEDIAN($B88-Conversion!$B$14,2020,2050),Report_Scenarios!$A$29:$A$35,1)+1,7))-INDEX(Report_Scenarios!$E$29:$E$35,MATCH(MEDIAN($B88-Conversion!$B$14,2020,2050),Report_Scenarios!$A$29:$A$35,1)))*(MEDIAN($B88-Conversion!$B$14,2020,2050)-INDEX(Report_Scenarios!$A$29:$A$35,MATCH(MEDIAN($B88-Conversion!$B$14,2020,2050),Report_Scenarios!$A$29:$A$35,1)))/(INDEX(Report_Scenarios!$A$29:$A$35,MIN(MATCH(MEDIAN($B88-Conversion!$B$14,2020,2050),Report_Scenarios!$A$29:$A$35,1)+1,7))-INDEX(Report_Scenarios!$A$29:$A$35,MATCH(MEDIAN($B88-Conversion!$B$14,2020,2050),Report_Scenarios!$A$29:$A$35,1))))))</f>
        <v/>
      </c>
      <c r="I88" s="23">
        <f>IF($D88="Conservative",IF(INDEX(Report_Scenarios!$A$7:$A$13,MIN(MATCH(MEDIAN($B88-Conversion!$B$14,2020,2050),Report_Scenarios!$A$7:$A$13,1)+1,7))=INDEX(Report_Scenarios!$A$7:$A$13,MATCH(MEDIAN($B88-Conversion!$B$14,2020,2050),Report_Scenarios!$A$7:$A$13,1)),INDEX(Report_Scenarios!$F$7:$F$13,MATCH(MEDIAN($B88-Conversion!$B$14,2020,2050),Report_Scenarios!$A$7:$A$13,1)),INDEX(Report_Scenarios!$F$7:$F$13,MATCH(MEDIAN($B88-Conversion!$B$14,2020,2050),Report_Scenarios!$A$7:$A$13,1))+(INDEX(Report_Scenarios!$F$7:$F$13,MIN(MATCH(MEDIAN($B88-Conversion!$B$14,2020,2050),Report_Scenarios!$A$7:$A$13,1)+1,7))-INDEX(Report_Scenarios!$F$7:$F$13,MATCH(MEDIAN($B88-Conversion!$B$14,2020,2050),Report_Scenarios!$A$7:$A$13,1)))*(MEDIAN($B88-Conversion!$B$14,2020,2050)-INDEX(Report_Scenarios!$A$7:$A$13,MATCH(MEDIAN($B88-Conversion!$B$14,2020,2050),Report_Scenarios!$A$7:$A$13,1)))/(INDEX(Report_Scenarios!$A$7:$A$13,MIN(MATCH(MEDIAN($B88-Conversion!$B$14,2020,2050),Report_Scenarios!$A$7:$A$13,1)+1,7))-INDEX(Report_Scenarios!$A$7:$A$13,MATCH(MEDIAN($B88-Conversion!$B$14,2020,2050),Report_Scenarios!$A$7:$A$13,1)))),IF($D88="Central",IF(INDEX(Report_Scenarios!$A$18:$A$24,MIN(MATCH(MEDIAN($B88-Conversion!$B$14,2020,2050),Report_Scenarios!$A$18:$A$24,1)+1,7))=INDEX(Report_Scenarios!$A$18:$A$24,MATCH(MEDIAN($B88-Conversion!$B$14,2020,2050),Report_Scenarios!$A$18:$A$24,1)),INDEX(Report_Scenarios!$F$18:$F$24,MATCH(MEDIAN($B88-Conversion!$B$14,2020,2050),Report_Scenarios!$A$18:$A$24,1)),INDEX(Report_Scenarios!$F$18:$F$24,MATCH(MEDIAN($B88-Conversion!$B$14,2020,2050),Report_Scenarios!$A$18:$A$24,1))+(INDEX(Report_Scenarios!$F$18:$F$24,MIN(MATCH(MEDIAN($B88-Conversion!$B$14,2020,2050),Report_Scenarios!$A$18:$A$24,1)+1,7))-INDEX(Report_Scenarios!$F$18:$F$24,MATCH(MEDIAN($B88-Conversion!$B$14,2020,2050),Report_Scenarios!$A$18:$A$24,1)))*(MEDIAN($B88-Conversion!$B$14,2020,2050)-INDEX(Report_Scenarios!$A$18:$A$24,MATCH(MEDIAN($B88-Conversion!$B$14,2020,2050),Report_Scenarios!$A$18:$A$24,1)))/(INDEX(Report_Scenarios!$A$18:$A$24,MIN(MATCH(MEDIAN($B88-Conversion!$B$14,2020,2050),Report_Scenarios!$A$18:$A$24,1)+1,7))-INDEX(Report_Scenarios!$A$18:$A$24,MATCH(MEDIAN($B88-Conversion!$B$14,2020,2050),Report_Scenarios!$A$18:$A$24,1)))),IF(INDEX(Report_Scenarios!$A$29:$A$35,MIN(MATCH(MEDIAN($B88-Conversion!$B$14,2020,2050),Report_Scenarios!$A$29:$A$35,1)+1,7))=INDEX(Report_Scenarios!$A$29:$A$35,MATCH(MEDIAN($B88-Conversion!$B$14,2020,2050),Report_Scenarios!$A$29:$A$35,1)),INDEX(Report_Scenarios!$F$29:$F$35,MATCH(MEDIAN($B88-Conversion!$B$14,2020,2050),Report_Scenarios!$A$29:$A$35,1)),INDEX(Report_Scenarios!$F$29:$F$35,MATCH(MEDIAN($B88-Conversion!$B$14,2020,2050),Report_Scenarios!$A$29:$A$35,1))+(INDEX(Report_Scenarios!$F$29:$F$35,MIN(MATCH(MEDIAN($B88-Conversion!$B$14,2020,2050),Report_Scenarios!$A$29:$A$35,1)+1,7))-INDEX(Report_Scenarios!$F$29:$F$35,MATCH(MEDIAN($B88-Conversion!$B$14,2020,2050),Report_Scenarios!$A$29:$A$35,1)))*(MEDIAN($B88-Conversion!$B$14,2020,2050)-INDEX(Report_Scenarios!$A$29:$A$35,MATCH(MEDIAN($B88-Conversion!$B$14,2020,2050),Report_Scenarios!$A$29:$A$35,1)))/(INDEX(Report_Scenarios!$A$29:$A$35,MIN(MATCH(MEDIAN($B88-Conversion!$B$14,2020,2050),Report_Scenarios!$A$29:$A$35,1)+1,7))-INDEX(Report_Scenarios!$A$29:$A$35,MATCH(MEDIAN($B88-Conversion!$B$14,2020,2050),Report_Scenarios!$A$29:$A$35,1))))))</f>
        <v/>
      </c>
      <c r="J88" s="23">
        <f>IF($D88="Conservative",IF(INDEX(Report_Scenarios!$A$7:$A$13,MIN(MATCH(MEDIAN($B88-Conversion!$B$14,2020,2050),Report_Scenarios!$A$7:$A$13,1)+1,7))=INDEX(Report_Scenarios!$A$7:$A$13,MATCH(MEDIAN($B88-Conversion!$B$14,2020,2050),Report_Scenarios!$A$7:$A$13,1)),INDEX(Report_Scenarios!$G$7:$G$13,MATCH(MEDIAN($B88-Conversion!$B$14,2020,2050),Report_Scenarios!$A$7:$A$13,1)),INDEX(Report_Scenarios!$G$7:$G$13,MATCH(MEDIAN($B88-Conversion!$B$14,2020,2050),Report_Scenarios!$A$7:$A$13,1))+(INDEX(Report_Scenarios!$G$7:$G$13,MIN(MATCH(MEDIAN($B88-Conversion!$B$14,2020,2050),Report_Scenarios!$A$7:$A$13,1)+1,7))-INDEX(Report_Scenarios!$G$7:$G$13,MATCH(MEDIAN($B88-Conversion!$B$14,2020,2050),Report_Scenarios!$A$7:$A$13,1)))*(MEDIAN($B88-Conversion!$B$14,2020,2050)-INDEX(Report_Scenarios!$A$7:$A$13,MATCH(MEDIAN($B88-Conversion!$B$14,2020,2050),Report_Scenarios!$A$7:$A$13,1)))/(INDEX(Report_Scenarios!$A$7:$A$13,MIN(MATCH(MEDIAN($B88-Conversion!$B$14,2020,2050),Report_Scenarios!$A$7:$A$13,1)+1,7))-INDEX(Report_Scenarios!$A$7:$A$13,MATCH(MEDIAN($B88-Conversion!$B$14,2020,2050),Report_Scenarios!$A$7:$A$13,1)))),IF($D88="Central",IF(INDEX(Report_Scenarios!$A$18:$A$24,MIN(MATCH(MEDIAN($B88-Conversion!$B$14,2020,2050),Report_Scenarios!$A$18:$A$24,1)+1,7))=INDEX(Report_Scenarios!$A$18:$A$24,MATCH(MEDIAN($B88-Conversion!$B$14,2020,2050),Report_Scenarios!$A$18:$A$24,1)),INDEX(Report_Scenarios!$G$18:$G$24,MATCH(MEDIAN($B88-Conversion!$B$14,2020,2050),Report_Scenarios!$A$18:$A$24,1)),INDEX(Report_Scenarios!$G$18:$G$24,MATCH(MEDIAN($B88-Conversion!$B$14,2020,2050),Report_Scenarios!$A$18:$A$24,1))+(INDEX(Report_Scenarios!$G$18:$G$24,MIN(MATCH(MEDIAN($B88-Conversion!$B$14,2020,2050),Report_Scenarios!$A$18:$A$24,1)+1,7))-INDEX(Report_Scenarios!$G$18:$G$24,MATCH(MEDIAN($B88-Conversion!$B$14,2020,2050),Report_Scenarios!$A$18:$A$24,1)))*(MEDIAN($B88-Conversion!$B$14,2020,2050)-INDEX(Report_Scenarios!$A$18:$A$24,MATCH(MEDIAN($B88-Conversion!$B$14,2020,2050),Report_Scenarios!$A$18:$A$24,1)))/(INDEX(Report_Scenarios!$A$18:$A$24,MIN(MATCH(MEDIAN($B88-Conversion!$B$14,2020,2050),Report_Scenarios!$A$18:$A$24,1)+1,7))-INDEX(Report_Scenarios!$A$18:$A$24,MATCH(MEDIAN($B88-Conversion!$B$14,2020,2050),Report_Scenarios!$A$18:$A$24,1)))),IF(INDEX(Report_Scenarios!$A$29:$A$35,MIN(MATCH(MEDIAN($B88-Conversion!$B$14,2020,2050),Report_Scenarios!$A$29:$A$35,1)+1,7))=INDEX(Report_Scenarios!$A$29:$A$35,MATCH(MEDIAN($B88-Conversion!$B$14,2020,2050),Report_Scenarios!$A$29:$A$35,1)),INDEX(Report_Scenarios!$G$29:$G$35,MATCH(MEDIAN($B88-Conversion!$B$14,2020,2050),Report_Scenarios!$A$29:$A$35,1)),INDEX(Report_Scenarios!$G$29:$G$35,MATCH(MEDIAN($B88-Conversion!$B$14,2020,2050),Report_Scenarios!$A$29:$A$35,1))+(INDEX(Report_Scenarios!$G$29:$G$35,MIN(MATCH(MEDIAN($B88-Conversion!$B$14,2020,2050),Report_Scenarios!$A$29:$A$35,1)+1,7))-INDEX(Report_Scenarios!$G$29:$G$35,MATCH(MEDIAN($B88-Conversion!$B$14,2020,2050),Report_Scenarios!$A$29:$A$35,1)))*(MEDIAN($B88-Conversion!$B$14,2020,2050)-INDEX(Report_Scenarios!$A$29:$A$35,MATCH(MEDIAN($B88-Conversion!$B$14,2020,2050),Report_Scenarios!$A$29:$A$35,1)))/(INDEX(Report_Scenarios!$A$29:$A$35,MIN(MATCH(MEDIAN($B88-Conversion!$B$14,2020,2050),Report_Scenarios!$A$29:$A$35,1)+1,7))-INDEX(Report_Scenarios!$A$29:$A$35,MATCH(MEDIAN($B88-Conversion!$B$14,2020,2050),Report_Scenarios!$A$29:$A$35,1))))))</f>
        <v/>
      </c>
      <c r="K88" s="23">
        <f>SUM(E88:J88)</f>
        <v/>
      </c>
      <c r="L88" s="23">
        <f>IF(R88&lt;&gt;"",R88,IF($K88=0,0,E88/$K88))</f>
        <v/>
      </c>
      <c r="M88" s="23">
        <f>IF(S88&lt;&gt;"",S88,IF($K88=0,0,F88/$K88))</f>
        <v/>
      </c>
      <c r="N88" s="23">
        <f>IF(T88&lt;&gt;"",T88,IF($K88=0,0,G88/$K88))</f>
        <v/>
      </c>
      <c r="O88" s="23">
        <f>IF(U88&lt;&gt;"",U88,IF($K88=0,0,H88/$K88))</f>
        <v/>
      </c>
      <c r="P88" s="23">
        <f>IF(V88&lt;&gt;"",V88,IF($K88=0,0,I88/$K88))</f>
        <v/>
      </c>
      <c r="Q88" s="23">
        <f>IF(W88&lt;&gt;"",W88,IF($K88=0,0,J88/$K88))</f>
        <v/>
      </c>
      <c r="R88" s="24" t="n"/>
      <c r="S88" s="24" t="n"/>
      <c r="T88" s="24" t="n"/>
      <c r="U88" s="24" t="n"/>
      <c r="V88" s="24" t="n"/>
      <c r="W88" s="24" t="n"/>
    </row>
    <row r="89">
      <c r="A89" s="4" t="inlineStr">
        <is>
          <t>EF</t>
        </is>
      </c>
      <c r="B89" s="4" t="n">
        <v>2060</v>
      </c>
      <c r="C89" s="4" t="inlineStr">
        <is>
          <t>Share_Min</t>
        </is>
      </c>
      <c r="D89" s="4">
        <f>Conversion!$B$18</f>
        <v/>
      </c>
      <c r="E89" s="23">
        <f>IF($D89="Conservative",IF(INDEX(Report_Scenarios!$A$7:$A$13,MIN(MATCH(MEDIAN($B89-Conversion!$B$14,2020,2050),Report_Scenarios!$A$7:$A$13,1)+1,7))=INDEX(Report_Scenarios!$A$7:$A$13,MATCH(MEDIAN($B89-Conversion!$B$14,2020,2050),Report_Scenarios!$A$7:$A$13,1)),INDEX(Report_Scenarios!$B$7:$B$13,MATCH(MEDIAN($B89-Conversion!$B$14,2020,2050),Report_Scenarios!$A$7:$A$13,1)),INDEX(Report_Scenarios!$B$7:$B$13,MATCH(MEDIAN($B89-Conversion!$B$14,2020,2050),Report_Scenarios!$A$7:$A$13,1))+(INDEX(Report_Scenarios!$B$7:$B$13,MIN(MATCH(MEDIAN($B89-Conversion!$B$14,2020,2050),Report_Scenarios!$A$7:$A$13,1)+1,7))-INDEX(Report_Scenarios!$B$7:$B$13,MATCH(MEDIAN($B89-Conversion!$B$14,2020,2050),Report_Scenarios!$A$7:$A$13,1)))*(MEDIAN($B89-Conversion!$B$14,2020,2050)-INDEX(Report_Scenarios!$A$7:$A$13,MATCH(MEDIAN($B89-Conversion!$B$14,2020,2050),Report_Scenarios!$A$7:$A$13,1)))/(INDEX(Report_Scenarios!$A$7:$A$13,MIN(MATCH(MEDIAN($B89-Conversion!$B$14,2020,2050),Report_Scenarios!$A$7:$A$13,1)+1,7))-INDEX(Report_Scenarios!$A$7:$A$13,MATCH(MEDIAN($B89-Conversion!$B$14,2020,2050),Report_Scenarios!$A$7:$A$13,1)))),IF($D89="Central",IF(INDEX(Report_Scenarios!$A$18:$A$24,MIN(MATCH(MEDIAN($B89-Conversion!$B$14,2020,2050),Report_Scenarios!$A$18:$A$24,1)+1,7))=INDEX(Report_Scenarios!$A$18:$A$24,MATCH(MEDIAN($B89-Conversion!$B$14,2020,2050),Report_Scenarios!$A$18:$A$24,1)),INDEX(Report_Scenarios!$B$18:$B$24,MATCH(MEDIAN($B89-Conversion!$B$14,2020,2050),Report_Scenarios!$A$18:$A$24,1)),INDEX(Report_Scenarios!$B$18:$B$24,MATCH(MEDIAN($B89-Conversion!$B$14,2020,2050),Report_Scenarios!$A$18:$A$24,1))+(INDEX(Report_Scenarios!$B$18:$B$24,MIN(MATCH(MEDIAN($B89-Conversion!$B$14,2020,2050),Report_Scenarios!$A$18:$A$24,1)+1,7))-INDEX(Report_Scenarios!$B$18:$B$24,MATCH(MEDIAN($B89-Conversion!$B$14,2020,2050),Report_Scenarios!$A$18:$A$24,1)))*(MEDIAN($B89-Conversion!$B$14,2020,2050)-INDEX(Report_Scenarios!$A$18:$A$24,MATCH(MEDIAN($B89-Conversion!$B$14,2020,2050),Report_Scenarios!$A$18:$A$24,1)))/(INDEX(Report_Scenarios!$A$18:$A$24,MIN(MATCH(MEDIAN($B89-Conversion!$B$14,2020,2050),Report_Scenarios!$A$18:$A$24,1)+1,7))-INDEX(Report_Scenarios!$A$18:$A$24,MATCH(MEDIAN($B89-Conversion!$B$14,2020,2050),Report_Scenarios!$A$18:$A$24,1)))),IF(INDEX(Report_Scenarios!$A$29:$A$35,MIN(MATCH(MEDIAN($B89-Conversion!$B$14,2020,2050),Report_Scenarios!$A$29:$A$35,1)+1,7))=INDEX(Report_Scenarios!$A$29:$A$35,MATCH(MEDIAN($B89-Conversion!$B$14,2020,2050),Report_Scenarios!$A$29:$A$35,1)),INDEX(Report_Scenarios!$B$29:$B$35,MATCH(MEDIAN($B89-Conversion!$B$14,2020,2050),Report_Scenarios!$A$29:$A$35,1)),INDEX(Report_Scenarios!$B$29:$B$35,MATCH(MEDIAN($B89-Conversion!$B$14,2020,2050),Report_Scenarios!$A$29:$A$35,1))+(INDEX(Report_Scenarios!$B$29:$B$35,MIN(MATCH(MEDIAN($B89-Conversion!$B$14,2020,2050),Report_Scenarios!$A$29:$A$35,1)+1,7))-INDEX(Report_Scenarios!$B$29:$B$35,MATCH(MEDIAN($B89-Conversion!$B$14,2020,2050),Report_Scenarios!$A$29:$A$35,1)))*(MEDIAN($B89-Conversion!$B$14,2020,2050)-INDEX(Report_Scenarios!$A$29:$A$35,MATCH(MEDIAN($B89-Conversion!$B$14,2020,2050),Report_Scenarios!$A$29:$A$35,1)))/(INDEX(Report_Scenarios!$A$29:$A$35,MIN(MATCH(MEDIAN($B89-Conversion!$B$14,2020,2050),Report_Scenarios!$A$29:$A$35,1)+1,7))-INDEX(Report_Scenarios!$A$29:$A$35,MATCH(MEDIAN($B89-Conversion!$B$14,2020,2050),Report_Scenarios!$A$29:$A$35,1))))))</f>
        <v/>
      </c>
      <c r="F89" s="23">
        <f>IF($D89="Conservative",IF(INDEX(Report_Scenarios!$A$7:$A$13,MIN(MATCH(MEDIAN($B89-Conversion!$B$14,2020,2050),Report_Scenarios!$A$7:$A$13,1)+1,7))=INDEX(Report_Scenarios!$A$7:$A$13,MATCH(MEDIAN($B89-Conversion!$B$14,2020,2050),Report_Scenarios!$A$7:$A$13,1)),INDEX(Report_Scenarios!$C$7:$C$13,MATCH(MEDIAN($B89-Conversion!$B$14,2020,2050),Report_Scenarios!$A$7:$A$13,1)),INDEX(Report_Scenarios!$C$7:$C$13,MATCH(MEDIAN($B89-Conversion!$B$14,2020,2050),Report_Scenarios!$A$7:$A$13,1))+(INDEX(Report_Scenarios!$C$7:$C$13,MIN(MATCH(MEDIAN($B89-Conversion!$B$14,2020,2050),Report_Scenarios!$A$7:$A$13,1)+1,7))-INDEX(Report_Scenarios!$C$7:$C$13,MATCH(MEDIAN($B89-Conversion!$B$14,2020,2050),Report_Scenarios!$A$7:$A$13,1)))*(MEDIAN($B89-Conversion!$B$14,2020,2050)-INDEX(Report_Scenarios!$A$7:$A$13,MATCH(MEDIAN($B89-Conversion!$B$14,2020,2050),Report_Scenarios!$A$7:$A$13,1)))/(INDEX(Report_Scenarios!$A$7:$A$13,MIN(MATCH(MEDIAN($B89-Conversion!$B$14,2020,2050),Report_Scenarios!$A$7:$A$13,1)+1,7))-INDEX(Report_Scenarios!$A$7:$A$13,MATCH(MEDIAN($B89-Conversion!$B$14,2020,2050),Report_Scenarios!$A$7:$A$13,1)))),IF($D89="Central",IF(INDEX(Report_Scenarios!$A$18:$A$24,MIN(MATCH(MEDIAN($B89-Conversion!$B$14,2020,2050),Report_Scenarios!$A$18:$A$24,1)+1,7))=INDEX(Report_Scenarios!$A$18:$A$24,MATCH(MEDIAN($B89-Conversion!$B$14,2020,2050),Report_Scenarios!$A$18:$A$24,1)),INDEX(Report_Scenarios!$C$18:$C$24,MATCH(MEDIAN($B89-Conversion!$B$14,2020,2050),Report_Scenarios!$A$18:$A$24,1)),INDEX(Report_Scenarios!$C$18:$C$24,MATCH(MEDIAN($B89-Conversion!$B$14,2020,2050),Report_Scenarios!$A$18:$A$24,1))+(INDEX(Report_Scenarios!$C$18:$C$24,MIN(MATCH(MEDIAN($B89-Conversion!$B$14,2020,2050),Report_Scenarios!$A$18:$A$24,1)+1,7))-INDEX(Report_Scenarios!$C$18:$C$24,MATCH(MEDIAN($B89-Conversion!$B$14,2020,2050),Report_Scenarios!$A$18:$A$24,1)))*(MEDIAN($B89-Conversion!$B$14,2020,2050)-INDEX(Report_Scenarios!$A$18:$A$24,MATCH(MEDIAN($B89-Conversion!$B$14,2020,2050),Report_Scenarios!$A$18:$A$24,1)))/(INDEX(Report_Scenarios!$A$18:$A$24,MIN(MATCH(MEDIAN($B89-Conversion!$B$14,2020,2050),Report_Scenarios!$A$18:$A$24,1)+1,7))-INDEX(Report_Scenarios!$A$18:$A$24,MATCH(MEDIAN($B89-Conversion!$B$14,2020,2050),Report_Scenarios!$A$18:$A$24,1)))),IF(INDEX(Report_Scenarios!$A$29:$A$35,MIN(MATCH(MEDIAN($B89-Conversion!$B$14,2020,2050),Report_Scenarios!$A$29:$A$35,1)+1,7))=INDEX(Report_Scenarios!$A$29:$A$35,MATCH(MEDIAN($B89-Conversion!$B$14,2020,2050),Report_Scenarios!$A$29:$A$35,1)),INDEX(Report_Scenarios!$C$29:$C$35,MATCH(MEDIAN($B89-Conversion!$B$14,2020,2050),Report_Scenarios!$A$29:$A$35,1)),INDEX(Report_Scenarios!$C$29:$C$35,MATCH(MEDIAN($B89-Conversion!$B$14,2020,2050),Report_Scenarios!$A$29:$A$35,1))+(INDEX(Report_Scenarios!$C$29:$C$35,MIN(MATCH(MEDIAN($B89-Conversion!$B$14,2020,2050),Report_Scenarios!$A$29:$A$35,1)+1,7))-INDEX(Report_Scenarios!$C$29:$C$35,MATCH(MEDIAN($B89-Conversion!$B$14,2020,2050),Report_Scenarios!$A$29:$A$35,1)))*(MEDIAN($B89-Conversion!$B$14,2020,2050)-INDEX(Report_Scenarios!$A$29:$A$35,MATCH(MEDIAN($B89-Conversion!$B$14,2020,2050),Report_Scenarios!$A$29:$A$35,1)))/(INDEX(Report_Scenarios!$A$29:$A$35,MIN(MATCH(MEDIAN($B89-Conversion!$B$14,2020,2050),Report_Scenarios!$A$29:$A$35,1)+1,7))-INDEX(Report_Scenarios!$A$29:$A$35,MATCH(MEDIAN($B89-Conversion!$B$14,2020,2050),Report_Scenarios!$A$29:$A$35,1))))))</f>
        <v/>
      </c>
      <c r="G89" s="23">
        <f>IF($D89="Conservative",IF(INDEX(Report_Scenarios!$A$7:$A$13,MIN(MATCH(MEDIAN($B89-Conversion!$B$14,2020,2050),Report_Scenarios!$A$7:$A$13,1)+1,7))=INDEX(Report_Scenarios!$A$7:$A$13,MATCH(MEDIAN($B89-Conversion!$B$14,2020,2050),Report_Scenarios!$A$7:$A$13,1)),INDEX(Report_Scenarios!$D$7:$D$13,MATCH(MEDIAN($B89-Conversion!$B$14,2020,2050),Report_Scenarios!$A$7:$A$13,1)),INDEX(Report_Scenarios!$D$7:$D$13,MATCH(MEDIAN($B89-Conversion!$B$14,2020,2050),Report_Scenarios!$A$7:$A$13,1))+(INDEX(Report_Scenarios!$D$7:$D$13,MIN(MATCH(MEDIAN($B89-Conversion!$B$14,2020,2050),Report_Scenarios!$A$7:$A$13,1)+1,7))-INDEX(Report_Scenarios!$D$7:$D$13,MATCH(MEDIAN($B89-Conversion!$B$14,2020,2050),Report_Scenarios!$A$7:$A$13,1)))*(MEDIAN($B89-Conversion!$B$14,2020,2050)-INDEX(Report_Scenarios!$A$7:$A$13,MATCH(MEDIAN($B89-Conversion!$B$14,2020,2050),Report_Scenarios!$A$7:$A$13,1)))/(INDEX(Report_Scenarios!$A$7:$A$13,MIN(MATCH(MEDIAN($B89-Conversion!$B$14,2020,2050),Report_Scenarios!$A$7:$A$13,1)+1,7))-INDEX(Report_Scenarios!$A$7:$A$13,MATCH(MEDIAN($B89-Conversion!$B$14,2020,2050),Report_Scenarios!$A$7:$A$13,1)))),IF($D89="Central",IF(INDEX(Report_Scenarios!$A$18:$A$24,MIN(MATCH(MEDIAN($B89-Conversion!$B$14,2020,2050),Report_Scenarios!$A$18:$A$24,1)+1,7))=INDEX(Report_Scenarios!$A$18:$A$24,MATCH(MEDIAN($B89-Conversion!$B$14,2020,2050),Report_Scenarios!$A$18:$A$24,1)),INDEX(Report_Scenarios!$D$18:$D$24,MATCH(MEDIAN($B89-Conversion!$B$14,2020,2050),Report_Scenarios!$A$18:$A$24,1)),INDEX(Report_Scenarios!$D$18:$D$24,MATCH(MEDIAN($B89-Conversion!$B$14,2020,2050),Report_Scenarios!$A$18:$A$24,1))+(INDEX(Report_Scenarios!$D$18:$D$24,MIN(MATCH(MEDIAN($B89-Conversion!$B$14,2020,2050),Report_Scenarios!$A$18:$A$24,1)+1,7))-INDEX(Report_Scenarios!$D$18:$D$24,MATCH(MEDIAN($B89-Conversion!$B$14,2020,2050),Report_Scenarios!$A$18:$A$24,1)))*(MEDIAN($B89-Conversion!$B$14,2020,2050)-INDEX(Report_Scenarios!$A$18:$A$24,MATCH(MEDIAN($B89-Conversion!$B$14,2020,2050),Report_Scenarios!$A$18:$A$24,1)))/(INDEX(Report_Scenarios!$A$18:$A$24,MIN(MATCH(MEDIAN($B89-Conversion!$B$14,2020,2050),Report_Scenarios!$A$18:$A$24,1)+1,7))-INDEX(Report_Scenarios!$A$18:$A$24,MATCH(MEDIAN($B89-Conversion!$B$14,2020,2050),Report_Scenarios!$A$18:$A$24,1)))),IF(INDEX(Report_Scenarios!$A$29:$A$35,MIN(MATCH(MEDIAN($B89-Conversion!$B$14,2020,2050),Report_Scenarios!$A$29:$A$35,1)+1,7))=INDEX(Report_Scenarios!$A$29:$A$35,MATCH(MEDIAN($B89-Conversion!$B$14,2020,2050),Report_Scenarios!$A$29:$A$35,1)),INDEX(Report_Scenarios!$D$29:$D$35,MATCH(MEDIAN($B89-Conversion!$B$14,2020,2050),Report_Scenarios!$A$29:$A$35,1)),INDEX(Report_Scenarios!$D$29:$D$35,MATCH(MEDIAN($B89-Conversion!$B$14,2020,2050),Report_Scenarios!$A$29:$A$35,1))+(INDEX(Report_Scenarios!$D$29:$D$35,MIN(MATCH(MEDIAN($B89-Conversion!$B$14,2020,2050),Report_Scenarios!$A$29:$A$35,1)+1,7))-INDEX(Report_Scenarios!$D$29:$D$35,MATCH(MEDIAN($B89-Conversion!$B$14,2020,2050),Report_Scenarios!$A$29:$A$35,1)))*(MEDIAN($B89-Conversion!$B$14,2020,2050)-INDEX(Report_Scenarios!$A$29:$A$35,MATCH(MEDIAN($B89-Conversion!$B$14,2020,2050),Report_Scenarios!$A$29:$A$35,1)))/(INDEX(Report_Scenarios!$A$29:$A$35,MIN(MATCH(MEDIAN($B89-Conversion!$B$14,2020,2050),Report_Scenarios!$A$29:$A$35,1)+1,7))-INDEX(Report_Scenarios!$A$29:$A$35,MATCH(MEDIAN($B89-Conversion!$B$14,2020,2050),Report_Scenarios!$A$29:$A$35,1))))))</f>
        <v/>
      </c>
      <c r="H89" s="23">
        <f>IF($D89="Conservative",IF(INDEX(Report_Scenarios!$A$7:$A$13,MIN(MATCH(MEDIAN($B89-Conversion!$B$14,2020,2050),Report_Scenarios!$A$7:$A$13,1)+1,7))=INDEX(Report_Scenarios!$A$7:$A$13,MATCH(MEDIAN($B89-Conversion!$B$14,2020,2050),Report_Scenarios!$A$7:$A$13,1)),INDEX(Report_Scenarios!$E$7:$E$13,MATCH(MEDIAN($B89-Conversion!$B$14,2020,2050),Report_Scenarios!$A$7:$A$13,1)),INDEX(Report_Scenarios!$E$7:$E$13,MATCH(MEDIAN($B89-Conversion!$B$14,2020,2050),Report_Scenarios!$A$7:$A$13,1))+(INDEX(Report_Scenarios!$E$7:$E$13,MIN(MATCH(MEDIAN($B89-Conversion!$B$14,2020,2050),Report_Scenarios!$A$7:$A$13,1)+1,7))-INDEX(Report_Scenarios!$E$7:$E$13,MATCH(MEDIAN($B89-Conversion!$B$14,2020,2050),Report_Scenarios!$A$7:$A$13,1)))*(MEDIAN($B89-Conversion!$B$14,2020,2050)-INDEX(Report_Scenarios!$A$7:$A$13,MATCH(MEDIAN($B89-Conversion!$B$14,2020,2050),Report_Scenarios!$A$7:$A$13,1)))/(INDEX(Report_Scenarios!$A$7:$A$13,MIN(MATCH(MEDIAN($B89-Conversion!$B$14,2020,2050),Report_Scenarios!$A$7:$A$13,1)+1,7))-INDEX(Report_Scenarios!$A$7:$A$13,MATCH(MEDIAN($B89-Conversion!$B$14,2020,2050),Report_Scenarios!$A$7:$A$13,1)))),IF($D89="Central",IF(INDEX(Report_Scenarios!$A$18:$A$24,MIN(MATCH(MEDIAN($B89-Conversion!$B$14,2020,2050),Report_Scenarios!$A$18:$A$24,1)+1,7))=INDEX(Report_Scenarios!$A$18:$A$24,MATCH(MEDIAN($B89-Conversion!$B$14,2020,2050),Report_Scenarios!$A$18:$A$24,1)),INDEX(Report_Scenarios!$E$18:$E$24,MATCH(MEDIAN($B89-Conversion!$B$14,2020,2050),Report_Scenarios!$A$18:$A$24,1)),INDEX(Report_Scenarios!$E$18:$E$24,MATCH(MEDIAN($B89-Conversion!$B$14,2020,2050),Report_Scenarios!$A$18:$A$24,1))+(INDEX(Report_Scenarios!$E$18:$E$24,MIN(MATCH(MEDIAN($B89-Conversion!$B$14,2020,2050),Report_Scenarios!$A$18:$A$24,1)+1,7))-INDEX(Report_Scenarios!$E$18:$E$24,MATCH(MEDIAN($B89-Conversion!$B$14,2020,2050),Report_Scenarios!$A$18:$A$24,1)))*(MEDIAN($B89-Conversion!$B$14,2020,2050)-INDEX(Report_Scenarios!$A$18:$A$24,MATCH(MEDIAN($B89-Conversion!$B$14,2020,2050),Report_Scenarios!$A$18:$A$24,1)))/(INDEX(Report_Scenarios!$A$18:$A$24,MIN(MATCH(MEDIAN($B89-Conversion!$B$14,2020,2050),Report_Scenarios!$A$18:$A$24,1)+1,7))-INDEX(Report_Scenarios!$A$18:$A$24,MATCH(MEDIAN($B89-Conversion!$B$14,2020,2050),Report_Scenarios!$A$18:$A$24,1)))),IF(INDEX(Report_Scenarios!$A$29:$A$35,MIN(MATCH(MEDIAN($B89-Conversion!$B$14,2020,2050),Report_Scenarios!$A$29:$A$35,1)+1,7))=INDEX(Report_Scenarios!$A$29:$A$35,MATCH(MEDIAN($B89-Conversion!$B$14,2020,2050),Report_Scenarios!$A$29:$A$35,1)),INDEX(Report_Scenarios!$E$29:$E$35,MATCH(MEDIAN($B89-Conversion!$B$14,2020,2050),Report_Scenarios!$A$29:$A$35,1)),INDEX(Report_Scenarios!$E$29:$E$35,MATCH(MEDIAN($B89-Conversion!$B$14,2020,2050),Report_Scenarios!$A$29:$A$35,1))+(INDEX(Report_Scenarios!$E$29:$E$35,MIN(MATCH(MEDIAN($B89-Conversion!$B$14,2020,2050),Report_Scenarios!$A$29:$A$35,1)+1,7))-INDEX(Report_Scenarios!$E$29:$E$35,MATCH(MEDIAN($B89-Conversion!$B$14,2020,2050),Report_Scenarios!$A$29:$A$35,1)))*(MEDIAN($B89-Conversion!$B$14,2020,2050)-INDEX(Report_Scenarios!$A$29:$A$35,MATCH(MEDIAN($B89-Conversion!$B$14,2020,2050),Report_Scenarios!$A$29:$A$35,1)))/(INDEX(Report_Scenarios!$A$29:$A$35,MIN(MATCH(MEDIAN($B89-Conversion!$B$14,2020,2050),Report_Scenarios!$A$29:$A$35,1)+1,7))-INDEX(Report_Scenarios!$A$29:$A$35,MATCH(MEDIAN($B89-Conversion!$B$14,2020,2050),Report_Scenarios!$A$29:$A$35,1))))))</f>
        <v/>
      </c>
      <c r="I89" s="23">
        <f>IF($D89="Conservative",IF(INDEX(Report_Scenarios!$A$7:$A$13,MIN(MATCH(MEDIAN($B89-Conversion!$B$14,2020,2050),Report_Scenarios!$A$7:$A$13,1)+1,7))=INDEX(Report_Scenarios!$A$7:$A$13,MATCH(MEDIAN($B89-Conversion!$B$14,2020,2050),Report_Scenarios!$A$7:$A$13,1)),INDEX(Report_Scenarios!$F$7:$F$13,MATCH(MEDIAN($B89-Conversion!$B$14,2020,2050),Report_Scenarios!$A$7:$A$13,1)),INDEX(Report_Scenarios!$F$7:$F$13,MATCH(MEDIAN($B89-Conversion!$B$14,2020,2050),Report_Scenarios!$A$7:$A$13,1))+(INDEX(Report_Scenarios!$F$7:$F$13,MIN(MATCH(MEDIAN($B89-Conversion!$B$14,2020,2050),Report_Scenarios!$A$7:$A$13,1)+1,7))-INDEX(Report_Scenarios!$F$7:$F$13,MATCH(MEDIAN($B89-Conversion!$B$14,2020,2050),Report_Scenarios!$A$7:$A$13,1)))*(MEDIAN($B89-Conversion!$B$14,2020,2050)-INDEX(Report_Scenarios!$A$7:$A$13,MATCH(MEDIAN($B89-Conversion!$B$14,2020,2050),Report_Scenarios!$A$7:$A$13,1)))/(INDEX(Report_Scenarios!$A$7:$A$13,MIN(MATCH(MEDIAN($B89-Conversion!$B$14,2020,2050),Report_Scenarios!$A$7:$A$13,1)+1,7))-INDEX(Report_Scenarios!$A$7:$A$13,MATCH(MEDIAN($B89-Conversion!$B$14,2020,2050),Report_Scenarios!$A$7:$A$13,1)))),IF($D89="Central",IF(INDEX(Report_Scenarios!$A$18:$A$24,MIN(MATCH(MEDIAN($B89-Conversion!$B$14,2020,2050),Report_Scenarios!$A$18:$A$24,1)+1,7))=INDEX(Report_Scenarios!$A$18:$A$24,MATCH(MEDIAN($B89-Conversion!$B$14,2020,2050),Report_Scenarios!$A$18:$A$24,1)),INDEX(Report_Scenarios!$F$18:$F$24,MATCH(MEDIAN($B89-Conversion!$B$14,2020,2050),Report_Scenarios!$A$18:$A$24,1)),INDEX(Report_Scenarios!$F$18:$F$24,MATCH(MEDIAN($B89-Conversion!$B$14,2020,2050),Report_Scenarios!$A$18:$A$24,1))+(INDEX(Report_Scenarios!$F$18:$F$24,MIN(MATCH(MEDIAN($B89-Conversion!$B$14,2020,2050),Report_Scenarios!$A$18:$A$24,1)+1,7))-INDEX(Report_Scenarios!$F$18:$F$24,MATCH(MEDIAN($B89-Conversion!$B$14,2020,2050),Report_Scenarios!$A$18:$A$24,1)))*(MEDIAN($B89-Conversion!$B$14,2020,2050)-INDEX(Report_Scenarios!$A$18:$A$24,MATCH(MEDIAN($B89-Conversion!$B$14,2020,2050),Report_Scenarios!$A$18:$A$24,1)))/(INDEX(Report_Scenarios!$A$18:$A$24,MIN(MATCH(MEDIAN($B89-Conversion!$B$14,2020,2050),Report_Scenarios!$A$18:$A$24,1)+1,7))-INDEX(Report_Scenarios!$A$18:$A$24,MATCH(MEDIAN($B89-Conversion!$B$14,2020,2050),Report_Scenarios!$A$18:$A$24,1)))),IF(INDEX(Report_Scenarios!$A$29:$A$35,MIN(MATCH(MEDIAN($B89-Conversion!$B$14,2020,2050),Report_Scenarios!$A$29:$A$35,1)+1,7))=INDEX(Report_Scenarios!$A$29:$A$35,MATCH(MEDIAN($B89-Conversion!$B$14,2020,2050),Report_Scenarios!$A$29:$A$35,1)),INDEX(Report_Scenarios!$F$29:$F$35,MATCH(MEDIAN($B89-Conversion!$B$14,2020,2050),Report_Scenarios!$A$29:$A$35,1)),INDEX(Report_Scenarios!$F$29:$F$35,MATCH(MEDIAN($B89-Conversion!$B$14,2020,2050),Report_Scenarios!$A$29:$A$35,1))+(INDEX(Report_Scenarios!$F$29:$F$35,MIN(MATCH(MEDIAN($B89-Conversion!$B$14,2020,2050),Report_Scenarios!$A$29:$A$35,1)+1,7))-INDEX(Report_Scenarios!$F$29:$F$35,MATCH(MEDIAN($B89-Conversion!$B$14,2020,2050),Report_Scenarios!$A$29:$A$35,1)))*(MEDIAN($B89-Conversion!$B$14,2020,2050)-INDEX(Report_Scenarios!$A$29:$A$35,MATCH(MEDIAN($B89-Conversion!$B$14,2020,2050),Report_Scenarios!$A$29:$A$35,1)))/(INDEX(Report_Scenarios!$A$29:$A$35,MIN(MATCH(MEDIAN($B89-Conversion!$B$14,2020,2050),Report_Scenarios!$A$29:$A$35,1)+1,7))-INDEX(Report_Scenarios!$A$29:$A$35,MATCH(MEDIAN($B89-Conversion!$B$14,2020,2050),Report_Scenarios!$A$29:$A$35,1))))))</f>
        <v/>
      </c>
      <c r="J89" s="23">
        <f>IF($D89="Conservative",IF(INDEX(Report_Scenarios!$A$7:$A$13,MIN(MATCH(MEDIAN($B89-Conversion!$B$14,2020,2050),Report_Scenarios!$A$7:$A$13,1)+1,7))=INDEX(Report_Scenarios!$A$7:$A$13,MATCH(MEDIAN($B89-Conversion!$B$14,2020,2050),Report_Scenarios!$A$7:$A$13,1)),INDEX(Report_Scenarios!$G$7:$G$13,MATCH(MEDIAN($B89-Conversion!$B$14,2020,2050),Report_Scenarios!$A$7:$A$13,1)),INDEX(Report_Scenarios!$G$7:$G$13,MATCH(MEDIAN($B89-Conversion!$B$14,2020,2050),Report_Scenarios!$A$7:$A$13,1))+(INDEX(Report_Scenarios!$G$7:$G$13,MIN(MATCH(MEDIAN($B89-Conversion!$B$14,2020,2050),Report_Scenarios!$A$7:$A$13,1)+1,7))-INDEX(Report_Scenarios!$G$7:$G$13,MATCH(MEDIAN($B89-Conversion!$B$14,2020,2050),Report_Scenarios!$A$7:$A$13,1)))*(MEDIAN($B89-Conversion!$B$14,2020,2050)-INDEX(Report_Scenarios!$A$7:$A$13,MATCH(MEDIAN($B89-Conversion!$B$14,2020,2050),Report_Scenarios!$A$7:$A$13,1)))/(INDEX(Report_Scenarios!$A$7:$A$13,MIN(MATCH(MEDIAN($B89-Conversion!$B$14,2020,2050),Report_Scenarios!$A$7:$A$13,1)+1,7))-INDEX(Report_Scenarios!$A$7:$A$13,MATCH(MEDIAN($B89-Conversion!$B$14,2020,2050),Report_Scenarios!$A$7:$A$13,1)))),IF($D89="Central",IF(INDEX(Report_Scenarios!$A$18:$A$24,MIN(MATCH(MEDIAN($B89-Conversion!$B$14,2020,2050),Report_Scenarios!$A$18:$A$24,1)+1,7))=INDEX(Report_Scenarios!$A$18:$A$24,MATCH(MEDIAN($B89-Conversion!$B$14,2020,2050),Report_Scenarios!$A$18:$A$24,1)),INDEX(Report_Scenarios!$G$18:$G$24,MATCH(MEDIAN($B89-Conversion!$B$14,2020,2050),Report_Scenarios!$A$18:$A$24,1)),INDEX(Report_Scenarios!$G$18:$G$24,MATCH(MEDIAN($B89-Conversion!$B$14,2020,2050),Report_Scenarios!$A$18:$A$24,1))+(INDEX(Report_Scenarios!$G$18:$G$24,MIN(MATCH(MEDIAN($B89-Conversion!$B$14,2020,2050),Report_Scenarios!$A$18:$A$24,1)+1,7))-INDEX(Report_Scenarios!$G$18:$G$24,MATCH(MEDIAN($B89-Conversion!$B$14,2020,2050),Report_Scenarios!$A$18:$A$24,1)))*(MEDIAN($B89-Conversion!$B$14,2020,2050)-INDEX(Report_Scenarios!$A$18:$A$24,MATCH(MEDIAN($B89-Conversion!$B$14,2020,2050),Report_Scenarios!$A$18:$A$24,1)))/(INDEX(Report_Scenarios!$A$18:$A$24,MIN(MATCH(MEDIAN($B89-Conversion!$B$14,2020,2050),Report_Scenarios!$A$18:$A$24,1)+1,7))-INDEX(Report_Scenarios!$A$18:$A$24,MATCH(MEDIAN($B89-Conversion!$B$14,2020,2050),Report_Scenarios!$A$18:$A$24,1)))),IF(INDEX(Report_Scenarios!$A$29:$A$35,MIN(MATCH(MEDIAN($B89-Conversion!$B$14,2020,2050),Report_Scenarios!$A$29:$A$35,1)+1,7))=INDEX(Report_Scenarios!$A$29:$A$35,MATCH(MEDIAN($B89-Conversion!$B$14,2020,2050),Report_Scenarios!$A$29:$A$35,1)),INDEX(Report_Scenarios!$G$29:$G$35,MATCH(MEDIAN($B89-Conversion!$B$14,2020,2050),Report_Scenarios!$A$29:$A$35,1)),INDEX(Report_Scenarios!$G$29:$G$35,MATCH(MEDIAN($B89-Conversion!$B$14,2020,2050),Report_Scenarios!$A$29:$A$35,1))+(INDEX(Report_Scenarios!$G$29:$G$35,MIN(MATCH(MEDIAN($B89-Conversion!$B$14,2020,2050),Report_Scenarios!$A$29:$A$35,1)+1,7))-INDEX(Report_Scenarios!$G$29:$G$35,MATCH(MEDIAN($B89-Conversion!$B$14,2020,2050),Report_Scenarios!$A$29:$A$35,1)))*(MEDIAN($B89-Conversion!$B$14,2020,2050)-INDEX(Report_Scenarios!$A$29:$A$35,MATCH(MEDIAN($B89-Conversion!$B$14,2020,2050),Report_Scenarios!$A$29:$A$35,1)))/(INDEX(Report_Scenarios!$A$29:$A$35,MIN(MATCH(MEDIAN($B89-Conversion!$B$14,2020,2050),Report_Scenarios!$A$29:$A$35,1)+1,7))-INDEX(Report_Scenarios!$A$29:$A$35,MATCH(MEDIAN($B89-Conversion!$B$14,2020,2050),Report_Scenarios!$A$29:$A$35,1))))))</f>
        <v/>
      </c>
      <c r="K89" s="23">
        <f>SUM(E89:J89)</f>
        <v/>
      </c>
      <c r="L89" s="23">
        <f>IF(R89&lt;&gt;"",R89,IF($K89=0,0,E89/$K89))</f>
        <v/>
      </c>
      <c r="M89" s="23">
        <f>IF(S89&lt;&gt;"",S89,IF($K89=0,0,F89/$K89))</f>
        <v/>
      </c>
      <c r="N89" s="23">
        <f>IF(T89&lt;&gt;"",T89,IF($K89=0,0,G89/$K89))</f>
        <v/>
      </c>
      <c r="O89" s="23">
        <f>IF(U89&lt;&gt;"",U89,IF($K89=0,0,H89/$K89))</f>
        <v/>
      </c>
      <c r="P89" s="23">
        <f>IF(V89&lt;&gt;"",V89,IF($K89=0,0,I89/$K89))</f>
        <v/>
      </c>
      <c r="Q89" s="23">
        <f>IF(W89&lt;&gt;"",W89,IF($K89=0,0,J89/$K89))</f>
        <v/>
      </c>
      <c r="R89" s="24" t="n"/>
      <c r="S89" s="24" t="n"/>
      <c r="T89" s="24" t="n"/>
      <c r="U89" s="24" t="n"/>
      <c r="V89" s="24" t="n"/>
      <c r="W89" s="24" t="n"/>
    </row>
    <row r="90">
      <c r="A90" s="4" t="inlineStr">
        <is>
          <t>EF</t>
        </is>
      </c>
      <c r="B90" s="4" t="n">
        <v>2060</v>
      </c>
      <c r="C90" s="4" t="inlineStr">
        <is>
          <t>Share_Mode</t>
        </is>
      </c>
      <c r="D90" s="4">
        <f>Conversion!$B$19</f>
        <v/>
      </c>
      <c r="E90" s="23">
        <f>IF($D90="Conservative",IF(INDEX(Report_Scenarios!$A$7:$A$13,MIN(MATCH(MEDIAN($B90-Conversion!$B$14,2020,2050),Report_Scenarios!$A$7:$A$13,1)+1,7))=INDEX(Report_Scenarios!$A$7:$A$13,MATCH(MEDIAN($B90-Conversion!$B$14,2020,2050),Report_Scenarios!$A$7:$A$13,1)),INDEX(Report_Scenarios!$B$7:$B$13,MATCH(MEDIAN($B90-Conversion!$B$14,2020,2050),Report_Scenarios!$A$7:$A$13,1)),INDEX(Report_Scenarios!$B$7:$B$13,MATCH(MEDIAN($B90-Conversion!$B$14,2020,2050),Report_Scenarios!$A$7:$A$13,1))+(INDEX(Report_Scenarios!$B$7:$B$13,MIN(MATCH(MEDIAN($B90-Conversion!$B$14,2020,2050),Report_Scenarios!$A$7:$A$13,1)+1,7))-INDEX(Report_Scenarios!$B$7:$B$13,MATCH(MEDIAN($B90-Conversion!$B$14,2020,2050),Report_Scenarios!$A$7:$A$13,1)))*(MEDIAN($B90-Conversion!$B$14,2020,2050)-INDEX(Report_Scenarios!$A$7:$A$13,MATCH(MEDIAN($B90-Conversion!$B$14,2020,2050),Report_Scenarios!$A$7:$A$13,1)))/(INDEX(Report_Scenarios!$A$7:$A$13,MIN(MATCH(MEDIAN($B90-Conversion!$B$14,2020,2050),Report_Scenarios!$A$7:$A$13,1)+1,7))-INDEX(Report_Scenarios!$A$7:$A$13,MATCH(MEDIAN($B90-Conversion!$B$14,2020,2050),Report_Scenarios!$A$7:$A$13,1)))),IF($D90="Central",IF(INDEX(Report_Scenarios!$A$18:$A$24,MIN(MATCH(MEDIAN($B90-Conversion!$B$14,2020,2050),Report_Scenarios!$A$18:$A$24,1)+1,7))=INDEX(Report_Scenarios!$A$18:$A$24,MATCH(MEDIAN($B90-Conversion!$B$14,2020,2050),Report_Scenarios!$A$18:$A$24,1)),INDEX(Report_Scenarios!$B$18:$B$24,MATCH(MEDIAN($B90-Conversion!$B$14,2020,2050),Report_Scenarios!$A$18:$A$24,1)),INDEX(Report_Scenarios!$B$18:$B$24,MATCH(MEDIAN($B90-Conversion!$B$14,2020,2050),Report_Scenarios!$A$18:$A$24,1))+(INDEX(Report_Scenarios!$B$18:$B$24,MIN(MATCH(MEDIAN($B90-Conversion!$B$14,2020,2050),Report_Scenarios!$A$18:$A$24,1)+1,7))-INDEX(Report_Scenarios!$B$18:$B$24,MATCH(MEDIAN($B90-Conversion!$B$14,2020,2050),Report_Scenarios!$A$18:$A$24,1)))*(MEDIAN($B90-Conversion!$B$14,2020,2050)-INDEX(Report_Scenarios!$A$18:$A$24,MATCH(MEDIAN($B90-Conversion!$B$14,2020,2050),Report_Scenarios!$A$18:$A$24,1)))/(INDEX(Report_Scenarios!$A$18:$A$24,MIN(MATCH(MEDIAN($B90-Conversion!$B$14,2020,2050),Report_Scenarios!$A$18:$A$24,1)+1,7))-INDEX(Report_Scenarios!$A$18:$A$24,MATCH(MEDIAN($B90-Conversion!$B$14,2020,2050),Report_Scenarios!$A$18:$A$24,1)))),IF(INDEX(Report_Scenarios!$A$29:$A$35,MIN(MATCH(MEDIAN($B90-Conversion!$B$14,2020,2050),Report_Scenarios!$A$29:$A$35,1)+1,7))=INDEX(Report_Scenarios!$A$29:$A$35,MATCH(MEDIAN($B90-Conversion!$B$14,2020,2050),Report_Scenarios!$A$29:$A$35,1)),INDEX(Report_Scenarios!$B$29:$B$35,MATCH(MEDIAN($B90-Conversion!$B$14,2020,2050),Report_Scenarios!$A$29:$A$35,1)),INDEX(Report_Scenarios!$B$29:$B$35,MATCH(MEDIAN($B90-Conversion!$B$14,2020,2050),Report_Scenarios!$A$29:$A$35,1))+(INDEX(Report_Scenarios!$B$29:$B$35,MIN(MATCH(MEDIAN($B90-Conversion!$B$14,2020,2050),Report_Scenarios!$A$29:$A$35,1)+1,7))-INDEX(Report_Scenarios!$B$29:$B$35,MATCH(MEDIAN($B90-Conversion!$B$14,2020,2050),Report_Scenarios!$A$29:$A$35,1)))*(MEDIAN($B90-Conversion!$B$14,2020,2050)-INDEX(Report_Scenarios!$A$29:$A$35,MATCH(MEDIAN($B90-Conversion!$B$14,2020,2050),Report_Scenarios!$A$29:$A$35,1)))/(INDEX(Report_Scenarios!$A$29:$A$35,MIN(MATCH(MEDIAN($B90-Conversion!$B$14,2020,2050),Report_Scenarios!$A$29:$A$35,1)+1,7))-INDEX(Report_Scenarios!$A$29:$A$35,MATCH(MEDIAN($B90-Conversion!$B$14,2020,2050),Report_Scenarios!$A$29:$A$35,1))))))</f>
        <v/>
      </c>
      <c r="F90" s="23">
        <f>IF($D90="Conservative",IF(INDEX(Report_Scenarios!$A$7:$A$13,MIN(MATCH(MEDIAN($B90-Conversion!$B$14,2020,2050),Report_Scenarios!$A$7:$A$13,1)+1,7))=INDEX(Report_Scenarios!$A$7:$A$13,MATCH(MEDIAN($B90-Conversion!$B$14,2020,2050),Report_Scenarios!$A$7:$A$13,1)),INDEX(Report_Scenarios!$C$7:$C$13,MATCH(MEDIAN($B90-Conversion!$B$14,2020,2050),Report_Scenarios!$A$7:$A$13,1)),INDEX(Report_Scenarios!$C$7:$C$13,MATCH(MEDIAN($B90-Conversion!$B$14,2020,2050),Report_Scenarios!$A$7:$A$13,1))+(INDEX(Report_Scenarios!$C$7:$C$13,MIN(MATCH(MEDIAN($B90-Conversion!$B$14,2020,2050),Report_Scenarios!$A$7:$A$13,1)+1,7))-INDEX(Report_Scenarios!$C$7:$C$13,MATCH(MEDIAN($B90-Conversion!$B$14,2020,2050),Report_Scenarios!$A$7:$A$13,1)))*(MEDIAN($B90-Conversion!$B$14,2020,2050)-INDEX(Report_Scenarios!$A$7:$A$13,MATCH(MEDIAN($B90-Conversion!$B$14,2020,2050),Report_Scenarios!$A$7:$A$13,1)))/(INDEX(Report_Scenarios!$A$7:$A$13,MIN(MATCH(MEDIAN($B90-Conversion!$B$14,2020,2050),Report_Scenarios!$A$7:$A$13,1)+1,7))-INDEX(Report_Scenarios!$A$7:$A$13,MATCH(MEDIAN($B90-Conversion!$B$14,2020,2050),Report_Scenarios!$A$7:$A$13,1)))),IF($D90="Central",IF(INDEX(Report_Scenarios!$A$18:$A$24,MIN(MATCH(MEDIAN($B90-Conversion!$B$14,2020,2050),Report_Scenarios!$A$18:$A$24,1)+1,7))=INDEX(Report_Scenarios!$A$18:$A$24,MATCH(MEDIAN($B90-Conversion!$B$14,2020,2050),Report_Scenarios!$A$18:$A$24,1)),INDEX(Report_Scenarios!$C$18:$C$24,MATCH(MEDIAN($B90-Conversion!$B$14,2020,2050),Report_Scenarios!$A$18:$A$24,1)),INDEX(Report_Scenarios!$C$18:$C$24,MATCH(MEDIAN($B90-Conversion!$B$14,2020,2050),Report_Scenarios!$A$18:$A$24,1))+(INDEX(Report_Scenarios!$C$18:$C$24,MIN(MATCH(MEDIAN($B90-Conversion!$B$14,2020,2050),Report_Scenarios!$A$18:$A$24,1)+1,7))-INDEX(Report_Scenarios!$C$18:$C$24,MATCH(MEDIAN($B90-Conversion!$B$14,2020,2050),Report_Scenarios!$A$18:$A$24,1)))*(MEDIAN($B90-Conversion!$B$14,2020,2050)-INDEX(Report_Scenarios!$A$18:$A$24,MATCH(MEDIAN($B90-Conversion!$B$14,2020,2050),Report_Scenarios!$A$18:$A$24,1)))/(INDEX(Report_Scenarios!$A$18:$A$24,MIN(MATCH(MEDIAN($B90-Conversion!$B$14,2020,2050),Report_Scenarios!$A$18:$A$24,1)+1,7))-INDEX(Report_Scenarios!$A$18:$A$24,MATCH(MEDIAN($B90-Conversion!$B$14,2020,2050),Report_Scenarios!$A$18:$A$24,1)))),IF(INDEX(Report_Scenarios!$A$29:$A$35,MIN(MATCH(MEDIAN($B90-Conversion!$B$14,2020,2050),Report_Scenarios!$A$29:$A$35,1)+1,7))=INDEX(Report_Scenarios!$A$29:$A$35,MATCH(MEDIAN($B90-Conversion!$B$14,2020,2050),Report_Scenarios!$A$29:$A$35,1)),INDEX(Report_Scenarios!$C$29:$C$35,MATCH(MEDIAN($B90-Conversion!$B$14,2020,2050),Report_Scenarios!$A$29:$A$35,1)),INDEX(Report_Scenarios!$C$29:$C$35,MATCH(MEDIAN($B90-Conversion!$B$14,2020,2050),Report_Scenarios!$A$29:$A$35,1))+(INDEX(Report_Scenarios!$C$29:$C$35,MIN(MATCH(MEDIAN($B90-Conversion!$B$14,2020,2050),Report_Scenarios!$A$29:$A$35,1)+1,7))-INDEX(Report_Scenarios!$C$29:$C$35,MATCH(MEDIAN($B90-Conversion!$B$14,2020,2050),Report_Scenarios!$A$29:$A$35,1)))*(MEDIAN($B90-Conversion!$B$14,2020,2050)-INDEX(Report_Scenarios!$A$29:$A$35,MATCH(MEDIAN($B90-Conversion!$B$14,2020,2050),Report_Scenarios!$A$29:$A$35,1)))/(INDEX(Report_Scenarios!$A$29:$A$35,MIN(MATCH(MEDIAN($B90-Conversion!$B$14,2020,2050),Report_Scenarios!$A$29:$A$35,1)+1,7))-INDEX(Report_Scenarios!$A$29:$A$35,MATCH(MEDIAN($B90-Conversion!$B$14,2020,2050),Report_Scenarios!$A$29:$A$35,1))))))</f>
        <v/>
      </c>
      <c r="G90" s="23">
        <f>IF($D90="Conservative",IF(INDEX(Report_Scenarios!$A$7:$A$13,MIN(MATCH(MEDIAN($B90-Conversion!$B$14,2020,2050),Report_Scenarios!$A$7:$A$13,1)+1,7))=INDEX(Report_Scenarios!$A$7:$A$13,MATCH(MEDIAN($B90-Conversion!$B$14,2020,2050),Report_Scenarios!$A$7:$A$13,1)),INDEX(Report_Scenarios!$D$7:$D$13,MATCH(MEDIAN($B90-Conversion!$B$14,2020,2050),Report_Scenarios!$A$7:$A$13,1)),INDEX(Report_Scenarios!$D$7:$D$13,MATCH(MEDIAN($B90-Conversion!$B$14,2020,2050),Report_Scenarios!$A$7:$A$13,1))+(INDEX(Report_Scenarios!$D$7:$D$13,MIN(MATCH(MEDIAN($B90-Conversion!$B$14,2020,2050),Report_Scenarios!$A$7:$A$13,1)+1,7))-INDEX(Report_Scenarios!$D$7:$D$13,MATCH(MEDIAN($B90-Conversion!$B$14,2020,2050),Report_Scenarios!$A$7:$A$13,1)))*(MEDIAN($B90-Conversion!$B$14,2020,2050)-INDEX(Report_Scenarios!$A$7:$A$13,MATCH(MEDIAN($B90-Conversion!$B$14,2020,2050),Report_Scenarios!$A$7:$A$13,1)))/(INDEX(Report_Scenarios!$A$7:$A$13,MIN(MATCH(MEDIAN($B90-Conversion!$B$14,2020,2050),Report_Scenarios!$A$7:$A$13,1)+1,7))-INDEX(Report_Scenarios!$A$7:$A$13,MATCH(MEDIAN($B90-Conversion!$B$14,2020,2050),Report_Scenarios!$A$7:$A$13,1)))),IF($D90="Central",IF(INDEX(Report_Scenarios!$A$18:$A$24,MIN(MATCH(MEDIAN($B90-Conversion!$B$14,2020,2050),Report_Scenarios!$A$18:$A$24,1)+1,7))=INDEX(Report_Scenarios!$A$18:$A$24,MATCH(MEDIAN($B90-Conversion!$B$14,2020,2050),Report_Scenarios!$A$18:$A$24,1)),INDEX(Report_Scenarios!$D$18:$D$24,MATCH(MEDIAN($B90-Conversion!$B$14,2020,2050),Report_Scenarios!$A$18:$A$24,1)),INDEX(Report_Scenarios!$D$18:$D$24,MATCH(MEDIAN($B90-Conversion!$B$14,2020,2050),Report_Scenarios!$A$18:$A$24,1))+(INDEX(Report_Scenarios!$D$18:$D$24,MIN(MATCH(MEDIAN($B90-Conversion!$B$14,2020,2050),Report_Scenarios!$A$18:$A$24,1)+1,7))-INDEX(Report_Scenarios!$D$18:$D$24,MATCH(MEDIAN($B90-Conversion!$B$14,2020,2050),Report_Scenarios!$A$18:$A$24,1)))*(MEDIAN($B90-Conversion!$B$14,2020,2050)-INDEX(Report_Scenarios!$A$18:$A$24,MATCH(MEDIAN($B90-Conversion!$B$14,2020,2050),Report_Scenarios!$A$18:$A$24,1)))/(INDEX(Report_Scenarios!$A$18:$A$24,MIN(MATCH(MEDIAN($B90-Conversion!$B$14,2020,2050),Report_Scenarios!$A$18:$A$24,1)+1,7))-INDEX(Report_Scenarios!$A$18:$A$24,MATCH(MEDIAN($B90-Conversion!$B$14,2020,2050),Report_Scenarios!$A$18:$A$24,1)))),IF(INDEX(Report_Scenarios!$A$29:$A$35,MIN(MATCH(MEDIAN($B90-Conversion!$B$14,2020,2050),Report_Scenarios!$A$29:$A$35,1)+1,7))=INDEX(Report_Scenarios!$A$29:$A$35,MATCH(MEDIAN($B90-Conversion!$B$14,2020,2050),Report_Scenarios!$A$29:$A$35,1)),INDEX(Report_Scenarios!$D$29:$D$35,MATCH(MEDIAN($B90-Conversion!$B$14,2020,2050),Report_Scenarios!$A$29:$A$35,1)),INDEX(Report_Scenarios!$D$29:$D$35,MATCH(MEDIAN($B90-Conversion!$B$14,2020,2050),Report_Scenarios!$A$29:$A$35,1))+(INDEX(Report_Scenarios!$D$29:$D$35,MIN(MATCH(MEDIAN($B90-Conversion!$B$14,2020,2050),Report_Scenarios!$A$29:$A$35,1)+1,7))-INDEX(Report_Scenarios!$D$29:$D$35,MATCH(MEDIAN($B90-Conversion!$B$14,2020,2050),Report_Scenarios!$A$29:$A$35,1)))*(MEDIAN($B90-Conversion!$B$14,2020,2050)-INDEX(Report_Scenarios!$A$29:$A$35,MATCH(MEDIAN($B90-Conversion!$B$14,2020,2050),Report_Scenarios!$A$29:$A$35,1)))/(INDEX(Report_Scenarios!$A$29:$A$35,MIN(MATCH(MEDIAN($B90-Conversion!$B$14,2020,2050),Report_Scenarios!$A$29:$A$35,1)+1,7))-INDEX(Report_Scenarios!$A$29:$A$35,MATCH(MEDIAN($B90-Conversion!$B$14,2020,2050),Report_Scenarios!$A$29:$A$35,1))))))</f>
        <v/>
      </c>
      <c r="H90" s="23">
        <f>IF($D90="Conservative",IF(INDEX(Report_Scenarios!$A$7:$A$13,MIN(MATCH(MEDIAN($B90-Conversion!$B$14,2020,2050),Report_Scenarios!$A$7:$A$13,1)+1,7))=INDEX(Report_Scenarios!$A$7:$A$13,MATCH(MEDIAN($B90-Conversion!$B$14,2020,2050),Report_Scenarios!$A$7:$A$13,1)),INDEX(Report_Scenarios!$E$7:$E$13,MATCH(MEDIAN($B90-Conversion!$B$14,2020,2050),Report_Scenarios!$A$7:$A$13,1)),INDEX(Report_Scenarios!$E$7:$E$13,MATCH(MEDIAN($B90-Conversion!$B$14,2020,2050),Report_Scenarios!$A$7:$A$13,1))+(INDEX(Report_Scenarios!$E$7:$E$13,MIN(MATCH(MEDIAN($B90-Conversion!$B$14,2020,2050),Report_Scenarios!$A$7:$A$13,1)+1,7))-INDEX(Report_Scenarios!$E$7:$E$13,MATCH(MEDIAN($B90-Conversion!$B$14,2020,2050),Report_Scenarios!$A$7:$A$13,1)))*(MEDIAN($B90-Conversion!$B$14,2020,2050)-INDEX(Report_Scenarios!$A$7:$A$13,MATCH(MEDIAN($B90-Conversion!$B$14,2020,2050),Report_Scenarios!$A$7:$A$13,1)))/(INDEX(Report_Scenarios!$A$7:$A$13,MIN(MATCH(MEDIAN($B90-Conversion!$B$14,2020,2050),Report_Scenarios!$A$7:$A$13,1)+1,7))-INDEX(Report_Scenarios!$A$7:$A$13,MATCH(MEDIAN($B90-Conversion!$B$14,2020,2050),Report_Scenarios!$A$7:$A$13,1)))),IF($D90="Central",IF(INDEX(Report_Scenarios!$A$18:$A$24,MIN(MATCH(MEDIAN($B90-Conversion!$B$14,2020,2050),Report_Scenarios!$A$18:$A$24,1)+1,7))=INDEX(Report_Scenarios!$A$18:$A$24,MATCH(MEDIAN($B90-Conversion!$B$14,2020,2050),Report_Scenarios!$A$18:$A$24,1)),INDEX(Report_Scenarios!$E$18:$E$24,MATCH(MEDIAN($B90-Conversion!$B$14,2020,2050),Report_Scenarios!$A$18:$A$24,1)),INDEX(Report_Scenarios!$E$18:$E$24,MATCH(MEDIAN($B90-Conversion!$B$14,2020,2050),Report_Scenarios!$A$18:$A$24,1))+(INDEX(Report_Scenarios!$E$18:$E$24,MIN(MATCH(MEDIAN($B90-Conversion!$B$14,2020,2050),Report_Scenarios!$A$18:$A$24,1)+1,7))-INDEX(Report_Scenarios!$E$18:$E$24,MATCH(MEDIAN($B90-Conversion!$B$14,2020,2050),Report_Scenarios!$A$18:$A$24,1)))*(MEDIAN($B90-Conversion!$B$14,2020,2050)-INDEX(Report_Scenarios!$A$18:$A$24,MATCH(MEDIAN($B90-Conversion!$B$14,2020,2050),Report_Scenarios!$A$18:$A$24,1)))/(INDEX(Report_Scenarios!$A$18:$A$24,MIN(MATCH(MEDIAN($B90-Conversion!$B$14,2020,2050),Report_Scenarios!$A$18:$A$24,1)+1,7))-INDEX(Report_Scenarios!$A$18:$A$24,MATCH(MEDIAN($B90-Conversion!$B$14,2020,2050),Report_Scenarios!$A$18:$A$24,1)))),IF(INDEX(Report_Scenarios!$A$29:$A$35,MIN(MATCH(MEDIAN($B90-Conversion!$B$14,2020,2050),Report_Scenarios!$A$29:$A$35,1)+1,7))=INDEX(Report_Scenarios!$A$29:$A$35,MATCH(MEDIAN($B90-Conversion!$B$14,2020,2050),Report_Scenarios!$A$29:$A$35,1)),INDEX(Report_Scenarios!$E$29:$E$35,MATCH(MEDIAN($B90-Conversion!$B$14,2020,2050),Report_Scenarios!$A$29:$A$35,1)),INDEX(Report_Scenarios!$E$29:$E$35,MATCH(MEDIAN($B90-Conversion!$B$14,2020,2050),Report_Scenarios!$A$29:$A$35,1))+(INDEX(Report_Scenarios!$E$29:$E$35,MIN(MATCH(MEDIAN($B90-Conversion!$B$14,2020,2050),Report_Scenarios!$A$29:$A$35,1)+1,7))-INDEX(Report_Scenarios!$E$29:$E$35,MATCH(MEDIAN($B90-Conversion!$B$14,2020,2050),Report_Scenarios!$A$29:$A$35,1)))*(MEDIAN($B90-Conversion!$B$14,2020,2050)-INDEX(Report_Scenarios!$A$29:$A$35,MATCH(MEDIAN($B90-Conversion!$B$14,2020,2050),Report_Scenarios!$A$29:$A$35,1)))/(INDEX(Report_Scenarios!$A$29:$A$35,MIN(MATCH(MEDIAN($B90-Conversion!$B$14,2020,2050),Report_Scenarios!$A$29:$A$35,1)+1,7))-INDEX(Report_Scenarios!$A$29:$A$35,MATCH(MEDIAN($B90-Conversion!$B$14,2020,2050),Report_Scenarios!$A$29:$A$35,1))))))</f>
        <v/>
      </c>
      <c r="I90" s="23">
        <f>IF($D90="Conservative",IF(INDEX(Report_Scenarios!$A$7:$A$13,MIN(MATCH(MEDIAN($B90-Conversion!$B$14,2020,2050),Report_Scenarios!$A$7:$A$13,1)+1,7))=INDEX(Report_Scenarios!$A$7:$A$13,MATCH(MEDIAN($B90-Conversion!$B$14,2020,2050),Report_Scenarios!$A$7:$A$13,1)),INDEX(Report_Scenarios!$F$7:$F$13,MATCH(MEDIAN($B90-Conversion!$B$14,2020,2050),Report_Scenarios!$A$7:$A$13,1)),INDEX(Report_Scenarios!$F$7:$F$13,MATCH(MEDIAN($B90-Conversion!$B$14,2020,2050),Report_Scenarios!$A$7:$A$13,1))+(INDEX(Report_Scenarios!$F$7:$F$13,MIN(MATCH(MEDIAN($B90-Conversion!$B$14,2020,2050),Report_Scenarios!$A$7:$A$13,1)+1,7))-INDEX(Report_Scenarios!$F$7:$F$13,MATCH(MEDIAN($B90-Conversion!$B$14,2020,2050),Report_Scenarios!$A$7:$A$13,1)))*(MEDIAN($B90-Conversion!$B$14,2020,2050)-INDEX(Report_Scenarios!$A$7:$A$13,MATCH(MEDIAN($B90-Conversion!$B$14,2020,2050),Report_Scenarios!$A$7:$A$13,1)))/(INDEX(Report_Scenarios!$A$7:$A$13,MIN(MATCH(MEDIAN($B90-Conversion!$B$14,2020,2050),Report_Scenarios!$A$7:$A$13,1)+1,7))-INDEX(Report_Scenarios!$A$7:$A$13,MATCH(MEDIAN($B90-Conversion!$B$14,2020,2050),Report_Scenarios!$A$7:$A$13,1)))),IF($D90="Central",IF(INDEX(Report_Scenarios!$A$18:$A$24,MIN(MATCH(MEDIAN($B90-Conversion!$B$14,2020,2050),Report_Scenarios!$A$18:$A$24,1)+1,7))=INDEX(Report_Scenarios!$A$18:$A$24,MATCH(MEDIAN($B90-Conversion!$B$14,2020,2050),Report_Scenarios!$A$18:$A$24,1)),INDEX(Report_Scenarios!$F$18:$F$24,MATCH(MEDIAN($B90-Conversion!$B$14,2020,2050),Report_Scenarios!$A$18:$A$24,1)),INDEX(Report_Scenarios!$F$18:$F$24,MATCH(MEDIAN($B90-Conversion!$B$14,2020,2050),Report_Scenarios!$A$18:$A$24,1))+(INDEX(Report_Scenarios!$F$18:$F$24,MIN(MATCH(MEDIAN($B90-Conversion!$B$14,2020,2050),Report_Scenarios!$A$18:$A$24,1)+1,7))-INDEX(Report_Scenarios!$F$18:$F$24,MATCH(MEDIAN($B90-Conversion!$B$14,2020,2050),Report_Scenarios!$A$18:$A$24,1)))*(MEDIAN($B90-Conversion!$B$14,2020,2050)-INDEX(Report_Scenarios!$A$18:$A$24,MATCH(MEDIAN($B90-Conversion!$B$14,2020,2050),Report_Scenarios!$A$18:$A$24,1)))/(INDEX(Report_Scenarios!$A$18:$A$24,MIN(MATCH(MEDIAN($B90-Conversion!$B$14,2020,2050),Report_Scenarios!$A$18:$A$24,1)+1,7))-INDEX(Report_Scenarios!$A$18:$A$24,MATCH(MEDIAN($B90-Conversion!$B$14,2020,2050),Report_Scenarios!$A$18:$A$24,1)))),IF(INDEX(Report_Scenarios!$A$29:$A$35,MIN(MATCH(MEDIAN($B90-Conversion!$B$14,2020,2050),Report_Scenarios!$A$29:$A$35,1)+1,7))=INDEX(Report_Scenarios!$A$29:$A$35,MATCH(MEDIAN($B90-Conversion!$B$14,2020,2050),Report_Scenarios!$A$29:$A$35,1)),INDEX(Report_Scenarios!$F$29:$F$35,MATCH(MEDIAN($B90-Conversion!$B$14,2020,2050),Report_Scenarios!$A$29:$A$35,1)),INDEX(Report_Scenarios!$F$29:$F$35,MATCH(MEDIAN($B90-Conversion!$B$14,2020,2050),Report_Scenarios!$A$29:$A$35,1))+(INDEX(Report_Scenarios!$F$29:$F$35,MIN(MATCH(MEDIAN($B90-Conversion!$B$14,2020,2050),Report_Scenarios!$A$29:$A$35,1)+1,7))-INDEX(Report_Scenarios!$F$29:$F$35,MATCH(MEDIAN($B90-Conversion!$B$14,2020,2050),Report_Scenarios!$A$29:$A$35,1)))*(MEDIAN($B90-Conversion!$B$14,2020,2050)-INDEX(Report_Scenarios!$A$29:$A$35,MATCH(MEDIAN($B90-Conversion!$B$14,2020,2050),Report_Scenarios!$A$29:$A$35,1)))/(INDEX(Report_Scenarios!$A$29:$A$35,MIN(MATCH(MEDIAN($B90-Conversion!$B$14,2020,2050),Report_Scenarios!$A$29:$A$35,1)+1,7))-INDEX(Report_Scenarios!$A$29:$A$35,MATCH(MEDIAN($B90-Conversion!$B$14,2020,2050),Report_Scenarios!$A$29:$A$35,1))))))</f>
        <v/>
      </c>
      <c r="J90" s="23">
        <f>IF($D90="Conservative",IF(INDEX(Report_Scenarios!$A$7:$A$13,MIN(MATCH(MEDIAN($B90-Conversion!$B$14,2020,2050),Report_Scenarios!$A$7:$A$13,1)+1,7))=INDEX(Report_Scenarios!$A$7:$A$13,MATCH(MEDIAN($B90-Conversion!$B$14,2020,2050),Report_Scenarios!$A$7:$A$13,1)),INDEX(Report_Scenarios!$G$7:$G$13,MATCH(MEDIAN($B90-Conversion!$B$14,2020,2050),Report_Scenarios!$A$7:$A$13,1)),INDEX(Report_Scenarios!$G$7:$G$13,MATCH(MEDIAN($B90-Conversion!$B$14,2020,2050),Report_Scenarios!$A$7:$A$13,1))+(INDEX(Report_Scenarios!$G$7:$G$13,MIN(MATCH(MEDIAN($B90-Conversion!$B$14,2020,2050),Report_Scenarios!$A$7:$A$13,1)+1,7))-INDEX(Report_Scenarios!$G$7:$G$13,MATCH(MEDIAN($B90-Conversion!$B$14,2020,2050),Report_Scenarios!$A$7:$A$13,1)))*(MEDIAN($B90-Conversion!$B$14,2020,2050)-INDEX(Report_Scenarios!$A$7:$A$13,MATCH(MEDIAN($B90-Conversion!$B$14,2020,2050),Report_Scenarios!$A$7:$A$13,1)))/(INDEX(Report_Scenarios!$A$7:$A$13,MIN(MATCH(MEDIAN($B90-Conversion!$B$14,2020,2050),Report_Scenarios!$A$7:$A$13,1)+1,7))-INDEX(Report_Scenarios!$A$7:$A$13,MATCH(MEDIAN($B90-Conversion!$B$14,2020,2050),Report_Scenarios!$A$7:$A$13,1)))),IF($D90="Central",IF(INDEX(Report_Scenarios!$A$18:$A$24,MIN(MATCH(MEDIAN($B90-Conversion!$B$14,2020,2050),Report_Scenarios!$A$18:$A$24,1)+1,7))=INDEX(Report_Scenarios!$A$18:$A$24,MATCH(MEDIAN($B90-Conversion!$B$14,2020,2050),Report_Scenarios!$A$18:$A$24,1)),INDEX(Report_Scenarios!$G$18:$G$24,MATCH(MEDIAN($B90-Conversion!$B$14,2020,2050),Report_Scenarios!$A$18:$A$24,1)),INDEX(Report_Scenarios!$G$18:$G$24,MATCH(MEDIAN($B90-Conversion!$B$14,2020,2050),Report_Scenarios!$A$18:$A$24,1))+(INDEX(Report_Scenarios!$G$18:$G$24,MIN(MATCH(MEDIAN($B90-Conversion!$B$14,2020,2050),Report_Scenarios!$A$18:$A$24,1)+1,7))-INDEX(Report_Scenarios!$G$18:$G$24,MATCH(MEDIAN($B90-Conversion!$B$14,2020,2050),Report_Scenarios!$A$18:$A$24,1)))*(MEDIAN($B90-Conversion!$B$14,2020,2050)-INDEX(Report_Scenarios!$A$18:$A$24,MATCH(MEDIAN($B90-Conversion!$B$14,2020,2050),Report_Scenarios!$A$18:$A$24,1)))/(INDEX(Report_Scenarios!$A$18:$A$24,MIN(MATCH(MEDIAN($B90-Conversion!$B$14,2020,2050),Report_Scenarios!$A$18:$A$24,1)+1,7))-INDEX(Report_Scenarios!$A$18:$A$24,MATCH(MEDIAN($B90-Conversion!$B$14,2020,2050),Report_Scenarios!$A$18:$A$24,1)))),IF(INDEX(Report_Scenarios!$A$29:$A$35,MIN(MATCH(MEDIAN($B90-Conversion!$B$14,2020,2050),Report_Scenarios!$A$29:$A$35,1)+1,7))=INDEX(Report_Scenarios!$A$29:$A$35,MATCH(MEDIAN($B90-Conversion!$B$14,2020,2050),Report_Scenarios!$A$29:$A$35,1)),INDEX(Report_Scenarios!$G$29:$G$35,MATCH(MEDIAN($B90-Conversion!$B$14,2020,2050),Report_Scenarios!$A$29:$A$35,1)),INDEX(Report_Scenarios!$G$29:$G$35,MATCH(MEDIAN($B90-Conversion!$B$14,2020,2050),Report_Scenarios!$A$29:$A$35,1))+(INDEX(Report_Scenarios!$G$29:$G$35,MIN(MATCH(MEDIAN($B90-Conversion!$B$14,2020,2050),Report_Scenarios!$A$29:$A$35,1)+1,7))-INDEX(Report_Scenarios!$G$29:$G$35,MATCH(MEDIAN($B90-Conversion!$B$14,2020,2050),Report_Scenarios!$A$29:$A$35,1)))*(MEDIAN($B90-Conversion!$B$14,2020,2050)-INDEX(Report_Scenarios!$A$29:$A$35,MATCH(MEDIAN($B90-Conversion!$B$14,2020,2050),Report_Scenarios!$A$29:$A$35,1)))/(INDEX(Report_Scenarios!$A$29:$A$35,MIN(MATCH(MEDIAN($B90-Conversion!$B$14,2020,2050),Report_Scenarios!$A$29:$A$35,1)+1,7))-INDEX(Report_Scenarios!$A$29:$A$35,MATCH(MEDIAN($B90-Conversion!$B$14,2020,2050),Report_Scenarios!$A$29:$A$35,1))))))</f>
        <v/>
      </c>
      <c r="K90" s="23">
        <f>SUM(E90:J90)</f>
        <v/>
      </c>
      <c r="L90" s="23">
        <f>IF(R90&lt;&gt;"",R90,IF($K90=0,0,E90/$K90))</f>
        <v/>
      </c>
      <c r="M90" s="23">
        <f>IF(S90&lt;&gt;"",S90,IF($K90=0,0,F90/$K90))</f>
        <v/>
      </c>
      <c r="N90" s="23">
        <f>IF(T90&lt;&gt;"",T90,IF($K90=0,0,G90/$K90))</f>
        <v/>
      </c>
      <c r="O90" s="23">
        <f>IF(U90&lt;&gt;"",U90,IF($K90=0,0,H90/$K90))</f>
        <v/>
      </c>
      <c r="P90" s="23">
        <f>IF(V90&lt;&gt;"",V90,IF($K90=0,0,I90/$K90))</f>
        <v/>
      </c>
      <c r="Q90" s="23">
        <f>IF(W90&lt;&gt;"",W90,IF($K90=0,0,J90/$K90))</f>
        <v/>
      </c>
      <c r="R90" s="24" t="n"/>
      <c r="S90" s="24" t="n"/>
      <c r="T90" s="24" t="n"/>
      <c r="U90" s="24" t="n"/>
      <c r="V90" s="24" t="n"/>
      <c r="W90" s="24" t="n"/>
    </row>
    <row r="91">
      <c r="A91" s="4" t="inlineStr">
        <is>
          <t>EF</t>
        </is>
      </c>
      <c r="B91" s="4" t="n">
        <v>2060</v>
      </c>
      <c r="C91" s="4" t="inlineStr">
        <is>
          <t>Share_Max</t>
        </is>
      </c>
      <c r="D91" s="4">
        <f>Conversion!$B$20</f>
        <v/>
      </c>
      <c r="E91" s="23">
        <f>IF($D91="Conservative",IF(INDEX(Report_Scenarios!$A$7:$A$13,MIN(MATCH(MEDIAN($B91-Conversion!$B$14,2020,2050),Report_Scenarios!$A$7:$A$13,1)+1,7))=INDEX(Report_Scenarios!$A$7:$A$13,MATCH(MEDIAN($B91-Conversion!$B$14,2020,2050),Report_Scenarios!$A$7:$A$13,1)),INDEX(Report_Scenarios!$B$7:$B$13,MATCH(MEDIAN($B91-Conversion!$B$14,2020,2050),Report_Scenarios!$A$7:$A$13,1)),INDEX(Report_Scenarios!$B$7:$B$13,MATCH(MEDIAN($B91-Conversion!$B$14,2020,2050),Report_Scenarios!$A$7:$A$13,1))+(INDEX(Report_Scenarios!$B$7:$B$13,MIN(MATCH(MEDIAN($B91-Conversion!$B$14,2020,2050),Report_Scenarios!$A$7:$A$13,1)+1,7))-INDEX(Report_Scenarios!$B$7:$B$13,MATCH(MEDIAN($B91-Conversion!$B$14,2020,2050),Report_Scenarios!$A$7:$A$13,1)))*(MEDIAN($B91-Conversion!$B$14,2020,2050)-INDEX(Report_Scenarios!$A$7:$A$13,MATCH(MEDIAN($B91-Conversion!$B$14,2020,2050),Report_Scenarios!$A$7:$A$13,1)))/(INDEX(Report_Scenarios!$A$7:$A$13,MIN(MATCH(MEDIAN($B91-Conversion!$B$14,2020,2050),Report_Scenarios!$A$7:$A$13,1)+1,7))-INDEX(Report_Scenarios!$A$7:$A$13,MATCH(MEDIAN($B91-Conversion!$B$14,2020,2050),Report_Scenarios!$A$7:$A$13,1)))),IF($D91="Central",IF(INDEX(Report_Scenarios!$A$18:$A$24,MIN(MATCH(MEDIAN($B91-Conversion!$B$14,2020,2050),Report_Scenarios!$A$18:$A$24,1)+1,7))=INDEX(Report_Scenarios!$A$18:$A$24,MATCH(MEDIAN($B91-Conversion!$B$14,2020,2050),Report_Scenarios!$A$18:$A$24,1)),INDEX(Report_Scenarios!$B$18:$B$24,MATCH(MEDIAN($B91-Conversion!$B$14,2020,2050),Report_Scenarios!$A$18:$A$24,1)),INDEX(Report_Scenarios!$B$18:$B$24,MATCH(MEDIAN($B91-Conversion!$B$14,2020,2050),Report_Scenarios!$A$18:$A$24,1))+(INDEX(Report_Scenarios!$B$18:$B$24,MIN(MATCH(MEDIAN($B91-Conversion!$B$14,2020,2050),Report_Scenarios!$A$18:$A$24,1)+1,7))-INDEX(Report_Scenarios!$B$18:$B$24,MATCH(MEDIAN($B91-Conversion!$B$14,2020,2050),Report_Scenarios!$A$18:$A$24,1)))*(MEDIAN($B91-Conversion!$B$14,2020,2050)-INDEX(Report_Scenarios!$A$18:$A$24,MATCH(MEDIAN($B91-Conversion!$B$14,2020,2050),Report_Scenarios!$A$18:$A$24,1)))/(INDEX(Report_Scenarios!$A$18:$A$24,MIN(MATCH(MEDIAN($B91-Conversion!$B$14,2020,2050),Report_Scenarios!$A$18:$A$24,1)+1,7))-INDEX(Report_Scenarios!$A$18:$A$24,MATCH(MEDIAN($B91-Conversion!$B$14,2020,2050),Report_Scenarios!$A$18:$A$24,1)))),IF(INDEX(Report_Scenarios!$A$29:$A$35,MIN(MATCH(MEDIAN($B91-Conversion!$B$14,2020,2050),Report_Scenarios!$A$29:$A$35,1)+1,7))=INDEX(Report_Scenarios!$A$29:$A$35,MATCH(MEDIAN($B91-Conversion!$B$14,2020,2050),Report_Scenarios!$A$29:$A$35,1)),INDEX(Report_Scenarios!$B$29:$B$35,MATCH(MEDIAN($B91-Conversion!$B$14,2020,2050),Report_Scenarios!$A$29:$A$35,1)),INDEX(Report_Scenarios!$B$29:$B$35,MATCH(MEDIAN($B91-Conversion!$B$14,2020,2050),Report_Scenarios!$A$29:$A$35,1))+(INDEX(Report_Scenarios!$B$29:$B$35,MIN(MATCH(MEDIAN($B91-Conversion!$B$14,2020,2050),Report_Scenarios!$A$29:$A$35,1)+1,7))-INDEX(Report_Scenarios!$B$29:$B$35,MATCH(MEDIAN($B91-Conversion!$B$14,2020,2050),Report_Scenarios!$A$29:$A$35,1)))*(MEDIAN($B91-Conversion!$B$14,2020,2050)-INDEX(Report_Scenarios!$A$29:$A$35,MATCH(MEDIAN($B91-Conversion!$B$14,2020,2050),Report_Scenarios!$A$29:$A$35,1)))/(INDEX(Report_Scenarios!$A$29:$A$35,MIN(MATCH(MEDIAN($B91-Conversion!$B$14,2020,2050),Report_Scenarios!$A$29:$A$35,1)+1,7))-INDEX(Report_Scenarios!$A$29:$A$35,MATCH(MEDIAN($B91-Conversion!$B$14,2020,2050),Report_Scenarios!$A$29:$A$35,1))))))</f>
        <v/>
      </c>
      <c r="F91" s="23">
        <f>IF($D91="Conservative",IF(INDEX(Report_Scenarios!$A$7:$A$13,MIN(MATCH(MEDIAN($B91-Conversion!$B$14,2020,2050),Report_Scenarios!$A$7:$A$13,1)+1,7))=INDEX(Report_Scenarios!$A$7:$A$13,MATCH(MEDIAN($B91-Conversion!$B$14,2020,2050),Report_Scenarios!$A$7:$A$13,1)),INDEX(Report_Scenarios!$C$7:$C$13,MATCH(MEDIAN($B91-Conversion!$B$14,2020,2050),Report_Scenarios!$A$7:$A$13,1)),INDEX(Report_Scenarios!$C$7:$C$13,MATCH(MEDIAN($B91-Conversion!$B$14,2020,2050),Report_Scenarios!$A$7:$A$13,1))+(INDEX(Report_Scenarios!$C$7:$C$13,MIN(MATCH(MEDIAN($B91-Conversion!$B$14,2020,2050),Report_Scenarios!$A$7:$A$13,1)+1,7))-INDEX(Report_Scenarios!$C$7:$C$13,MATCH(MEDIAN($B91-Conversion!$B$14,2020,2050),Report_Scenarios!$A$7:$A$13,1)))*(MEDIAN($B91-Conversion!$B$14,2020,2050)-INDEX(Report_Scenarios!$A$7:$A$13,MATCH(MEDIAN($B91-Conversion!$B$14,2020,2050),Report_Scenarios!$A$7:$A$13,1)))/(INDEX(Report_Scenarios!$A$7:$A$13,MIN(MATCH(MEDIAN($B91-Conversion!$B$14,2020,2050),Report_Scenarios!$A$7:$A$13,1)+1,7))-INDEX(Report_Scenarios!$A$7:$A$13,MATCH(MEDIAN($B91-Conversion!$B$14,2020,2050),Report_Scenarios!$A$7:$A$13,1)))),IF($D91="Central",IF(INDEX(Report_Scenarios!$A$18:$A$24,MIN(MATCH(MEDIAN($B91-Conversion!$B$14,2020,2050),Report_Scenarios!$A$18:$A$24,1)+1,7))=INDEX(Report_Scenarios!$A$18:$A$24,MATCH(MEDIAN($B91-Conversion!$B$14,2020,2050),Report_Scenarios!$A$18:$A$24,1)),INDEX(Report_Scenarios!$C$18:$C$24,MATCH(MEDIAN($B91-Conversion!$B$14,2020,2050),Report_Scenarios!$A$18:$A$24,1)),INDEX(Report_Scenarios!$C$18:$C$24,MATCH(MEDIAN($B91-Conversion!$B$14,2020,2050),Report_Scenarios!$A$18:$A$24,1))+(INDEX(Report_Scenarios!$C$18:$C$24,MIN(MATCH(MEDIAN($B91-Conversion!$B$14,2020,2050),Report_Scenarios!$A$18:$A$24,1)+1,7))-INDEX(Report_Scenarios!$C$18:$C$24,MATCH(MEDIAN($B91-Conversion!$B$14,2020,2050),Report_Scenarios!$A$18:$A$24,1)))*(MEDIAN($B91-Conversion!$B$14,2020,2050)-INDEX(Report_Scenarios!$A$18:$A$24,MATCH(MEDIAN($B91-Conversion!$B$14,2020,2050),Report_Scenarios!$A$18:$A$24,1)))/(INDEX(Report_Scenarios!$A$18:$A$24,MIN(MATCH(MEDIAN($B91-Conversion!$B$14,2020,2050),Report_Scenarios!$A$18:$A$24,1)+1,7))-INDEX(Report_Scenarios!$A$18:$A$24,MATCH(MEDIAN($B91-Conversion!$B$14,2020,2050),Report_Scenarios!$A$18:$A$24,1)))),IF(INDEX(Report_Scenarios!$A$29:$A$35,MIN(MATCH(MEDIAN($B91-Conversion!$B$14,2020,2050),Report_Scenarios!$A$29:$A$35,1)+1,7))=INDEX(Report_Scenarios!$A$29:$A$35,MATCH(MEDIAN($B91-Conversion!$B$14,2020,2050),Report_Scenarios!$A$29:$A$35,1)),INDEX(Report_Scenarios!$C$29:$C$35,MATCH(MEDIAN($B91-Conversion!$B$14,2020,2050),Report_Scenarios!$A$29:$A$35,1)),INDEX(Report_Scenarios!$C$29:$C$35,MATCH(MEDIAN($B91-Conversion!$B$14,2020,2050),Report_Scenarios!$A$29:$A$35,1))+(INDEX(Report_Scenarios!$C$29:$C$35,MIN(MATCH(MEDIAN($B91-Conversion!$B$14,2020,2050),Report_Scenarios!$A$29:$A$35,1)+1,7))-INDEX(Report_Scenarios!$C$29:$C$35,MATCH(MEDIAN($B91-Conversion!$B$14,2020,2050),Report_Scenarios!$A$29:$A$35,1)))*(MEDIAN($B91-Conversion!$B$14,2020,2050)-INDEX(Report_Scenarios!$A$29:$A$35,MATCH(MEDIAN($B91-Conversion!$B$14,2020,2050),Report_Scenarios!$A$29:$A$35,1)))/(INDEX(Report_Scenarios!$A$29:$A$35,MIN(MATCH(MEDIAN($B91-Conversion!$B$14,2020,2050),Report_Scenarios!$A$29:$A$35,1)+1,7))-INDEX(Report_Scenarios!$A$29:$A$35,MATCH(MEDIAN($B91-Conversion!$B$14,2020,2050),Report_Scenarios!$A$29:$A$35,1))))))</f>
        <v/>
      </c>
      <c r="G91" s="23">
        <f>IF($D91="Conservative",IF(INDEX(Report_Scenarios!$A$7:$A$13,MIN(MATCH(MEDIAN($B91-Conversion!$B$14,2020,2050),Report_Scenarios!$A$7:$A$13,1)+1,7))=INDEX(Report_Scenarios!$A$7:$A$13,MATCH(MEDIAN($B91-Conversion!$B$14,2020,2050),Report_Scenarios!$A$7:$A$13,1)),INDEX(Report_Scenarios!$D$7:$D$13,MATCH(MEDIAN($B91-Conversion!$B$14,2020,2050),Report_Scenarios!$A$7:$A$13,1)),INDEX(Report_Scenarios!$D$7:$D$13,MATCH(MEDIAN($B91-Conversion!$B$14,2020,2050),Report_Scenarios!$A$7:$A$13,1))+(INDEX(Report_Scenarios!$D$7:$D$13,MIN(MATCH(MEDIAN($B91-Conversion!$B$14,2020,2050),Report_Scenarios!$A$7:$A$13,1)+1,7))-INDEX(Report_Scenarios!$D$7:$D$13,MATCH(MEDIAN($B91-Conversion!$B$14,2020,2050),Report_Scenarios!$A$7:$A$13,1)))*(MEDIAN($B91-Conversion!$B$14,2020,2050)-INDEX(Report_Scenarios!$A$7:$A$13,MATCH(MEDIAN($B91-Conversion!$B$14,2020,2050),Report_Scenarios!$A$7:$A$13,1)))/(INDEX(Report_Scenarios!$A$7:$A$13,MIN(MATCH(MEDIAN($B91-Conversion!$B$14,2020,2050),Report_Scenarios!$A$7:$A$13,1)+1,7))-INDEX(Report_Scenarios!$A$7:$A$13,MATCH(MEDIAN($B91-Conversion!$B$14,2020,2050),Report_Scenarios!$A$7:$A$13,1)))),IF($D91="Central",IF(INDEX(Report_Scenarios!$A$18:$A$24,MIN(MATCH(MEDIAN($B91-Conversion!$B$14,2020,2050),Report_Scenarios!$A$18:$A$24,1)+1,7))=INDEX(Report_Scenarios!$A$18:$A$24,MATCH(MEDIAN($B91-Conversion!$B$14,2020,2050),Report_Scenarios!$A$18:$A$24,1)),INDEX(Report_Scenarios!$D$18:$D$24,MATCH(MEDIAN($B91-Conversion!$B$14,2020,2050),Report_Scenarios!$A$18:$A$24,1)),INDEX(Report_Scenarios!$D$18:$D$24,MATCH(MEDIAN($B91-Conversion!$B$14,2020,2050),Report_Scenarios!$A$18:$A$24,1))+(INDEX(Report_Scenarios!$D$18:$D$24,MIN(MATCH(MEDIAN($B91-Conversion!$B$14,2020,2050),Report_Scenarios!$A$18:$A$24,1)+1,7))-INDEX(Report_Scenarios!$D$18:$D$24,MATCH(MEDIAN($B91-Conversion!$B$14,2020,2050),Report_Scenarios!$A$18:$A$24,1)))*(MEDIAN($B91-Conversion!$B$14,2020,2050)-INDEX(Report_Scenarios!$A$18:$A$24,MATCH(MEDIAN($B91-Conversion!$B$14,2020,2050),Report_Scenarios!$A$18:$A$24,1)))/(INDEX(Report_Scenarios!$A$18:$A$24,MIN(MATCH(MEDIAN($B91-Conversion!$B$14,2020,2050),Report_Scenarios!$A$18:$A$24,1)+1,7))-INDEX(Report_Scenarios!$A$18:$A$24,MATCH(MEDIAN($B91-Conversion!$B$14,2020,2050),Report_Scenarios!$A$18:$A$24,1)))),IF(INDEX(Report_Scenarios!$A$29:$A$35,MIN(MATCH(MEDIAN($B91-Conversion!$B$14,2020,2050),Report_Scenarios!$A$29:$A$35,1)+1,7))=INDEX(Report_Scenarios!$A$29:$A$35,MATCH(MEDIAN($B91-Conversion!$B$14,2020,2050),Report_Scenarios!$A$29:$A$35,1)),INDEX(Report_Scenarios!$D$29:$D$35,MATCH(MEDIAN($B91-Conversion!$B$14,2020,2050),Report_Scenarios!$A$29:$A$35,1)),INDEX(Report_Scenarios!$D$29:$D$35,MATCH(MEDIAN($B91-Conversion!$B$14,2020,2050),Report_Scenarios!$A$29:$A$35,1))+(INDEX(Report_Scenarios!$D$29:$D$35,MIN(MATCH(MEDIAN($B91-Conversion!$B$14,2020,2050),Report_Scenarios!$A$29:$A$35,1)+1,7))-INDEX(Report_Scenarios!$D$29:$D$35,MATCH(MEDIAN($B91-Conversion!$B$14,2020,2050),Report_Scenarios!$A$29:$A$35,1)))*(MEDIAN($B91-Conversion!$B$14,2020,2050)-INDEX(Report_Scenarios!$A$29:$A$35,MATCH(MEDIAN($B91-Conversion!$B$14,2020,2050),Report_Scenarios!$A$29:$A$35,1)))/(INDEX(Report_Scenarios!$A$29:$A$35,MIN(MATCH(MEDIAN($B91-Conversion!$B$14,2020,2050),Report_Scenarios!$A$29:$A$35,1)+1,7))-INDEX(Report_Scenarios!$A$29:$A$35,MATCH(MEDIAN($B91-Conversion!$B$14,2020,2050),Report_Scenarios!$A$29:$A$35,1))))))</f>
        <v/>
      </c>
      <c r="H91" s="23">
        <f>IF($D91="Conservative",IF(INDEX(Report_Scenarios!$A$7:$A$13,MIN(MATCH(MEDIAN($B91-Conversion!$B$14,2020,2050),Report_Scenarios!$A$7:$A$13,1)+1,7))=INDEX(Report_Scenarios!$A$7:$A$13,MATCH(MEDIAN($B91-Conversion!$B$14,2020,2050),Report_Scenarios!$A$7:$A$13,1)),INDEX(Report_Scenarios!$E$7:$E$13,MATCH(MEDIAN($B91-Conversion!$B$14,2020,2050),Report_Scenarios!$A$7:$A$13,1)),INDEX(Report_Scenarios!$E$7:$E$13,MATCH(MEDIAN($B91-Conversion!$B$14,2020,2050),Report_Scenarios!$A$7:$A$13,1))+(INDEX(Report_Scenarios!$E$7:$E$13,MIN(MATCH(MEDIAN($B91-Conversion!$B$14,2020,2050),Report_Scenarios!$A$7:$A$13,1)+1,7))-INDEX(Report_Scenarios!$E$7:$E$13,MATCH(MEDIAN($B91-Conversion!$B$14,2020,2050),Report_Scenarios!$A$7:$A$13,1)))*(MEDIAN($B91-Conversion!$B$14,2020,2050)-INDEX(Report_Scenarios!$A$7:$A$13,MATCH(MEDIAN($B91-Conversion!$B$14,2020,2050),Report_Scenarios!$A$7:$A$13,1)))/(INDEX(Report_Scenarios!$A$7:$A$13,MIN(MATCH(MEDIAN($B91-Conversion!$B$14,2020,2050),Report_Scenarios!$A$7:$A$13,1)+1,7))-INDEX(Report_Scenarios!$A$7:$A$13,MATCH(MEDIAN($B91-Conversion!$B$14,2020,2050),Report_Scenarios!$A$7:$A$13,1)))),IF($D91="Central",IF(INDEX(Report_Scenarios!$A$18:$A$24,MIN(MATCH(MEDIAN($B91-Conversion!$B$14,2020,2050),Report_Scenarios!$A$18:$A$24,1)+1,7))=INDEX(Report_Scenarios!$A$18:$A$24,MATCH(MEDIAN($B91-Conversion!$B$14,2020,2050),Report_Scenarios!$A$18:$A$24,1)),INDEX(Report_Scenarios!$E$18:$E$24,MATCH(MEDIAN($B91-Conversion!$B$14,2020,2050),Report_Scenarios!$A$18:$A$24,1)),INDEX(Report_Scenarios!$E$18:$E$24,MATCH(MEDIAN($B91-Conversion!$B$14,2020,2050),Report_Scenarios!$A$18:$A$24,1))+(INDEX(Report_Scenarios!$E$18:$E$24,MIN(MATCH(MEDIAN($B91-Conversion!$B$14,2020,2050),Report_Scenarios!$A$18:$A$24,1)+1,7))-INDEX(Report_Scenarios!$E$18:$E$24,MATCH(MEDIAN($B91-Conversion!$B$14,2020,2050),Report_Scenarios!$A$18:$A$24,1)))*(MEDIAN($B91-Conversion!$B$14,2020,2050)-INDEX(Report_Scenarios!$A$18:$A$24,MATCH(MEDIAN($B91-Conversion!$B$14,2020,2050),Report_Scenarios!$A$18:$A$24,1)))/(INDEX(Report_Scenarios!$A$18:$A$24,MIN(MATCH(MEDIAN($B91-Conversion!$B$14,2020,2050),Report_Scenarios!$A$18:$A$24,1)+1,7))-INDEX(Report_Scenarios!$A$18:$A$24,MATCH(MEDIAN($B91-Conversion!$B$14,2020,2050),Report_Scenarios!$A$18:$A$24,1)))),IF(INDEX(Report_Scenarios!$A$29:$A$35,MIN(MATCH(MEDIAN($B91-Conversion!$B$14,2020,2050),Report_Scenarios!$A$29:$A$35,1)+1,7))=INDEX(Report_Scenarios!$A$29:$A$35,MATCH(MEDIAN($B91-Conversion!$B$14,2020,2050),Report_Scenarios!$A$29:$A$35,1)),INDEX(Report_Scenarios!$E$29:$E$35,MATCH(MEDIAN($B91-Conversion!$B$14,2020,2050),Report_Scenarios!$A$29:$A$35,1)),INDEX(Report_Scenarios!$E$29:$E$35,MATCH(MEDIAN($B91-Conversion!$B$14,2020,2050),Report_Scenarios!$A$29:$A$35,1))+(INDEX(Report_Scenarios!$E$29:$E$35,MIN(MATCH(MEDIAN($B91-Conversion!$B$14,2020,2050),Report_Scenarios!$A$29:$A$35,1)+1,7))-INDEX(Report_Scenarios!$E$29:$E$35,MATCH(MEDIAN($B91-Conversion!$B$14,2020,2050),Report_Scenarios!$A$29:$A$35,1)))*(MEDIAN($B91-Conversion!$B$14,2020,2050)-INDEX(Report_Scenarios!$A$29:$A$35,MATCH(MEDIAN($B91-Conversion!$B$14,2020,2050),Report_Scenarios!$A$29:$A$35,1)))/(INDEX(Report_Scenarios!$A$29:$A$35,MIN(MATCH(MEDIAN($B91-Conversion!$B$14,2020,2050),Report_Scenarios!$A$29:$A$35,1)+1,7))-INDEX(Report_Scenarios!$A$29:$A$35,MATCH(MEDIAN($B91-Conversion!$B$14,2020,2050),Report_Scenarios!$A$29:$A$35,1))))))</f>
        <v/>
      </c>
      <c r="I91" s="23">
        <f>IF($D91="Conservative",IF(INDEX(Report_Scenarios!$A$7:$A$13,MIN(MATCH(MEDIAN($B91-Conversion!$B$14,2020,2050),Report_Scenarios!$A$7:$A$13,1)+1,7))=INDEX(Report_Scenarios!$A$7:$A$13,MATCH(MEDIAN($B91-Conversion!$B$14,2020,2050),Report_Scenarios!$A$7:$A$13,1)),INDEX(Report_Scenarios!$F$7:$F$13,MATCH(MEDIAN($B91-Conversion!$B$14,2020,2050),Report_Scenarios!$A$7:$A$13,1)),INDEX(Report_Scenarios!$F$7:$F$13,MATCH(MEDIAN($B91-Conversion!$B$14,2020,2050),Report_Scenarios!$A$7:$A$13,1))+(INDEX(Report_Scenarios!$F$7:$F$13,MIN(MATCH(MEDIAN($B91-Conversion!$B$14,2020,2050),Report_Scenarios!$A$7:$A$13,1)+1,7))-INDEX(Report_Scenarios!$F$7:$F$13,MATCH(MEDIAN($B91-Conversion!$B$14,2020,2050),Report_Scenarios!$A$7:$A$13,1)))*(MEDIAN($B91-Conversion!$B$14,2020,2050)-INDEX(Report_Scenarios!$A$7:$A$13,MATCH(MEDIAN($B91-Conversion!$B$14,2020,2050),Report_Scenarios!$A$7:$A$13,1)))/(INDEX(Report_Scenarios!$A$7:$A$13,MIN(MATCH(MEDIAN($B91-Conversion!$B$14,2020,2050),Report_Scenarios!$A$7:$A$13,1)+1,7))-INDEX(Report_Scenarios!$A$7:$A$13,MATCH(MEDIAN($B91-Conversion!$B$14,2020,2050),Report_Scenarios!$A$7:$A$13,1)))),IF($D91="Central",IF(INDEX(Report_Scenarios!$A$18:$A$24,MIN(MATCH(MEDIAN($B91-Conversion!$B$14,2020,2050),Report_Scenarios!$A$18:$A$24,1)+1,7))=INDEX(Report_Scenarios!$A$18:$A$24,MATCH(MEDIAN($B91-Conversion!$B$14,2020,2050),Report_Scenarios!$A$18:$A$24,1)),INDEX(Report_Scenarios!$F$18:$F$24,MATCH(MEDIAN($B91-Conversion!$B$14,2020,2050),Report_Scenarios!$A$18:$A$24,1)),INDEX(Report_Scenarios!$F$18:$F$24,MATCH(MEDIAN($B91-Conversion!$B$14,2020,2050),Report_Scenarios!$A$18:$A$24,1))+(INDEX(Report_Scenarios!$F$18:$F$24,MIN(MATCH(MEDIAN($B91-Conversion!$B$14,2020,2050),Report_Scenarios!$A$18:$A$24,1)+1,7))-INDEX(Report_Scenarios!$F$18:$F$24,MATCH(MEDIAN($B91-Conversion!$B$14,2020,2050),Report_Scenarios!$A$18:$A$24,1)))*(MEDIAN($B91-Conversion!$B$14,2020,2050)-INDEX(Report_Scenarios!$A$18:$A$24,MATCH(MEDIAN($B91-Conversion!$B$14,2020,2050),Report_Scenarios!$A$18:$A$24,1)))/(INDEX(Report_Scenarios!$A$18:$A$24,MIN(MATCH(MEDIAN($B91-Conversion!$B$14,2020,2050),Report_Scenarios!$A$18:$A$24,1)+1,7))-INDEX(Report_Scenarios!$A$18:$A$24,MATCH(MEDIAN($B91-Conversion!$B$14,2020,2050),Report_Scenarios!$A$18:$A$24,1)))),IF(INDEX(Report_Scenarios!$A$29:$A$35,MIN(MATCH(MEDIAN($B91-Conversion!$B$14,2020,2050),Report_Scenarios!$A$29:$A$35,1)+1,7))=INDEX(Report_Scenarios!$A$29:$A$35,MATCH(MEDIAN($B91-Conversion!$B$14,2020,2050),Report_Scenarios!$A$29:$A$35,1)),INDEX(Report_Scenarios!$F$29:$F$35,MATCH(MEDIAN($B91-Conversion!$B$14,2020,2050),Report_Scenarios!$A$29:$A$35,1)),INDEX(Report_Scenarios!$F$29:$F$35,MATCH(MEDIAN($B91-Conversion!$B$14,2020,2050),Report_Scenarios!$A$29:$A$35,1))+(INDEX(Report_Scenarios!$F$29:$F$35,MIN(MATCH(MEDIAN($B91-Conversion!$B$14,2020,2050),Report_Scenarios!$A$29:$A$35,1)+1,7))-INDEX(Report_Scenarios!$F$29:$F$35,MATCH(MEDIAN($B91-Conversion!$B$14,2020,2050),Report_Scenarios!$A$29:$A$35,1)))*(MEDIAN($B91-Conversion!$B$14,2020,2050)-INDEX(Report_Scenarios!$A$29:$A$35,MATCH(MEDIAN($B91-Conversion!$B$14,2020,2050),Report_Scenarios!$A$29:$A$35,1)))/(INDEX(Report_Scenarios!$A$29:$A$35,MIN(MATCH(MEDIAN($B91-Conversion!$B$14,2020,2050),Report_Scenarios!$A$29:$A$35,1)+1,7))-INDEX(Report_Scenarios!$A$29:$A$35,MATCH(MEDIAN($B91-Conversion!$B$14,2020,2050),Report_Scenarios!$A$29:$A$35,1))))))</f>
        <v/>
      </c>
      <c r="J91" s="23">
        <f>IF($D91="Conservative",IF(INDEX(Report_Scenarios!$A$7:$A$13,MIN(MATCH(MEDIAN($B91-Conversion!$B$14,2020,2050),Report_Scenarios!$A$7:$A$13,1)+1,7))=INDEX(Report_Scenarios!$A$7:$A$13,MATCH(MEDIAN($B91-Conversion!$B$14,2020,2050),Report_Scenarios!$A$7:$A$13,1)),INDEX(Report_Scenarios!$G$7:$G$13,MATCH(MEDIAN($B91-Conversion!$B$14,2020,2050),Report_Scenarios!$A$7:$A$13,1)),INDEX(Report_Scenarios!$G$7:$G$13,MATCH(MEDIAN($B91-Conversion!$B$14,2020,2050),Report_Scenarios!$A$7:$A$13,1))+(INDEX(Report_Scenarios!$G$7:$G$13,MIN(MATCH(MEDIAN($B91-Conversion!$B$14,2020,2050),Report_Scenarios!$A$7:$A$13,1)+1,7))-INDEX(Report_Scenarios!$G$7:$G$13,MATCH(MEDIAN($B91-Conversion!$B$14,2020,2050),Report_Scenarios!$A$7:$A$13,1)))*(MEDIAN($B91-Conversion!$B$14,2020,2050)-INDEX(Report_Scenarios!$A$7:$A$13,MATCH(MEDIAN($B91-Conversion!$B$14,2020,2050),Report_Scenarios!$A$7:$A$13,1)))/(INDEX(Report_Scenarios!$A$7:$A$13,MIN(MATCH(MEDIAN($B91-Conversion!$B$14,2020,2050),Report_Scenarios!$A$7:$A$13,1)+1,7))-INDEX(Report_Scenarios!$A$7:$A$13,MATCH(MEDIAN($B91-Conversion!$B$14,2020,2050),Report_Scenarios!$A$7:$A$13,1)))),IF($D91="Central",IF(INDEX(Report_Scenarios!$A$18:$A$24,MIN(MATCH(MEDIAN($B91-Conversion!$B$14,2020,2050),Report_Scenarios!$A$18:$A$24,1)+1,7))=INDEX(Report_Scenarios!$A$18:$A$24,MATCH(MEDIAN($B91-Conversion!$B$14,2020,2050),Report_Scenarios!$A$18:$A$24,1)),INDEX(Report_Scenarios!$G$18:$G$24,MATCH(MEDIAN($B91-Conversion!$B$14,2020,2050),Report_Scenarios!$A$18:$A$24,1)),INDEX(Report_Scenarios!$G$18:$G$24,MATCH(MEDIAN($B91-Conversion!$B$14,2020,2050),Report_Scenarios!$A$18:$A$24,1))+(INDEX(Report_Scenarios!$G$18:$G$24,MIN(MATCH(MEDIAN($B91-Conversion!$B$14,2020,2050),Report_Scenarios!$A$18:$A$24,1)+1,7))-INDEX(Report_Scenarios!$G$18:$G$24,MATCH(MEDIAN($B91-Conversion!$B$14,2020,2050),Report_Scenarios!$A$18:$A$24,1)))*(MEDIAN($B91-Conversion!$B$14,2020,2050)-INDEX(Report_Scenarios!$A$18:$A$24,MATCH(MEDIAN($B91-Conversion!$B$14,2020,2050),Report_Scenarios!$A$18:$A$24,1)))/(INDEX(Report_Scenarios!$A$18:$A$24,MIN(MATCH(MEDIAN($B91-Conversion!$B$14,2020,2050),Report_Scenarios!$A$18:$A$24,1)+1,7))-INDEX(Report_Scenarios!$A$18:$A$24,MATCH(MEDIAN($B91-Conversion!$B$14,2020,2050),Report_Scenarios!$A$18:$A$24,1)))),IF(INDEX(Report_Scenarios!$A$29:$A$35,MIN(MATCH(MEDIAN($B91-Conversion!$B$14,2020,2050),Report_Scenarios!$A$29:$A$35,1)+1,7))=INDEX(Report_Scenarios!$A$29:$A$35,MATCH(MEDIAN($B91-Conversion!$B$14,2020,2050),Report_Scenarios!$A$29:$A$35,1)),INDEX(Report_Scenarios!$G$29:$G$35,MATCH(MEDIAN($B91-Conversion!$B$14,2020,2050),Report_Scenarios!$A$29:$A$35,1)),INDEX(Report_Scenarios!$G$29:$G$35,MATCH(MEDIAN($B91-Conversion!$B$14,2020,2050),Report_Scenarios!$A$29:$A$35,1))+(INDEX(Report_Scenarios!$G$29:$G$35,MIN(MATCH(MEDIAN($B91-Conversion!$B$14,2020,2050),Report_Scenarios!$A$29:$A$35,1)+1,7))-INDEX(Report_Scenarios!$G$29:$G$35,MATCH(MEDIAN($B91-Conversion!$B$14,2020,2050),Report_Scenarios!$A$29:$A$35,1)))*(MEDIAN($B91-Conversion!$B$14,2020,2050)-INDEX(Report_Scenarios!$A$29:$A$35,MATCH(MEDIAN($B91-Conversion!$B$14,2020,2050),Report_Scenarios!$A$29:$A$35,1)))/(INDEX(Report_Scenarios!$A$29:$A$35,MIN(MATCH(MEDIAN($B91-Conversion!$B$14,2020,2050),Report_Scenarios!$A$29:$A$35,1)+1,7))-INDEX(Report_Scenarios!$A$29:$A$35,MATCH(MEDIAN($B91-Conversion!$B$14,2020,2050),Report_Scenarios!$A$29:$A$35,1))))))</f>
        <v/>
      </c>
      <c r="K91" s="23">
        <f>SUM(E91:J91)</f>
        <v/>
      </c>
      <c r="L91" s="23">
        <f>IF(R91&lt;&gt;"",R91,IF($K91=0,0,E91/$K91))</f>
        <v/>
      </c>
      <c r="M91" s="23">
        <f>IF(S91&lt;&gt;"",S91,IF($K91=0,0,F91/$K91))</f>
        <v/>
      </c>
      <c r="N91" s="23">
        <f>IF(T91&lt;&gt;"",T91,IF($K91=0,0,G91/$K91))</f>
        <v/>
      </c>
      <c r="O91" s="23">
        <f>IF(U91&lt;&gt;"",U91,IF($K91=0,0,H91/$K91))</f>
        <v/>
      </c>
      <c r="P91" s="23">
        <f>IF(V91&lt;&gt;"",V91,IF($K91=0,0,I91/$K91))</f>
        <v/>
      </c>
      <c r="Q91" s="23">
        <f>IF(W91&lt;&gt;"",W91,IF($K91=0,0,J91/$K91))</f>
        <v/>
      </c>
      <c r="R91" s="24" t="n"/>
      <c r="S91" s="24" t="n"/>
      <c r="T91" s="24" t="n"/>
      <c r="U91" s="24" t="n"/>
      <c r="V91" s="24" t="n"/>
      <c r="W91" s="24" t="n"/>
    </row>
    <row r="92">
      <c r="A92" s="4" t="inlineStr">
        <is>
          <t>EF</t>
        </is>
      </c>
      <c r="B92" s="4" t="n">
        <v>2070</v>
      </c>
      <c r="C92" s="4" t="inlineStr">
        <is>
          <t>Share_Min</t>
        </is>
      </c>
      <c r="D92" s="4">
        <f>Conversion!$B$18</f>
        <v/>
      </c>
      <c r="E92" s="23">
        <f>IF($D92="Conservative",IF(INDEX(Report_Scenarios!$A$7:$A$13,MIN(MATCH(MEDIAN($B92-Conversion!$B$14,2020,2050),Report_Scenarios!$A$7:$A$13,1)+1,7))=INDEX(Report_Scenarios!$A$7:$A$13,MATCH(MEDIAN($B92-Conversion!$B$14,2020,2050),Report_Scenarios!$A$7:$A$13,1)),INDEX(Report_Scenarios!$B$7:$B$13,MATCH(MEDIAN($B92-Conversion!$B$14,2020,2050),Report_Scenarios!$A$7:$A$13,1)),INDEX(Report_Scenarios!$B$7:$B$13,MATCH(MEDIAN($B92-Conversion!$B$14,2020,2050),Report_Scenarios!$A$7:$A$13,1))+(INDEX(Report_Scenarios!$B$7:$B$13,MIN(MATCH(MEDIAN($B92-Conversion!$B$14,2020,2050),Report_Scenarios!$A$7:$A$13,1)+1,7))-INDEX(Report_Scenarios!$B$7:$B$13,MATCH(MEDIAN($B92-Conversion!$B$14,2020,2050),Report_Scenarios!$A$7:$A$13,1)))*(MEDIAN($B92-Conversion!$B$14,2020,2050)-INDEX(Report_Scenarios!$A$7:$A$13,MATCH(MEDIAN($B92-Conversion!$B$14,2020,2050),Report_Scenarios!$A$7:$A$13,1)))/(INDEX(Report_Scenarios!$A$7:$A$13,MIN(MATCH(MEDIAN($B92-Conversion!$B$14,2020,2050),Report_Scenarios!$A$7:$A$13,1)+1,7))-INDEX(Report_Scenarios!$A$7:$A$13,MATCH(MEDIAN($B92-Conversion!$B$14,2020,2050),Report_Scenarios!$A$7:$A$13,1)))),IF($D92="Central",IF(INDEX(Report_Scenarios!$A$18:$A$24,MIN(MATCH(MEDIAN($B92-Conversion!$B$14,2020,2050),Report_Scenarios!$A$18:$A$24,1)+1,7))=INDEX(Report_Scenarios!$A$18:$A$24,MATCH(MEDIAN($B92-Conversion!$B$14,2020,2050),Report_Scenarios!$A$18:$A$24,1)),INDEX(Report_Scenarios!$B$18:$B$24,MATCH(MEDIAN($B92-Conversion!$B$14,2020,2050),Report_Scenarios!$A$18:$A$24,1)),INDEX(Report_Scenarios!$B$18:$B$24,MATCH(MEDIAN($B92-Conversion!$B$14,2020,2050),Report_Scenarios!$A$18:$A$24,1))+(INDEX(Report_Scenarios!$B$18:$B$24,MIN(MATCH(MEDIAN($B92-Conversion!$B$14,2020,2050),Report_Scenarios!$A$18:$A$24,1)+1,7))-INDEX(Report_Scenarios!$B$18:$B$24,MATCH(MEDIAN($B92-Conversion!$B$14,2020,2050),Report_Scenarios!$A$18:$A$24,1)))*(MEDIAN($B92-Conversion!$B$14,2020,2050)-INDEX(Report_Scenarios!$A$18:$A$24,MATCH(MEDIAN($B92-Conversion!$B$14,2020,2050),Report_Scenarios!$A$18:$A$24,1)))/(INDEX(Report_Scenarios!$A$18:$A$24,MIN(MATCH(MEDIAN($B92-Conversion!$B$14,2020,2050),Report_Scenarios!$A$18:$A$24,1)+1,7))-INDEX(Report_Scenarios!$A$18:$A$24,MATCH(MEDIAN($B92-Conversion!$B$14,2020,2050),Report_Scenarios!$A$18:$A$24,1)))),IF(INDEX(Report_Scenarios!$A$29:$A$35,MIN(MATCH(MEDIAN($B92-Conversion!$B$14,2020,2050),Report_Scenarios!$A$29:$A$35,1)+1,7))=INDEX(Report_Scenarios!$A$29:$A$35,MATCH(MEDIAN($B92-Conversion!$B$14,2020,2050),Report_Scenarios!$A$29:$A$35,1)),INDEX(Report_Scenarios!$B$29:$B$35,MATCH(MEDIAN($B92-Conversion!$B$14,2020,2050),Report_Scenarios!$A$29:$A$35,1)),INDEX(Report_Scenarios!$B$29:$B$35,MATCH(MEDIAN($B92-Conversion!$B$14,2020,2050),Report_Scenarios!$A$29:$A$35,1))+(INDEX(Report_Scenarios!$B$29:$B$35,MIN(MATCH(MEDIAN($B92-Conversion!$B$14,2020,2050),Report_Scenarios!$A$29:$A$35,1)+1,7))-INDEX(Report_Scenarios!$B$29:$B$35,MATCH(MEDIAN($B92-Conversion!$B$14,2020,2050),Report_Scenarios!$A$29:$A$35,1)))*(MEDIAN($B92-Conversion!$B$14,2020,2050)-INDEX(Report_Scenarios!$A$29:$A$35,MATCH(MEDIAN($B92-Conversion!$B$14,2020,2050),Report_Scenarios!$A$29:$A$35,1)))/(INDEX(Report_Scenarios!$A$29:$A$35,MIN(MATCH(MEDIAN($B92-Conversion!$B$14,2020,2050),Report_Scenarios!$A$29:$A$35,1)+1,7))-INDEX(Report_Scenarios!$A$29:$A$35,MATCH(MEDIAN($B92-Conversion!$B$14,2020,2050),Report_Scenarios!$A$29:$A$35,1))))))</f>
        <v/>
      </c>
      <c r="F92" s="23">
        <f>IF($D92="Conservative",IF(INDEX(Report_Scenarios!$A$7:$A$13,MIN(MATCH(MEDIAN($B92-Conversion!$B$14,2020,2050),Report_Scenarios!$A$7:$A$13,1)+1,7))=INDEX(Report_Scenarios!$A$7:$A$13,MATCH(MEDIAN($B92-Conversion!$B$14,2020,2050),Report_Scenarios!$A$7:$A$13,1)),INDEX(Report_Scenarios!$C$7:$C$13,MATCH(MEDIAN($B92-Conversion!$B$14,2020,2050),Report_Scenarios!$A$7:$A$13,1)),INDEX(Report_Scenarios!$C$7:$C$13,MATCH(MEDIAN($B92-Conversion!$B$14,2020,2050),Report_Scenarios!$A$7:$A$13,1))+(INDEX(Report_Scenarios!$C$7:$C$13,MIN(MATCH(MEDIAN($B92-Conversion!$B$14,2020,2050),Report_Scenarios!$A$7:$A$13,1)+1,7))-INDEX(Report_Scenarios!$C$7:$C$13,MATCH(MEDIAN($B92-Conversion!$B$14,2020,2050),Report_Scenarios!$A$7:$A$13,1)))*(MEDIAN($B92-Conversion!$B$14,2020,2050)-INDEX(Report_Scenarios!$A$7:$A$13,MATCH(MEDIAN($B92-Conversion!$B$14,2020,2050),Report_Scenarios!$A$7:$A$13,1)))/(INDEX(Report_Scenarios!$A$7:$A$13,MIN(MATCH(MEDIAN($B92-Conversion!$B$14,2020,2050),Report_Scenarios!$A$7:$A$13,1)+1,7))-INDEX(Report_Scenarios!$A$7:$A$13,MATCH(MEDIAN($B92-Conversion!$B$14,2020,2050),Report_Scenarios!$A$7:$A$13,1)))),IF($D92="Central",IF(INDEX(Report_Scenarios!$A$18:$A$24,MIN(MATCH(MEDIAN($B92-Conversion!$B$14,2020,2050),Report_Scenarios!$A$18:$A$24,1)+1,7))=INDEX(Report_Scenarios!$A$18:$A$24,MATCH(MEDIAN($B92-Conversion!$B$14,2020,2050),Report_Scenarios!$A$18:$A$24,1)),INDEX(Report_Scenarios!$C$18:$C$24,MATCH(MEDIAN($B92-Conversion!$B$14,2020,2050),Report_Scenarios!$A$18:$A$24,1)),INDEX(Report_Scenarios!$C$18:$C$24,MATCH(MEDIAN($B92-Conversion!$B$14,2020,2050),Report_Scenarios!$A$18:$A$24,1))+(INDEX(Report_Scenarios!$C$18:$C$24,MIN(MATCH(MEDIAN($B92-Conversion!$B$14,2020,2050),Report_Scenarios!$A$18:$A$24,1)+1,7))-INDEX(Report_Scenarios!$C$18:$C$24,MATCH(MEDIAN($B92-Conversion!$B$14,2020,2050),Report_Scenarios!$A$18:$A$24,1)))*(MEDIAN($B92-Conversion!$B$14,2020,2050)-INDEX(Report_Scenarios!$A$18:$A$24,MATCH(MEDIAN($B92-Conversion!$B$14,2020,2050),Report_Scenarios!$A$18:$A$24,1)))/(INDEX(Report_Scenarios!$A$18:$A$24,MIN(MATCH(MEDIAN($B92-Conversion!$B$14,2020,2050),Report_Scenarios!$A$18:$A$24,1)+1,7))-INDEX(Report_Scenarios!$A$18:$A$24,MATCH(MEDIAN($B92-Conversion!$B$14,2020,2050),Report_Scenarios!$A$18:$A$24,1)))),IF(INDEX(Report_Scenarios!$A$29:$A$35,MIN(MATCH(MEDIAN($B92-Conversion!$B$14,2020,2050),Report_Scenarios!$A$29:$A$35,1)+1,7))=INDEX(Report_Scenarios!$A$29:$A$35,MATCH(MEDIAN($B92-Conversion!$B$14,2020,2050),Report_Scenarios!$A$29:$A$35,1)),INDEX(Report_Scenarios!$C$29:$C$35,MATCH(MEDIAN($B92-Conversion!$B$14,2020,2050),Report_Scenarios!$A$29:$A$35,1)),INDEX(Report_Scenarios!$C$29:$C$35,MATCH(MEDIAN($B92-Conversion!$B$14,2020,2050),Report_Scenarios!$A$29:$A$35,1))+(INDEX(Report_Scenarios!$C$29:$C$35,MIN(MATCH(MEDIAN($B92-Conversion!$B$14,2020,2050),Report_Scenarios!$A$29:$A$35,1)+1,7))-INDEX(Report_Scenarios!$C$29:$C$35,MATCH(MEDIAN($B92-Conversion!$B$14,2020,2050),Report_Scenarios!$A$29:$A$35,1)))*(MEDIAN($B92-Conversion!$B$14,2020,2050)-INDEX(Report_Scenarios!$A$29:$A$35,MATCH(MEDIAN($B92-Conversion!$B$14,2020,2050),Report_Scenarios!$A$29:$A$35,1)))/(INDEX(Report_Scenarios!$A$29:$A$35,MIN(MATCH(MEDIAN($B92-Conversion!$B$14,2020,2050),Report_Scenarios!$A$29:$A$35,1)+1,7))-INDEX(Report_Scenarios!$A$29:$A$35,MATCH(MEDIAN($B92-Conversion!$B$14,2020,2050),Report_Scenarios!$A$29:$A$35,1))))))</f>
        <v/>
      </c>
      <c r="G92" s="23">
        <f>IF($D92="Conservative",IF(INDEX(Report_Scenarios!$A$7:$A$13,MIN(MATCH(MEDIAN($B92-Conversion!$B$14,2020,2050),Report_Scenarios!$A$7:$A$13,1)+1,7))=INDEX(Report_Scenarios!$A$7:$A$13,MATCH(MEDIAN($B92-Conversion!$B$14,2020,2050),Report_Scenarios!$A$7:$A$13,1)),INDEX(Report_Scenarios!$D$7:$D$13,MATCH(MEDIAN($B92-Conversion!$B$14,2020,2050),Report_Scenarios!$A$7:$A$13,1)),INDEX(Report_Scenarios!$D$7:$D$13,MATCH(MEDIAN($B92-Conversion!$B$14,2020,2050),Report_Scenarios!$A$7:$A$13,1))+(INDEX(Report_Scenarios!$D$7:$D$13,MIN(MATCH(MEDIAN($B92-Conversion!$B$14,2020,2050),Report_Scenarios!$A$7:$A$13,1)+1,7))-INDEX(Report_Scenarios!$D$7:$D$13,MATCH(MEDIAN($B92-Conversion!$B$14,2020,2050),Report_Scenarios!$A$7:$A$13,1)))*(MEDIAN($B92-Conversion!$B$14,2020,2050)-INDEX(Report_Scenarios!$A$7:$A$13,MATCH(MEDIAN($B92-Conversion!$B$14,2020,2050),Report_Scenarios!$A$7:$A$13,1)))/(INDEX(Report_Scenarios!$A$7:$A$13,MIN(MATCH(MEDIAN($B92-Conversion!$B$14,2020,2050),Report_Scenarios!$A$7:$A$13,1)+1,7))-INDEX(Report_Scenarios!$A$7:$A$13,MATCH(MEDIAN($B92-Conversion!$B$14,2020,2050),Report_Scenarios!$A$7:$A$13,1)))),IF($D92="Central",IF(INDEX(Report_Scenarios!$A$18:$A$24,MIN(MATCH(MEDIAN($B92-Conversion!$B$14,2020,2050),Report_Scenarios!$A$18:$A$24,1)+1,7))=INDEX(Report_Scenarios!$A$18:$A$24,MATCH(MEDIAN($B92-Conversion!$B$14,2020,2050),Report_Scenarios!$A$18:$A$24,1)),INDEX(Report_Scenarios!$D$18:$D$24,MATCH(MEDIAN($B92-Conversion!$B$14,2020,2050),Report_Scenarios!$A$18:$A$24,1)),INDEX(Report_Scenarios!$D$18:$D$24,MATCH(MEDIAN($B92-Conversion!$B$14,2020,2050),Report_Scenarios!$A$18:$A$24,1))+(INDEX(Report_Scenarios!$D$18:$D$24,MIN(MATCH(MEDIAN($B92-Conversion!$B$14,2020,2050),Report_Scenarios!$A$18:$A$24,1)+1,7))-INDEX(Report_Scenarios!$D$18:$D$24,MATCH(MEDIAN($B92-Conversion!$B$14,2020,2050),Report_Scenarios!$A$18:$A$24,1)))*(MEDIAN($B92-Conversion!$B$14,2020,2050)-INDEX(Report_Scenarios!$A$18:$A$24,MATCH(MEDIAN($B92-Conversion!$B$14,2020,2050),Report_Scenarios!$A$18:$A$24,1)))/(INDEX(Report_Scenarios!$A$18:$A$24,MIN(MATCH(MEDIAN($B92-Conversion!$B$14,2020,2050),Report_Scenarios!$A$18:$A$24,1)+1,7))-INDEX(Report_Scenarios!$A$18:$A$24,MATCH(MEDIAN($B92-Conversion!$B$14,2020,2050),Report_Scenarios!$A$18:$A$24,1)))),IF(INDEX(Report_Scenarios!$A$29:$A$35,MIN(MATCH(MEDIAN($B92-Conversion!$B$14,2020,2050),Report_Scenarios!$A$29:$A$35,1)+1,7))=INDEX(Report_Scenarios!$A$29:$A$35,MATCH(MEDIAN($B92-Conversion!$B$14,2020,2050),Report_Scenarios!$A$29:$A$35,1)),INDEX(Report_Scenarios!$D$29:$D$35,MATCH(MEDIAN($B92-Conversion!$B$14,2020,2050),Report_Scenarios!$A$29:$A$35,1)),INDEX(Report_Scenarios!$D$29:$D$35,MATCH(MEDIAN($B92-Conversion!$B$14,2020,2050),Report_Scenarios!$A$29:$A$35,1))+(INDEX(Report_Scenarios!$D$29:$D$35,MIN(MATCH(MEDIAN($B92-Conversion!$B$14,2020,2050),Report_Scenarios!$A$29:$A$35,1)+1,7))-INDEX(Report_Scenarios!$D$29:$D$35,MATCH(MEDIAN($B92-Conversion!$B$14,2020,2050),Report_Scenarios!$A$29:$A$35,1)))*(MEDIAN($B92-Conversion!$B$14,2020,2050)-INDEX(Report_Scenarios!$A$29:$A$35,MATCH(MEDIAN($B92-Conversion!$B$14,2020,2050),Report_Scenarios!$A$29:$A$35,1)))/(INDEX(Report_Scenarios!$A$29:$A$35,MIN(MATCH(MEDIAN($B92-Conversion!$B$14,2020,2050),Report_Scenarios!$A$29:$A$35,1)+1,7))-INDEX(Report_Scenarios!$A$29:$A$35,MATCH(MEDIAN($B92-Conversion!$B$14,2020,2050),Report_Scenarios!$A$29:$A$35,1))))))</f>
        <v/>
      </c>
      <c r="H92" s="23">
        <f>IF($D92="Conservative",IF(INDEX(Report_Scenarios!$A$7:$A$13,MIN(MATCH(MEDIAN($B92-Conversion!$B$14,2020,2050),Report_Scenarios!$A$7:$A$13,1)+1,7))=INDEX(Report_Scenarios!$A$7:$A$13,MATCH(MEDIAN($B92-Conversion!$B$14,2020,2050),Report_Scenarios!$A$7:$A$13,1)),INDEX(Report_Scenarios!$E$7:$E$13,MATCH(MEDIAN($B92-Conversion!$B$14,2020,2050),Report_Scenarios!$A$7:$A$13,1)),INDEX(Report_Scenarios!$E$7:$E$13,MATCH(MEDIAN($B92-Conversion!$B$14,2020,2050),Report_Scenarios!$A$7:$A$13,1))+(INDEX(Report_Scenarios!$E$7:$E$13,MIN(MATCH(MEDIAN($B92-Conversion!$B$14,2020,2050),Report_Scenarios!$A$7:$A$13,1)+1,7))-INDEX(Report_Scenarios!$E$7:$E$13,MATCH(MEDIAN($B92-Conversion!$B$14,2020,2050),Report_Scenarios!$A$7:$A$13,1)))*(MEDIAN($B92-Conversion!$B$14,2020,2050)-INDEX(Report_Scenarios!$A$7:$A$13,MATCH(MEDIAN($B92-Conversion!$B$14,2020,2050),Report_Scenarios!$A$7:$A$13,1)))/(INDEX(Report_Scenarios!$A$7:$A$13,MIN(MATCH(MEDIAN($B92-Conversion!$B$14,2020,2050),Report_Scenarios!$A$7:$A$13,1)+1,7))-INDEX(Report_Scenarios!$A$7:$A$13,MATCH(MEDIAN($B92-Conversion!$B$14,2020,2050),Report_Scenarios!$A$7:$A$13,1)))),IF($D92="Central",IF(INDEX(Report_Scenarios!$A$18:$A$24,MIN(MATCH(MEDIAN($B92-Conversion!$B$14,2020,2050),Report_Scenarios!$A$18:$A$24,1)+1,7))=INDEX(Report_Scenarios!$A$18:$A$24,MATCH(MEDIAN($B92-Conversion!$B$14,2020,2050),Report_Scenarios!$A$18:$A$24,1)),INDEX(Report_Scenarios!$E$18:$E$24,MATCH(MEDIAN($B92-Conversion!$B$14,2020,2050),Report_Scenarios!$A$18:$A$24,1)),INDEX(Report_Scenarios!$E$18:$E$24,MATCH(MEDIAN($B92-Conversion!$B$14,2020,2050),Report_Scenarios!$A$18:$A$24,1))+(INDEX(Report_Scenarios!$E$18:$E$24,MIN(MATCH(MEDIAN($B92-Conversion!$B$14,2020,2050),Report_Scenarios!$A$18:$A$24,1)+1,7))-INDEX(Report_Scenarios!$E$18:$E$24,MATCH(MEDIAN($B92-Conversion!$B$14,2020,2050),Report_Scenarios!$A$18:$A$24,1)))*(MEDIAN($B92-Conversion!$B$14,2020,2050)-INDEX(Report_Scenarios!$A$18:$A$24,MATCH(MEDIAN($B92-Conversion!$B$14,2020,2050),Report_Scenarios!$A$18:$A$24,1)))/(INDEX(Report_Scenarios!$A$18:$A$24,MIN(MATCH(MEDIAN($B92-Conversion!$B$14,2020,2050),Report_Scenarios!$A$18:$A$24,1)+1,7))-INDEX(Report_Scenarios!$A$18:$A$24,MATCH(MEDIAN($B92-Conversion!$B$14,2020,2050),Report_Scenarios!$A$18:$A$24,1)))),IF(INDEX(Report_Scenarios!$A$29:$A$35,MIN(MATCH(MEDIAN($B92-Conversion!$B$14,2020,2050),Report_Scenarios!$A$29:$A$35,1)+1,7))=INDEX(Report_Scenarios!$A$29:$A$35,MATCH(MEDIAN($B92-Conversion!$B$14,2020,2050),Report_Scenarios!$A$29:$A$35,1)),INDEX(Report_Scenarios!$E$29:$E$35,MATCH(MEDIAN($B92-Conversion!$B$14,2020,2050),Report_Scenarios!$A$29:$A$35,1)),INDEX(Report_Scenarios!$E$29:$E$35,MATCH(MEDIAN($B92-Conversion!$B$14,2020,2050),Report_Scenarios!$A$29:$A$35,1))+(INDEX(Report_Scenarios!$E$29:$E$35,MIN(MATCH(MEDIAN($B92-Conversion!$B$14,2020,2050),Report_Scenarios!$A$29:$A$35,1)+1,7))-INDEX(Report_Scenarios!$E$29:$E$35,MATCH(MEDIAN($B92-Conversion!$B$14,2020,2050),Report_Scenarios!$A$29:$A$35,1)))*(MEDIAN($B92-Conversion!$B$14,2020,2050)-INDEX(Report_Scenarios!$A$29:$A$35,MATCH(MEDIAN($B92-Conversion!$B$14,2020,2050),Report_Scenarios!$A$29:$A$35,1)))/(INDEX(Report_Scenarios!$A$29:$A$35,MIN(MATCH(MEDIAN($B92-Conversion!$B$14,2020,2050),Report_Scenarios!$A$29:$A$35,1)+1,7))-INDEX(Report_Scenarios!$A$29:$A$35,MATCH(MEDIAN($B92-Conversion!$B$14,2020,2050),Report_Scenarios!$A$29:$A$35,1))))))</f>
        <v/>
      </c>
      <c r="I92" s="23">
        <f>IF($D92="Conservative",IF(INDEX(Report_Scenarios!$A$7:$A$13,MIN(MATCH(MEDIAN($B92-Conversion!$B$14,2020,2050),Report_Scenarios!$A$7:$A$13,1)+1,7))=INDEX(Report_Scenarios!$A$7:$A$13,MATCH(MEDIAN($B92-Conversion!$B$14,2020,2050),Report_Scenarios!$A$7:$A$13,1)),INDEX(Report_Scenarios!$F$7:$F$13,MATCH(MEDIAN($B92-Conversion!$B$14,2020,2050),Report_Scenarios!$A$7:$A$13,1)),INDEX(Report_Scenarios!$F$7:$F$13,MATCH(MEDIAN($B92-Conversion!$B$14,2020,2050),Report_Scenarios!$A$7:$A$13,1))+(INDEX(Report_Scenarios!$F$7:$F$13,MIN(MATCH(MEDIAN($B92-Conversion!$B$14,2020,2050),Report_Scenarios!$A$7:$A$13,1)+1,7))-INDEX(Report_Scenarios!$F$7:$F$13,MATCH(MEDIAN($B92-Conversion!$B$14,2020,2050),Report_Scenarios!$A$7:$A$13,1)))*(MEDIAN($B92-Conversion!$B$14,2020,2050)-INDEX(Report_Scenarios!$A$7:$A$13,MATCH(MEDIAN($B92-Conversion!$B$14,2020,2050),Report_Scenarios!$A$7:$A$13,1)))/(INDEX(Report_Scenarios!$A$7:$A$13,MIN(MATCH(MEDIAN($B92-Conversion!$B$14,2020,2050),Report_Scenarios!$A$7:$A$13,1)+1,7))-INDEX(Report_Scenarios!$A$7:$A$13,MATCH(MEDIAN($B92-Conversion!$B$14,2020,2050),Report_Scenarios!$A$7:$A$13,1)))),IF($D92="Central",IF(INDEX(Report_Scenarios!$A$18:$A$24,MIN(MATCH(MEDIAN($B92-Conversion!$B$14,2020,2050),Report_Scenarios!$A$18:$A$24,1)+1,7))=INDEX(Report_Scenarios!$A$18:$A$24,MATCH(MEDIAN($B92-Conversion!$B$14,2020,2050),Report_Scenarios!$A$18:$A$24,1)),INDEX(Report_Scenarios!$F$18:$F$24,MATCH(MEDIAN($B92-Conversion!$B$14,2020,2050),Report_Scenarios!$A$18:$A$24,1)),INDEX(Report_Scenarios!$F$18:$F$24,MATCH(MEDIAN($B92-Conversion!$B$14,2020,2050),Report_Scenarios!$A$18:$A$24,1))+(INDEX(Report_Scenarios!$F$18:$F$24,MIN(MATCH(MEDIAN($B92-Conversion!$B$14,2020,2050),Report_Scenarios!$A$18:$A$24,1)+1,7))-INDEX(Report_Scenarios!$F$18:$F$24,MATCH(MEDIAN($B92-Conversion!$B$14,2020,2050),Report_Scenarios!$A$18:$A$24,1)))*(MEDIAN($B92-Conversion!$B$14,2020,2050)-INDEX(Report_Scenarios!$A$18:$A$24,MATCH(MEDIAN($B92-Conversion!$B$14,2020,2050),Report_Scenarios!$A$18:$A$24,1)))/(INDEX(Report_Scenarios!$A$18:$A$24,MIN(MATCH(MEDIAN($B92-Conversion!$B$14,2020,2050),Report_Scenarios!$A$18:$A$24,1)+1,7))-INDEX(Report_Scenarios!$A$18:$A$24,MATCH(MEDIAN($B92-Conversion!$B$14,2020,2050),Report_Scenarios!$A$18:$A$24,1)))),IF(INDEX(Report_Scenarios!$A$29:$A$35,MIN(MATCH(MEDIAN($B92-Conversion!$B$14,2020,2050),Report_Scenarios!$A$29:$A$35,1)+1,7))=INDEX(Report_Scenarios!$A$29:$A$35,MATCH(MEDIAN($B92-Conversion!$B$14,2020,2050),Report_Scenarios!$A$29:$A$35,1)),INDEX(Report_Scenarios!$F$29:$F$35,MATCH(MEDIAN($B92-Conversion!$B$14,2020,2050),Report_Scenarios!$A$29:$A$35,1)),INDEX(Report_Scenarios!$F$29:$F$35,MATCH(MEDIAN($B92-Conversion!$B$14,2020,2050),Report_Scenarios!$A$29:$A$35,1))+(INDEX(Report_Scenarios!$F$29:$F$35,MIN(MATCH(MEDIAN($B92-Conversion!$B$14,2020,2050),Report_Scenarios!$A$29:$A$35,1)+1,7))-INDEX(Report_Scenarios!$F$29:$F$35,MATCH(MEDIAN($B92-Conversion!$B$14,2020,2050),Report_Scenarios!$A$29:$A$35,1)))*(MEDIAN($B92-Conversion!$B$14,2020,2050)-INDEX(Report_Scenarios!$A$29:$A$35,MATCH(MEDIAN($B92-Conversion!$B$14,2020,2050),Report_Scenarios!$A$29:$A$35,1)))/(INDEX(Report_Scenarios!$A$29:$A$35,MIN(MATCH(MEDIAN($B92-Conversion!$B$14,2020,2050),Report_Scenarios!$A$29:$A$35,1)+1,7))-INDEX(Report_Scenarios!$A$29:$A$35,MATCH(MEDIAN($B92-Conversion!$B$14,2020,2050),Report_Scenarios!$A$29:$A$35,1))))))</f>
        <v/>
      </c>
      <c r="J92" s="23">
        <f>IF($D92="Conservative",IF(INDEX(Report_Scenarios!$A$7:$A$13,MIN(MATCH(MEDIAN($B92-Conversion!$B$14,2020,2050),Report_Scenarios!$A$7:$A$13,1)+1,7))=INDEX(Report_Scenarios!$A$7:$A$13,MATCH(MEDIAN($B92-Conversion!$B$14,2020,2050),Report_Scenarios!$A$7:$A$13,1)),INDEX(Report_Scenarios!$G$7:$G$13,MATCH(MEDIAN($B92-Conversion!$B$14,2020,2050),Report_Scenarios!$A$7:$A$13,1)),INDEX(Report_Scenarios!$G$7:$G$13,MATCH(MEDIAN($B92-Conversion!$B$14,2020,2050),Report_Scenarios!$A$7:$A$13,1))+(INDEX(Report_Scenarios!$G$7:$G$13,MIN(MATCH(MEDIAN($B92-Conversion!$B$14,2020,2050),Report_Scenarios!$A$7:$A$13,1)+1,7))-INDEX(Report_Scenarios!$G$7:$G$13,MATCH(MEDIAN($B92-Conversion!$B$14,2020,2050),Report_Scenarios!$A$7:$A$13,1)))*(MEDIAN($B92-Conversion!$B$14,2020,2050)-INDEX(Report_Scenarios!$A$7:$A$13,MATCH(MEDIAN($B92-Conversion!$B$14,2020,2050),Report_Scenarios!$A$7:$A$13,1)))/(INDEX(Report_Scenarios!$A$7:$A$13,MIN(MATCH(MEDIAN($B92-Conversion!$B$14,2020,2050),Report_Scenarios!$A$7:$A$13,1)+1,7))-INDEX(Report_Scenarios!$A$7:$A$13,MATCH(MEDIAN($B92-Conversion!$B$14,2020,2050),Report_Scenarios!$A$7:$A$13,1)))),IF($D92="Central",IF(INDEX(Report_Scenarios!$A$18:$A$24,MIN(MATCH(MEDIAN($B92-Conversion!$B$14,2020,2050),Report_Scenarios!$A$18:$A$24,1)+1,7))=INDEX(Report_Scenarios!$A$18:$A$24,MATCH(MEDIAN($B92-Conversion!$B$14,2020,2050),Report_Scenarios!$A$18:$A$24,1)),INDEX(Report_Scenarios!$G$18:$G$24,MATCH(MEDIAN($B92-Conversion!$B$14,2020,2050),Report_Scenarios!$A$18:$A$24,1)),INDEX(Report_Scenarios!$G$18:$G$24,MATCH(MEDIAN($B92-Conversion!$B$14,2020,2050),Report_Scenarios!$A$18:$A$24,1))+(INDEX(Report_Scenarios!$G$18:$G$24,MIN(MATCH(MEDIAN($B92-Conversion!$B$14,2020,2050),Report_Scenarios!$A$18:$A$24,1)+1,7))-INDEX(Report_Scenarios!$G$18:$G$24,MATCH(MEDIAN($B92-Conversion!$B$14,2020,2050),Report_Scenarios!$A$18:$A$24,1)))*(MEDIAN($B92-Conversion!$B$14,2020,2050)-INDEX(Report_Scenarios!$A$18:$A$24,MATCH(MEDIAN($B92-Conversion!$B$14,2020,2050),Report_Scenarios!$A$18:$A$24,1)))/(INDEX(Report_Scenarios!$A$18:$A$24,MIN(MATCH(MEDIAN($B92-Conversion!$B$14,2020,2050),Report_Scenarios!$A$18:$A$24,1)+1,7))-INDEX(Report_Scenarios!$A$18:$A$24,MATCH(MEDIAN($B92-Conversion!$B$14,2020,2050),Report_Scenarios!$A$18:$A$24,1)))),IF(INDEX(Report_Scenarios!$A$29:$A$35,MIN(MATCH(MEDIAN($B92-Conversion!$B$14,2020,2050),Report_Scenarios!$A$29:$A$35,1)+1,7))=INDEX(Report_Scenarios!$A$29:$A$35,MATCH(MEDIAN($B92-Conversion!$B$14,2020,2050),Report_Scenarios!$A$29:$A$35,1)),INDEX(Report_Scenarios!$G$29:$G$35,MATCH(MEDIAN($B92-Conversion!$B$14,2020,2050),Report_Scenarios!$A$29:$A$35,1)),INDEX(Report_Scenarios!$G$29:$G$35,MATCH(MEDIAN($B92-Conversion!$B$14,2020,2050),Report_Scenarios!$A$29:$A$35,1))+(INDEX(Report_Scenarios!$G$29:$G$35,MIN(MATCH(MEDIAN($B92-Conversion!$B$14,2020,2050),Report_Scenarios!$A$29:$A$35,1)+1,7))-INDEX(Report_Scenarios!$G$29:$G$35,MATCH(MEDIAN($B92-Conversion!$B$14,2020,2050),Report_Scenarios!$A$29:$A$35,1)))*(MEDIAN($B92-Conversion!$B$14,2020,2050)-INDEX(Report_Scenarios!$A$29:$A$35,MATCH(MEDIAN($B92-Conversion!$B$14,2020,2050),Report_Scenarios!$A$29:$A$35,1)))/(INDEX(Report_Scenarios!$A$29:$A$35,MIN(MATCH(MEDIAN($B92-Conversion!$B$14,2020,2050),Report_Scenarios!$A$29:$A$35,1)+1,7))-INDEX(Report_Scenarios!$A$29:$A$35,MATCH(MEDIAN($B92-Conversion!$B$14,2020,2050),Report_Scenarios!$A$29:$A$35,1))))))</f>
        <v/>
      </c>
      <c r="K92" s="23">
        <f>SUM(E92:J92)</f>
        <v/>
      </c>
      <c r="L92" s="23">
        <f>IF(R92&lt;&gt;"",R92,IF($K92=0,0,E92/$K92))</f>
        <v/>
      </c>
      <c r="M92" s="23">
        <f>IF(S92&lt;&gt;"",S92,IF($K92=0,0,F92/$K92))</f>
        <v/>
      </c>
      <c r="N92" s="23">
        <f>IF(T92&lt;&gt;"",T92,IF($K92=0,0,G92/$K92))</f>
        <v/>
      </c>
      <c r="O92" s="23">
        <f>IF(U92&lt;&gt;"",U92,IF($K92=0,0,H92/$K92))</f>
        <v/>
      </c>
      <c r="P92" s="23">
        <f>IF(V92&lt;&gt;"",V92,IF($K92=0,0,I92/$K92))</f>
        <v/>
      </c>
      <c r="Q92" s="23">
        <f>IF(W92&lt;&gt;"",W92,IF($K92=0,0,J92/$K92))</f>
        <v/>
      </c>
      <c r="R92" s="24" t="n"/>
      <c r="S92" s="24" t="n"/>
      <c r="T92" s="24" t="n"/>
      <c r="U92" s="24" t="n"/>
      <c r="V92" s="24" t="n"/>
      <c r="W92" s="24" t="n"/>
    </row>
    <row r="93">
      <c r="A93" s="4" t="inlineStr">
        <is>
          <t>EF</t>
        </is>
      </c>
      <c r="B93" s="4" t="n">
        <v>2070</v>
      </c>
      <c r="C93" s="4" t="inlineStr">
        <is>
          <t>Share_Mode</t>
        </is>
      </c>
      <c r="D93" s="4">
        <f>Conversion!$B$19</f>
        <v/>
      </c>
      <c r="E93" s="23">
        <f>IF($D93="Conservative",IF(INDEX(Report_Scenarios!$A$7:$A$13,MIN(MATCH(MEDIAN($B93-Conversion!$B$14,2020,2050),Report_Scenarios!$A$7:$A$13,1)+1,7))=INDEX(Report_Scenarios!$A$7:$A$13,MATCH(MEDIAN($B93-Conversion!$B$14,2020,2050),Report_Scenarios!$A$7:$A$13,1)),INDEX(Report_Scenarios!$B$7:$B$13,MATCH(MEDIAN($B93-Conversion!$B$14,2020,2050),Report_Scenarios!$A$7:$A$13,1)),INDEX(Report_Scenarios!$B$7:$B$13,MATCH(MEDIAN($B93-Conversion!$B$14,2020,2050),Report_Scenarios!$A$7:$A$13,1))+(INDEX(Report_Scenarios!$B$7:$B$13,MIN(MATCH(MEDIAN($B93-Conversion!$B$14,2020,2050),Report_Scenarios!$A$7:$A$13,1)+1,7))-INDEX(Report_Scenarios!$B$7:$B$13,MATCH(MEDIAN($B93-Conversion!$B$14,2020,2050),Report_Scenarios!$A$7:$A$13,1)))*(MEDIAN($B93-Conversion!$B$14,2020,2050)-INDEX(Report_Scenarios!$A$7:$A$13,MATCH(MEDIAN($B93-Conversion!$B$14,2020,2050),Report_Scenarios!$A$7:$A$13,1)))/(INDEX(Report_Scenarios!$A$7:$A$13,MIN(MATCH(MEDIAN($B93-Conversion!$B$14,2020,2050),Report_Scenarios!$A$7:$A$13,1)+1,7))-INDEX(Report_Scenarios!$A$7:$A$13,MATCH(MEDIAN($B93-Conversion!$B$14,2020,2050),Report_Scenarios!$A$7:$A$13,1)))),IF($D93="Central",IF(INDEX(Report_Scenarios!$A$18:$A$24,MIN(MATCH(MEDIAN($B93-Conversion!$B$14,2020,2050),Report_Scenarios!$A$18:$A$24,1)+1,7))=INDEX(Report_Scenarios!$A$18:$A$24,MATCH(MEDIAN($B93-Conversion!$B$14,2020,2050),Report_Scenarios!$A$18:$A$24,1)),INDEX(Report_Scenarios!$B$18:$B$24,MATCH(MEDIAN($B93-Conversion!$B$14,2020,2050),Report_Scenarios!$A$18:$A$24,1)),INDEX(Report_Scenarios!$B$18:$B$24,MATCH(MEDIAN($B93-Conversion!$B$14,2020,2050),Report_Scenarios!$A$18:$A$24,1))+(INDEX(Report_Scenarios!$B$18:$B$24,MIN(MATCH(MEDIAN($B93-Conversion!$B$14,2020,2050),Report_Scenarios!$A$18:$A$24,1)+1,7))-INDEX(Report_Scenarios!$B$18:$B$24,MATCH(MEDIAN($B93-Conversion!$B$14,2020,2050),Report_Scenarios!$A$18:$A$24,1)))*(MEDIAN($B93-Conversion!$B$14,2020,2050)-INDEX(Report_Scenarios!$A$18:$A$24,MATCH(MEDIAN($B93-Conversion!$B$14,2020,2050),Report_Scenarios!$A$18:$A$24,1)))/(INDEX(Report_Scenarios!$A$18:$A$24,MIN(MATCH(MEDIAN($B93-Conversion!$B$14,2020,2050),Report_Scenarios!$A$18:$A$24,1)+1,7))-INDEX(Report_Scenarios!$A$18:$A$24,MATCH(MEDIAN($B93-Conversion!$B$14,2020,2050),Report_Scenarios!$A$18:$A$24,1)))),IF(INDEX(Report_Scenarios!$A$29:$A$35,MIN(MATCH(MEDIAN($B93-Conversion!$B$14,2020,2050),Report_Scenarios!$A$29:$A$35,1)+1,7))=INDEX(Report_Scenarios!$A$29:$A$35,MATCH(MEDIAN($B93-Conversion!$B$14,2020,2050),Report_Scenarios!$A$29:$A$35,1)),INDEX(Report_Scenarios!$B$29:$B$35,MATCH(MEDIAN($B93-Conversion!$B$14,2020,2050),Report_Scenarios!$A$29:$A$35,1)),INDEX(Report_Scenarios!$B$29:$B$35,MATCH(MEDIAN($B93-Conversion!$B$14,2020,2050),Report_Scenarios!$A$29:$A$35,1))+(INDEX(Report_Scenarios!$B$29:$B$35,MIN(MATCH(MEDIAN($B93-Conversion!$B$14,2020,2050),Report_Scenarios!$A$29:$A$35,1)+1,7))-INDEX(Report_Scenarios!$B$29:$B$35,MATCH(MEDIAN($B93-Conversion!$B$14,2020,2050),Report_Scenarios!$A$29:$A$35,1)))*(MEDIAN($B93-Conversion!$B$14,2020,2050)-INDEX(Report_Scenarios!$A$29:$A$35,MATCH(MEDIAN($B93-Conversion!$B$14,2020,2050),Report_Scenarios!$A$29:$A$35,1)))/(INDEX(Report_Scenarios!$A$29:$A$35,MIN(MATCH(MEDIAN($B93-Conversion!$B$14,2020,2050),Report_Scenarios!$A$29:$A$35,1)+1,7))-INDEX(Report_Scenarios!$A$29:$A$35,MATCH(MEDIAN($B93-Conversion!$B$14,2020,2050),Report_Scenarios!$A$29:$A$35,1))))))</f>
        <v/>
      </c>
      <c r="F93" s="23">
        <f>IF($D93="Conservative",IF(INDEX(Report_Scenarios!$A$7:$A$13,MIN(MATCH(MEDIAN($B93-Conversion!$B$14,2020,2050),Report_Scenarios!$A$7:$A$13,1)+1,7))=INDEX(Report_Scenarios!$A$7:$A$13,MATCH(MEDIAN($B93-Conversion!$B$14,2020,2050),Report_Scenarios!$A$7:$A$13,1)),INDEX(Report_Scenarios!$C$7:$C$13,MATCH(MEDIAN($B93-Conversion!$B$14,2020,2050),Report_Scenarios!$A$7:$A$13,1)),INDEX(Report_Scenarios!$C$7:$C$13,MATCH(MEDIAN($B93-Conversion!$B$14,2020,2050),Report_Scenarios!$A$7:$A$13,1))+(INDEX(Report_Scenarios!$C$7:$C$13,MIN(MATCH(MEDIAN($B93-Conversion!$B$14,2020,2050),Report_Scenarios!$A$7:$A$13,1)+1,7))-INDEX(Report_Scenarios!$C$7:$C$13,MATCH(MEDIAN($B93-Conversion!$B$14,2020,2050),Report_Scenarios!$A$7:$A$13,1)))*(MEDIAN($B93-Conversion!$B$14,2020,2050)-INDEX(Report_Scenarios!$A$7:$A$13,MATCH(MEDIAN($B93-Conversion!$B$14,2020,2050),Report_Scenarios!$A$7:$A$13,1)))/(INDEX(Report_Scenarios!$A$7:$A$13,MIN(MATCH(MEDIAN($B93-Conversion!$B$14,2020,2050),Report_Scenarios!$A$7:$A$13,1)+1,7))-INDEX(Report_Scenarios!$A$7:$A$13,MATCH(MEDIAN($B93-Conversion!$B$14,2020,2050),Report_Scenarios!$A$7:$A$13,1)))),IF($D93="Central",IF(INDEX(Report_Scenarios!$A$18:$A$24,MIN(MATCH(MEDIAN($B93-Conversion!$B$14,2020,2050),Report_Scenarios!$A$18:$A$24,1)+1,7))=INDEX(Report_Scenarios!$A$18:$A$24,MATCH(MEDIAN($B93-Conversion!$B$14,2020,2050),Report_Scenarios!$A$18:$A$24,1)),INDEX(Report_Scenarios!$C$18:$C$24,MATCH(MEDIAN($B93-Conversion!$B$14,2020,2050),Report_Scenarios!$A$18:$A$24,1)),INDEX(Report_Scenarios!$C$18:$C$24,MATCH(MEDIAN($B93-Conversion!$B$14,2020,2050),Report_Scenarios!$A$18:$A$24,1))+(INDEX(Report_Scenarios!$C$18:$C$24,MIN(MATCH(MEDIAN($B93-Conversion!$B$14,2020,2050),Report_Scenarios!$A$18:$A$24,1)+1,7))-INDEX(Report_Scenarios!$C$18:$C$24,MATCH(MEDIAN($B93-Conversion!$B$14,2020,2050),Report_Scenarios!$A$18:$A$24,1)))*(MEDIAN($B93-Conversion!$B$14,2020,2050)-INDEX(Report_Scenarios!$A$18:$A$24,MATCH(MEDIAN($B93-Conversion!$B$14,2020,2050),Report_Scenarios!$A$18:$A$24,1)))/(INDEX(Report_Scenarios!$A$18:$A$24,MIN(MATCH(MEDIAN($B93-Conversion!$B$14,2020,2050),Report_Scenarios!$A$18:$A$24,1)+1,7))-INDEX(Report_Scenarios!$A$18:$A$24,MATCH(MEDIAN($B93-Conversion!$B$14,2020,2050),Report_Scenarios!$A$18:$A$24,1)))),IF(INDEX(Report_Scenarios!$A$29:$A$35,MIN(MATCH(MEDIAN($B93-Conversion!$B$14,2020,2050),Report_Scenarios!$A$29:$A$35,1)+1,7))=INDEX(Report_Scenarios!$A$29:$A$35,MATCH(MEDIAN($B93-Conversion!$B$14,2020,2050),Report_Scenarios!$A$29:$A$35,1)),INDEX(Report_Scenarios!$C$29:$C$35,MATCH(MEDIAN($B93-Conversion!$B$14,2020,2050),Report_Scenarios!$A$29:$A$35,1)),INDEX(Report_Scenarios!$C$29:$C$35,MATCH(MEDIAN($B93-Conversion!$B$14,2020,2050),Report_Scenarios!$A$29:$A$35,1))+(INDEX(Report_Scenarios!$C$29:$C$35,MIN(MATCH(MEDIAN($B93-Conversion!$B$14,2020,2050),Report_Scenarios!$A$29:$A$35,1)+1,7))-INDEX(Report_Scenarios!$C$29:$C$35,MATCH(MEDIAN($B93-Conversion!$B$14,2020,2050),Report_Scenarios!$A$29:$A$35,1)))*(MEDIAN($B93-Conversion!$B$14,2020,2050)-INDEX(Report_Scenarios!$A$29:$A$35,MATCH(MEDIAN($B93-Conversion!$B$14,2020,2050),Report_Scenarios!$A$29:$A$35,1)))/(INDEX(Report_Scenarios!$A$29:$A$35,MIN(MATCH(MEDIAN($B93-Conversion!$B$14,2020,2050),Report_Scenarios!$A$29:$A$35,1)+1,7))-INDEX(Report_Scenarios!$A$29:$A$35,MATCH(MEDIAN($B93-Conversion!$B$14,2020,2050),Report_Scenarios!$A$29:$A$35,1))))))</f>
        <v/>
      </c>
      <c r="G93" s="23">
        <f>IF($D93="Conservative",IF(INDEX(Report_Scenarios!$A$7:$A$13,MIN(MATCH(MEDIAN($B93-Conversion!$B$14,2020,2050),Report_Scenarios!$A$7:$A$13,1)+1,7))=INDEX(Report_Scenarios!$A$7:$A$13,MATCH(MEDIAN($B93-Conversion!$B$14,2020,2050),Report_Scenarios!$A$7:$A$13,1)),INDEX(Report_Scenarios!$D$7:$D$13,MATCH(MEDIAN($B93-Conversion!$B$14,2020,2050),Report_Scenarios!$A$7:$A$13,1)),INDEX(Report_Scenarios!$D$7:$D$13,MATCH(MEDIAN($B93-Conversion!$B$14,2020,2050),Report_Scenarios!$A$7:$A$13,1))+(INDEX(Report_Scenarios!$D$7:$D$13,MIN(MATCH(MEDIAN($B93-Conversion!$B$14,2020,2050),Report_Scenarios!$A$7:$A$13,1)+1,7))-INDEX(Report_Scenarios!$D$7:$D$13,MATCH(MEDIAN($B93-Conversion!$B$14,2020,2050),Report_Scenarios!$A$7:$A$13,1)))*(MEDIAN($B93-Conversion!$B$14,2020,2050)-INDEX(Report_Scenarios!$A$7:$A$13,MATCH(MEDIAN($B93-Conversion!$B$14,2020,2050),Report_Scenarios!$A$7:$A$13,1)))/(INDEX(Report_Scenarios!$A$7:$A$13,MIN(MATCH(MEDIAN($B93-Conversion!$B$14,2020,2050),Report_Scenarios!$A$7:$A$13,1)+1,7))-INDEX(Report_Scenarios!$A$7:$A$13,MATCH(MEDIAN($B93-Conversion!$B$14,2020,2050),Report_Scenarios!$A$7:$A$13,1)))),IF($D93="Central",IF(INDEX(Report_Scenarios!$A$18:$A$24,MIN(MATCH(MEDIAN($B93-Conversion!$B$14,2020,2050),Report_Scenarios!$A$18:$A$24,1)+1,7))=INDEX(Report_Scenarios!$A$18:$A$24,MATCH(MEDIAN($B93-Conversion!$B$14,2020,2050),Report_Scenarios!$A$18:$A$24,1)),INDEX(Report_Scenarios!$D$18:$D$24,MATCH(MEDIAN($B93-Conversion!$B$14,2020,2050),Report_Scenarios!$A$18:$A$24,1)),INDEX(Report_Scenarios!$D$18:$D$24,MATCH(MEDIAN($B93-Conversion!$B$14,2020,2050),Report_Scenarios!$A$18:$A$24,1))+(INDEX(Report_Scenarios!$D$18:$D$24,MIN(MATCH(MEDIAN($B93-Conversion!$B$14,2020,2050),Report_Scenarios!$A$18:$A$24,1)+1,7))-INDEX(Report_Scenarios!$D$18:$D$24,MATCH(MEDIAN($B93-Conversion!$B$14,2020,2050),Report_Scenarios!$A$18:$A$24,1)))*(MEDIAN($B93-Conversion!$B$14,2020,2050)-INDEX(Report_Scenarios!$A$18:$A$24,MATCH(MEDIAN($B93-Conversion!$B$14,2020,2050),Report_Scenarios!$A$18:$A$24,1)))/(INDEX(Report_Scenarios!$A$18:$A$24,MIN(MATCH(MEDIAN($B93-Conversion!$B$14,2020,2050),Report_Scenarios!$A$18:$A$24,1)+1,7))-INDEX(Report_Scenarios!$A$18:$A$24,MATCH(MEDIAN($B93-Conversion!$B$14,2020,2050),Report_Scenarios!$A$18:$A$24,1)))),IF(INDEX(Report_Scenarios!$A$29:$A$35,MIN(MATCH(MEDIAN($B93-Conversion!$B$14,2020,2050),Report_Scenarios!$A$29:$A$35,1)+1,7))=INDEX(Report_Scenarios!$A$29:$A$35,MATCH(MEDIAN($B93-Conversion!$B$14,2020,2050),Report_Scenarios!$A$29:$A$35,1)),INDEX(Report_Scenarios!$D$29:$D$35,MATCH(MEDIAN($B93-Conversion!$B$14,2020,2050),Report_Scenarios!$A$29:$A$35,1)),INDEX(Report_Scenarios!$D$29:$D$35,MATCH(MEDIAN($B93-Conversion!$B$14,2020,2050),Report_Scenarios!$A$29:$A$35,1))+(INDEX(Report_Scenarios!$D$29:$D$35,MIN(MATCH(MEDIAN($B93-Conversion!$B$14,2020,2050),Report_Scenarios!$A$29:$A$35,1)+1,7))-INDEX(Report_Scenarios!$D$29:$D$35,MATCH(MEDIAN($B93-Conversion!$B$14,2020,2050),Report_Scenarios!$A$29:$A$35,1)))*(MEDIAN($B93-Conversion!$B$14,2020,2050)-INDEX(Report_Scenarios!$A$29:$A$35,MATCH(MEDIAN($B93-Conversion!$B$14,2020,2050),Report_Scenarios!$A$29:$A$35,1)))/(INDEX(Report_Scenarios!$A$29:$A$35,MIN(MATCH(MEDIAN($B93-Conversion!$B$14,2020,2050),Report_Scenarios!$A$29:$A$35,1)+1,7))-INDEX(Report_Scenarios!$A$29:$A$35,MATCH(MEDIAN($B93-Conversion!$B$14,2020,2050),Report_Scenarios!$A$29:$A$35,1))))))</f>
        <v/>
      </c>
      <c r="H93" s="23">
        <f>IF($D93="Conservative",IF(INDEX(Report_Scenarios!$A$7:$A$13,MIN(MATCH(MEDIAN($B93-Conversion!$B$14,2020,2050),Report_Scenarios!$A$7:$A$13,1)+1,7))=INDEX(Report_Scenarios!$A$7:$A$13,MATCH(MEDIAN($B93-Conversion!$B$14,2020,2050),Report_Scenarios!$A$7:$A$13,1)),INDEX(Report_Scenarios!$E$7:$E$13,MATCH(MEDIAN($B93-Conversion!$B$14,2020,2050),Report_Scenarios!$A$7:$A$13,1)),INDEX(Report_Scenarios!$E$7:$E$13,MATCH(MEDIAN($B93-Conversion!$B$14,2020,2050),Report_Scenarios!$A$7:$A$13,1))+(INDEX(Report_Scenarios!$E$7:$E$13,MIN(MATCH(MEDIAN($B93-Conversion!$B$14,2020,2050),Report_Scenarios!$A$7:$A$13,1)+1,7))-INDEX(Report_Scenarios!$E$7:$E$13,MATCH(MEDIAN($B93-Conversion!$B$14,2020,2050),Report_Scenarios!$A$7:$A$13,1)))*(MEDIAN($B93-Conversion!$B$14,2020,2050)-INDEX(Report_Scenarios!$A$7:$A$13,MATCH(MEDIAN($B93-Conversion!$B$14,2020,2050),Report_Scenarios!$A$7:$A$13,1)))/(INDEX(Report_Scenarios!$A$7:$A$13,MIN(MATCH(MEDIAN($B93-Conversion!$B$14,2020,2050),Report_Scenarios!$A$7:$A$13,1)+1,7))-INDEX(Report_Scenarios!$A$7:$A$13,MATCH(MEDIAN($B93-Conversion!$B$14,2020,2050),Report_Scenarios!$A$7:$A$13,1)))),IF($D93="Central",IF(INDEX(Report_Scenarios!$A$18:$A$24,MIN(MATCH(MEDIAN($B93-Conversion!$B$14,2020,2050),Report_Scenarios!$A$18:$A$24,1)+1,7))=INDEX(Report_Scenarios!$A$18:$A$24,MATCH(MEDIAN($B93-Conversion!$B$14,2020,2050),Report_Scenarios!$A$18:$A$24,1)),INDEX(Report_Scenarios!$E$18:$E$24,MATCH(MEDIAN($B93-Conversion!$B$14,2020,2050),Report_Scenarios!$A$18:$A$24,1)),INDEX(Report_Scenarios!$E$18:$E$24,MATCH(MEDIAN($B93-Conversion!$B$14,2020,2050),Report_Scenarios!$A$18:$A$24,1))+(INDEX(Report_Scenarios!$E$18:$E$24,MIN(MATCH(MEDIAN($B93-Conversion!$B$14,2020,2050),Report_Scenarios!$A$18:$A$24,1)+1,7))-INDEX(Report_Scenarios!$E$18:$E$24,MATCH(MEDIAN($B93-Conversion!$B$14,2020,2050),Report_Scenarios!$A$18:$A$24,1)))*(MEDIAN($B93-Conversion!$B$14,2020,2050)-INDEX(Report_Scenarios!$A$18:$A$24,MATCH(MEDIAN($B93-Conversion!$B$14,2020,2050),Report_Scenarios!$A$18:$A$24,1)))/(INDEX(Report_Scenarios!$A$18:$A$24,MIN(MATCH(MEDIAN($B93-Conversion!$B$14,2020,2050),Report_Scenarios!$A$18:$A$24,1)+1,7))-INDEX(Report_Scenarios!$A$18:$A$24,MATCH(MEDIAN($B93-Conversion!$B$14,2020,2050),Report_Scenarios!$A$18:$A$24,1)))),IF(INDEX(Report_Scenarios!$A$29:$A$35,MIN(MATCH(MEDIAN($B93-Conversion!$B$14,2020,2050),Report_Scenarios!$A$29:$A$35,1)+1,7))=INDEX(Report_Scenarios!$A$29:$A$35,MATCH(MEDIAN($B93-Conversion!$B$14,2020,2050),Report_Scenarios!$A$29:$A$35,1)),INDEX(Report_Scenarios!$E$29:$E$35,MATCH(MEDIAN($B93-Conversion!$B$14,2020,2050),Report_Scenarios!$A$29:$A$35,1)),INDEX(Report_Scenarios!$E$29:$E$35,MATCH(MEDIAN($B93-Conversion!$B$14,2020,2050),Report_Scenarios!$A$29:$A$35,1))+(INDEX(Report_Scenarios!$E$29:$E$35,MIN(MATCH(MEDIAN($B93-Conversion!$B$14,2020,2050),Report_Scenarios!$A$29:$A$35,1)+1,7))-INDEX(Report_Scenarios!$E$29:$E$35,MATCH(MEDIAN($B93-Conversion!$B$14,2020,2050),Report_Scenarios!$A$29:$A$35,1)))*(MEDIAN($B93-Conversion!$B$14,2020,2050)-INDEX(Report_Scenarios!$A$29:$A$35,MATCH(MEDIAN($B93-Conversion!$B$14,2020,2050),Report_Scenarios!$A$29:$A$35,1)))/(INDEX(Report_Scenarios!$A$29:$A$35,MIN(MATCH(MEDIAN($B93-Conversion!$B$14,2020,2050),Report_Scenarios!$A$29:$A$35,1)+1,7))-INDEX(Report_Scenarios!$A$29:$A$35,MATCH(MEDIAN($B93-Conversion!$B$14,2020,2050),Report_Scenarios!$A$29:$A$35,1))))))</f>
        <v/>
      </c>
      <c r="I93" s="23">
        <f>IF($D93="Conservative",IF(INDEX(Report_Scenarios!$A$7:$A$13,MIN(MATCH(MEDIAN($B93-Conversion!$B$14,2020,2050),Report_Scenarios!$A$7:$A$13,1)+1,7))=INDEX(Report_Scenarios!$A$7:$A$13,MATCH(MEDIAN($B93-Conversion!$B$14,2020,2050),Report_Scenarios!$A$7:$A$13,1)),INDEX(Report_Scenarios!$F$7:$F$13,MATCH(MEDIAN($B93-Conversion!$B$14,2020,2050),Report_Scenarios!$A$7:$A$13,1)),INDEX(Report_Scenarios!$F$7:$F$13,MATCH(MEDIAN($B93-Conversion!$B$14,2020,2050),Report_Scenarios!$A$7:$A$13,1))+(INDEX(Report_Scenarios!$F$7:$F$13,MIN(MATCH(MEDIAN($B93-Conversion!$B$14,2020,2050),Report_Scenarios!$A$7:$A$13,1)+1,7))-INDEX(Report_Scenarios!$F$7:$F$13,MATCH(MEDIAN($B93-Conversion!$B$14,2020,2050),Report_Scenarios!$A$7:$A$13,1)))*(MEDIAN($B93-Conversion!$B$14,2020,2050)-INDEX(Report_Scenarios!$A$7:$A$13,MATCH(MEDIAN($B93-Conversion!$B$14,2020,2050),Report_Scenarios!$A$7:$A$13,1)))/(INDEX(Report_Scenarios!$A$7:$A$13,MIN(MATCH(MEDIAN($B93-Conversion!$B$14,2020,2050),Report_Scenarios!$A$7:$A$13,1)+1,7))-INDEX(Report_Scenarios!$A$7:$A$13,MATCH(MEDIAN($B93-Conversion!$B$14,2020,2050),Report_Scenarios!$A$7:$A$13,1)))),IF($D93="Central",IF(INDEX(Report_Scenarios!$A$18:$A$24,MIN(MATCH(MEDIAN($B93-Conversion!$B$14,2020,2050),Report_Scenarios!$A$18:$A$24,1)+1,7))=INDEX(Report_Scenarios!$A$18:$A$24,MATCH(MEDIAN($B93-Conversion!$B$14,2020,2050),Report_Scenarios!$A$18:$A$24,1)),INDEX(Report_Scenarios!$F$18:$F$24,MATCH(MEDIAN($B93-Conversion!$B$14,2020,2050),Report_Scenarios!$A$18:$A$24,1)),INDEX(Report_Scenarios!$F$18:$F$24,MATCH(MEDIAN($B93-Conversion!$B$14,2020,2050),Report_Scenarios!$A$18:$A$24,1))+(INDEX(Report_Scenarios!$F$18:$F$24,MIN(MATCH(MEDIAN($B93-Conversion!$B$14,2020,2050),Report_Scenarios!$A$18:$A$24,1)+1,7))-INDEX(Report_Scenarios!$F$18:$F$24,MATCH(MEDIAN($B93-Conversion!$B$14,2020,2050),Report_Scenarios!$A$18:$A$24,1)))*(MEDIAN($B93-Conversion!$B$14,2020,2050)-INDEX(Report_Scenarios!$A$18:$A$24,MATCH(MEDIAN($B93-Conversion!$B$14,2020,2050),Report_Scenarios!$A$18:$A$24,1)))/(INDEX(Report_Scenarios!$A$18:$A$24,MIN(MATCH(MEDIAN($B93-Conversion!$B$14,2020,2050),Report_Scenarios!$A$18:$A$24,1)+1,7))-INDEX(Report_Scenarios!$A$18:$A$24,MATCH(MEDIAN($B93-Conversion!$B$14,2020,2050),Report_Scenarios!$A$18:$A$24,1)))),IF(INDEX(Report_Scenarios!$A$29:$A$35,MIN(MATCH(MEDIAN($B93-Conversion!$B$14,2020,2050),Report_Scenarios!$A$29:$A$35,1)+1,7))=INDEX(Report_Scenarios!$A$29:$A$35,MATCH(MEDIAN($B93-Conversion!$B$14,2020,2050),Report_Scenarios!$A$29:$A$35,1)),INDEX(Report_Scenarios!$F$29:$F$35,MATCH(MEDIAN($B93-Conversion!$B$14,2020,2050),Report_Scenarios!$A$29:$A$35,1)),INDEX(Report_Scenarios!$F$29:$F$35,MATCH(MEDIAN($B93-Conversion!$B$14,2020,2050),Report_Scenarios!$A$29:$A$35,1))+(INDEX(Report_Scenarios!$F$29:$F$35,MIN(MATCH(MEDIAN($B93-Conversion!$B$14,2020,2050),Report_Scenarios!$A$29:$A$35,1)+1,7))-INDEX(Report_Scenarios!$F$29:$F$35,MATCH(MEDIAN($B93-Conversion!$B$14,2020,2050),Report_Scenarios!$A$29:$A$35,1)))*(MEDIAN($B93-Conversion!$B$14,2020,2050)-INDEX(Report_Scenarios!$A$29:$A$35,MATCH(MEDIAN($B93-Conversion!$B$14,2020,2050),Report_Scenarios!$A$29:$A$35,1)))/(INDEX(Report_Scenarios!$A$29:$A$35,MIN(MATCH(MEDIAN($B93-Conversion!$B$14,2020,2050),Report_Scenarios!$A$29:$A$35,1)+1,7))-INDEX(Report_Scenarios!$A$29:$A$35,MATCH(MEDIAN($B93-Conversion!$B$14,2020,2050),Report_Scenarios!$A$29:$A$35,1))))))</f>
        <v/>
      </c>
      <c r="J93" s="23">
        <f>IF($D93="Conservative",IF(INDEX(Report_Scenarios!$A$7:$A$13,MIN(MATCH(MEDIAN($B93-Conversion!$B$14,2020,2050),Report_Scenarios!$A$7:$A$13,1)+1,7))=INDEX(Report_Scenarios!$A$7:$A$13,MATCH(MEDIAN($B93-Conversion!$B$14,2020,2050),Report_Scenarios!$A$7:$A$13,1)),INDEX(Report_Scenarios!$G$7:$G$13,MATCH(MEDIAN($B93-Conversion!$B$14,2020,2050),Report_Scenarios!$A$7:$A$13,1)),INDEX(Report_Scenarios!$G$7:$G$13,MATCH(MEDIAN($B93-Conversion!$B$14,2020,2050),Report_Scenarios!$A$7:$A$13,1))+(INDEX(Report_Scenarios!$G$7:$G$13,MIN(MATCH(MEDIAN($B93-Conversion!$B$14,2020,2050),Report_Scenarios!$A$7:$A$13,1)+1,7))-INDEX(Report_Scenarios!$G$7:$G$13,MATCH(MEDIAN($B93-Conversion!$B$14,2020,2050),Report_Scenarios!$A$7:$A$13,1)))*(MEDIAN($B93-Conversion!$B$14,2020,2050)-INDEX(Report_Scenarios!$A$7:$A$13,MATCH(MEDIAN($B93-Conversion!$B$14,2020,2050),Report_Scenarios!$A$7:$A$13,1)))/(INDEX(Report_Scenarios!$A$7:$A$13,MIN(MATCH(MEDIAN($B93-Conversion!$B$14,2020,2050),Report_Scenarios!$A$7:$A$13,1)+1,7))-INDEX(Report_Scenarios!$A$7:$A$13,MATCH(MEDIAN($B93-Conversion!$B$14,2020,2050),Report_Scenarios!$A$7:$A$13,1)))),IF($D93="Central",IF(INDEX(Report_Scenarios!$A$18:$A$24,MIN(MATCH(MEDIAN($B93-Conversion!$B$14,2020,2050),Report_Scenarios!$A$18:$A$24,1)+1,7))=INDEX(Report_Scenarios!$A$18:$A$24,MATCH(MEDIAN($B93-Conversion!$B$14,2020,2050),Report_Scenarios!$A$18:$A$24,1)),INDEX(Report_Scenarios!$G$18:$G$24,MATCH(MEDIAN($B93-Conversion!$B$14,2020,2050),Report_Scenarios!$A$18:$A$24,1)),INDEX(Report_Scenarios!$G$18:$G$24,MATCH(MEDIAN($B93-Conversion!$B$14,2020,2050),Report_Scenarios!$A$18:$A$24,1))+(INDEX(Report_Scenarios!$G$18:$G$24,MIN(MATCH(MEDIAN($B93-Conversion!$B$14,2020,2050),Report_Scenarios!$A$18:$A$24,1)+1,7))-INDEX(Report_Scenarios!$G$18:$G$24,MATCH(MEDIAN($B93-Conversion!$B$14,2020,2050),Report_Scenarios!$A$18:$A$24,1)))*(MEDIAN($B93-Conversion!$B$14,2020,2050)-INDEX(Report_Scenarios!$A$18:$A$24,MATCH(MEDIAN($B93-Conversion!$B$14,2020,2050),Report_Scenarios!$A$18:$A$24,1)))/(INDEX(Report_Scenarios!$A$18:$A$24,MIN(MATCH(MEDIAN($B93-Conversion!$B$14,2020,2050),Report_Scenarios!$A$18:$A$24,1)+1,7))-INDEX(Report_Scenarios!$A$18:$A$24,MATCH(MEDIAN($B93-Conversion!$B$14,2020,2050),Report_Scenarios!$A$18:$A$24,1)))),IF(INDEX(Report_Scenarios!$A$29:$A$35,MIN(MATCH(MEDIAN($B93-Conversion!$B$14,2020,2050),Report_Scenarios!$A$29:$A$35,1)+1,7))=INDEX(Report_Scenarios!$A$29:$A$35,MATCH(MEDIAN($B93-Conversion!$B$14,2020,2050),Report_Scenarios!$A$29:$A$35,1)),INDEX(Report_Scenarios!$G$29:$G$35,MATCH(MEDIAN($B93-Conversion!$B$14,2020,2050),Report_Scenarios!$A$29:$A$35,1)),INDEX(Report_Scenarios!$G$29:$G$35,MATCH(MEDIAN($B93-Conversion!$B$14,2020,2050),Report_Scenarios!$A$29:$A$35,1))+(INDEX(Report_Scenarios!$G$29:$G$35,MIN(MATCH(MEDIAN($B93-Conversion!$B$14,2020,2050),Report_Scenarios!$A$29:$A$35,1)+1,7))-INDEX(Report_Scenarios!$G$29:$G$35,MATCH(MEDIAN($B93-Conversion!$B$14,2020,2050),Report_Scenarios!$A$29:$A$35,1)))*(MEDIAN($B93-Conversion!$B$14,2020,2050)-INDEX(Report_Scenarios!$A$29:$A$35,MATCH(MEDIAN($B93-Conversion!$B$14,2020,2050),Report_Scenarios!$A$29:$A$35,1)))/(INDEX(Report_Scenarios!$A$29:$A$35,MIN(MATCH(MEDIAN($B93-Conversion!$B$14,2020,2050),Report_Scenarios!$A$29:$A$35,1)+1,7))-INDEX(Report_Scenarios!$A$29:$A$35,MATCH(MEDIAN($B93-Conversion!$B$14,2020,2050),Report_Scenarios!$A$29:$A$35,1))))))</f>
        <v/>
      </c>
      <c r="K93" s="23">
        <f>SUM(E93:J93)</f>
        <v/>
      </c>
      <c r="L93" s="23">
        <f>IF(R93&lt;&gt;"",R93,IF($K93=0,0,E93/$K93))</f>
        <v/>
      </c>
      <c r="M93" s="23">
        <f>IF(S93&lt;&gt;"",S93,IF($K93=0,0,F93/$K93))</f>
        <v/>
      </c>
      <c r="N93" s="23">
        <f>IF(T93&lt;&gt;"",T93,IF($K93=0,0,G93/$K93))</f>
        <v/>
      </c>
      <c r="O93" s="23">
        <f>IF(U93&lt;&gt;"",U93,IF($K93=0,0,H93/$K93))</f>
        <v/>
      </c>
      <c r="P93" s="23">
        <f>IF(V93&lt;&gt;"",V93,IF($K93=0,0,I93/$K93))</f>
        <v/>
      </c>
      <c r="Q93" s="23">
        <f>IF(W93&lt;&gt;"",W93,IF($K93=0,0,J93/$K93))</f>
        <v/>
      </c>
      <c r="R93" s="24" t="n"/>
      <c r="S93" s="24" t="n"/>
      <c r="T93" s="24" t="n"/>
      <c r="U93" s="24" t="n"/>
      <c r="V93" s="24" t="n"/>
      <c r="W93" s="24" t="n"/>
    </row>
    <row r="94">
      <c r="A94" s="4" t="inlineStr">
        <is>
          <t>EF</t>
        </is>
      </c>
      <c r="B94" s="4" t="n">
        <v>2070</v>
      </c>
      <c r="C94" s="4" t="inlineStr">
        <is>
          <t>Share_Max</t>
        </is>
      </c>
      <c r="D94" s="4">
        <f>Conversion!$B$20</f>
        <v/>
      </c>
      <c r="E94" s="23">
        <f>IF($D94="Conservative",IF(INDEX(Report_Scenarios!$A$7:$A$13,MIN(MATCH(MEDIAN($B94-Conversion!$B$14,2020,2050),Report_Scenarios!$A$7:$A$13,1)+1,7))=INDEX(Report_Scenarios!$A$7:$A$13,MATCH(MEDIAN($B94-Conversion!$B$14,2020,2050),Report_Scenarios!$A$7:$A$13,1)),INDEX(Report_Scenarios!$B$7:$B$13,MATCH(MEDIAN($B94-Conversion!$B$14,2020,2050),Report_Scenarios!$A$7:$A$13,1)),INDEX(Report_Scenarios!$B$7:$B$13,MATCH(MEDIAN($B94-Conversion!$B$14,2020,2050),Report_Scenarios!$A$7:$A$13,1))+(INDEX(Report_Scenarios!$B$7:$B$13,MIN(MATCH(MEDIAN($B94-Conversion!$B$14,2020,2050),Report_Scenarios!$A$7:$A$13,1)+1,7))-INDEX(Report_Scenarios!$B$7:$B$13,MATCH(MEDIAN($B94-Conversion!$B$14,2020,2050),Report_Scenarios!$A$7:$A$13,1)))*(MEDIAN($B94-Conversion!$B$14,2020,2050)-INDEX(Report_Scenarios!$A$7:$A$13,MATCH(MEDIAN($B94-Conversion!$B$14,2020,2050),Report_Scenarios!$A$7:$A$13,1)))/(INDEX(Report_Scenarios!$A$7:$A$13,MIN(MATCH(MEDIAN($B94-Conversion!$B$14,2020,2050),Report_Scenarios!$A$7:$A$13,1)+1,7))-INDEX(Report_Scenarios!$A$7:$A$13,MATCH(MEDIAN($B94-Conversion!$B$14,2020,2050),Report_Scenarios!$A$7:$A$13,1)))),IF($D94="Central",IF(INDEX(Report_Scenarios!$A$18:$A$24,MIN(MATCH(MEDIAN($B94-Conversion!$B$14,2020,2050),Report_Scenarios!$A$18:$A$24,1)+1,7))=INDEX(Report_Scenarios!$A$18:$A$24,MATCH(MEDIAN($B94-Conversion!$B$14,2020,2050),Report_Scenarios!$A$18:$A$24,1)),INDEX(Report_Scenarios!$B$18:$B$24,MATCH(MEDIAN($B94-Conversion!$B$14,2020,2050),Report_Scenarios!$A$18:$A$24,1)),INDEX(Report_Scenarios!$B$18:$B$24,MATCH(MEDIAN($B94-Conversion!$B$14,2020,2050),Report_Scenarios!$A$18:$A$24,1))+(INDEX(Report_Scenarios!$B$18:$B$24,MIN(MATCH(MEDIAN($B94-Conversion!$B$14,2020,2050),Report_Scenarios!$A$18:$A$24,1)+1,7))-INDEX(Report_Scenarios!$B$18:$B$24,MATCH(MEDIAN($B94-Conversion!$B$14,2020,2050),Report_Scenarios!$A$18:$A$24,1)))*(MEDIAN($B94-Conversion!$B$14,2020,2050)-INDEX(Report_Scenarios!$A$18:$A$24,MATCH(MEDIAN($B94-Conversion!$B$14,2020,2050),Report_Scenarios!$A$18:$A$24,1)))/(INDEX(Report_Scenarios!$A$18:$A$24,MIN(MATCH(MEDIAN($B94-Conversion!$B$14,2020,2050),Report_Scenarios!$A$18:$A$24,1)+1,7))-INDEX(Report_Scenarios!$A$18:$A$24,MATCH(MEDIAN($B94-Conversion!$B$14,2020,2050),Report_Scenarios!$A$18:$A$24,1)))),IF(INDEX(Report_Scenarios!$A$29:$A$35,MIN(MATCH(MEDIAN($B94-Conversion!$B$14,2020,2050),Report_Scenarios!$A$29:$A$35,1)+1,7))=INDEX(Report_Scenarios!$A$29:$A$35,MATCH(MEDIAN($B94-Conversion!$B$14,2020,2050),Report_Scenarios!$A$29:$A$35,1)),INDEX(Report_Scenarios!$B$29:$B$35,MATCH(MEDIAN($B94-Conversion!$B$14,2020,2050),Report_Scenarios!$A$29:$A$35,1)),INDEX(Report_Scenarios!$B$29:$B$35,MATCH(MEDIAN($B94-Conversion!$B$14,2020,2050),Report_Scenarios!$A$29:$A$35,1))+(INDEX(Report_Scenarios!$B$29:$B$35,MIN(MATCH(MEDIAN($B94-Conversion!$B$14,2020,2050),Report_Scenarios!$A$29:$A$35,1)+1,7))-INDEX(Report_Scenarios!$B$29:$B$35,MATCH(MEDIAN($B94-Conversion!$B$14,2020,2050),Report_Scenarios!$A$29:$A$35,1)))*(MEDIAN($B94-Conversion!$B$14,2020,2050)-INDEX(Report_Scenarios!$A$29:$A$35,MATCH(MEDIAN($B94-Conversion!$B$14,2020,2050),Report_Scenarios!$A$29:$A$35,1)))/(INDEX(Report_Scenarios!$A$29:$A$35,MIN(MATCH(MEDIAN($B94-Conversion!$B$14,2020,2050),Report_Scenarios!$A$29:$A$35,1)+1,7))-INDEX(Report_Scenarios!$A$29:$A$35,MATCH(MEDIAN($B94-Conversion!$B$14,2020,2050),Report_Scenarios!$A$29:$A$35,1))))))</f>
        <v/>
      </c>
      <c r="F94" s="23">
        <f>IF($D94="Conservative",IF(INDEX(Report_Scenarios!$A$7:$A$13,MIN(MATCH(MEDIAN($B94-Conversion!$B$14,2020,2050),Report_Scenarios!$A$7:$A$13,1)+1,7))=INDEX(Report_Scenarios!$A$7:$A$13,MATCH(MEDIAN($B94-Conversion!$B$14,2020,2050),Report_Scenarios!$A$7:$A$13,1)),INDEX(Report_Scenarios!$C$7:$C$13,MATCH(MEDIAN($B94-Conversion!$B$14,2020,2050),Report_Scenarios!$A$7:$A$13,1)),INDEX(Report_Scenarios!$C$7:$C$13,MATCH(MEDIAN($B94-Conversion!$B$14,2020,2050),Report_Scenarios!$A$7:$A$13,1))+(INDEX(Report_Scenarios!$C$7:$C$13,MIN(MATCH(MEDIAN($B94-Conversion!$B$14,2020,2050),Report_Scenarios!$A$7:$A$13,1)+1,7))-INDEX(Report_Scenarios!$C$7:$C$13,MATCH(MEDIAN($B94-Conversion!$B$14,2020,2050),Report_Scenarios!$A$7:$A$13,1)))*(MEDIAN($B94-Conversion!$B$14,2020,2050)-INDEX(Report_Scenarios!$A$7:$A$13,MATCH(MEDIAN($B94-Conversion!$B$14,2020,2050),Report_Scenarios!$A$7:$A$13,1)))/(INDEX(Report_Scenarios!$A$7:$A$13,MIN(MATCH(MEDIAN($B94-Conversion!$B$14,2020,2050),Report_Scenarios!$A$7:$A$13,1)+1,7))-INDEX(Report_Scenarios!$A$7:$A$13,MATCH(MEDIAN($B94-Conversion!$B$14,2020,2050),Report_Scenarios!$A$7:$A$13,1)))),IF($D94="Central",IF(INDEX(Report_Scenarios!$A$18:$A$24,MIN(MATCH(MEDIAN($B94-Conversion!$B$14,2020,2050),Report_Scenarios!$A$18:$A$24,1)+1,7))=INDEX(Report_Scenarios!$A$18:$A$24,MATCH(MEDIAN($B94-Conversion!$B$14,2020,2050),Report_Scenarios!$A$18:$A$24,1)),INDEX(Report_Scenarios!$C$18:$C$24,MATCH(MEDIAN($B94-Conversion!$B$14,2020,2050),Report_Scenarios!$A$18:$A$24,1)),INDEX(Report_Scenarios!$C$18:$C$24,MATCH(MEDIAN($B94-Conversion!$B$14,2020,2050),Report_Scenarios!$A$18:$A$24,1))+(INDEX(Report_Scenarios!$C$18:$C$24,MIN(MATCH(MEDIAN($B94-Conversion!$B$14,2020,2050),Report_Scenarios!$A$18:$A$24,1)+1,7))-INDEX(Report_Scenarios!$C$18:$C$24,MATCH(MEDIAN($B94-Conversion!$B$14,2020,2050),Report_Scenarios!$A$18:$A$24,1)))*(MEDIAN($B94-Conversion!$B$14,2020,2050)-INDEX(Report_Scenarios!$A$18:$A$24,MATCH(MEDIAN($B94-Conversion!$B$14,2020,2050),Report_Scenarios!$A$18:$A$24,1)))/(INDEX(Report_Scenarios!$A$18:$A$24,MIN(MATCH(MEDIAN($B94-Conversion!$B$14,2020,2050),Report_Scenarios!$A$18:$A$24,1)+1,7))-INDEX(Report_Scenarios!$A$18:$A$24,MATCH(MEDIAN($B94-Conversion!$B$14,2020,2050),Report_Scenarios!$A$18:$A$24,1)))),IF(INDEX(Report_Scenarios!$A$29:$A$35,MIN(MATCH(MEDIAN($B94-Conversion!$B$14,2020,2050),Report_Scenarios!$A$29:$A$35,1)+1,7))=INDEX(Report_Scenarios!$A$29:$A$35,MATCH(MEDIAN($B94-Conversion!$B$14,2020,2050),Report_Scenarios!$A$29:$A$35,1)),INDEX(Report_Scenarios!$C$29:$C$35,MATCH(MEDIAN($B94-Conversion!$B$14,2020,2050),Report_Scenarios!$A$29:$A$35,1)),INDEX(Report_Scenarios!$C$29:$C$35,MATCH(MEDIAN($B94-Conversion!$B$14,2020,2050),Report_Scenarios!$A$29:$A$35,1))+(INDEX(Report_Scenarios!$C$29:$C$35,MIN(MATCH(MEDIAN($B94-Conversion!$B$14,2020,2050),Report_Scenarios!$A$29:$A$35,1)+1,7))-INDEX(Report_Scenarios!$C$29:$C$35,MATCH(MEDIAN($B94-Conversion!$B$14,2020,2050),Report_Scenarios!$A$29:$A$35,1)))*(MEDIAN($B94-Conversion!$B$14,2020,2050)-INDEX(Report_Scenarios!$A$29:$A$35,MATCH(MEDIAN($B94-Conversion!$B$14,2020,2050),Report_Scenarios!$A$29:$A$35,1)))/(INDEX(Report_Scenarios!$A$29:$A$35,MIN(MATCH(MEDIAN($B94-Conversion!$B$14,2020,2050),Report_Scenarios!$A$29:$A$35,1)+1,7))-INDEX(Report_Scenarios!$A$29:$A$35,MATCH(MEDIAN($B94-Conversion!$B$14,2020,2050),Report_Scenarios!$A$29:$A$35,1))))))</f>
        <v/>
      </c>
      <c r="G94" s="23">
        <f>IF($D94="Conservative",IF(INDEX(Report_Scenarios!$A$7:$A$13,MIN(MATCH(MEDIAN($B94-Conversion!$B$14,2020,2050),Report_Scenarios!$A$7:$A$13,1)+1,7))=INDEX(Report_Scenarios!$A$7:$A$13,MATCH(MEDIAN($B94-Conversion!$B$14,2020,2050),Report_Scenarios!$A$7:$A$13,1)),INDEX(Report_Scenarios!$D$7:$D$13,MATCH(MEDIAN($B94-Conversion!$B$14,2020,2050),Report_Scenarios!$A$7:$A$13,1)),INDEX(Report_Scenarios!$D$7:$D$13,MATCH(MEDIAN($B94-Conversion!$B$14,2020,2050),Report_Scenarios!$A$7:$A$13,1))+(INDEX(Report_Scenarios!$D$7:$D$13,MIN(MATCH(MEDIAN($B94-Conversion!$B$14,2020,2050),Report_Scenarios!$A$7:$A$13,1)+1,7))-INDEX(Report_Scenarios!$D$7:$D$13,MATCH(MEDIAN($B94-Conversion!$B$14,2020,2050),Report_Scenarios!$A$7:$A$13,1)))*(MEDIAN($B94-Conversion!$B$14,2020,2050)-INDEX(Report_Scenarios!$A$7:$A$13,MATCH(MEDIAN($B94-Conversion!$B$14,2020,2050),Report_Scenarios!$A$7:$A$13,1)))/(INDEX(Report_Scenarios!$A$7:$A$13,MIN(MATCH(MEDIAN($B94-Conversion!$B$14,2020,2050),Report_Scenarios!$A$7:$A$13,1)+1,7))-INDEX(Report_Scenarios!$A$7:$A$13,MATCH(MEDIAN($B94-Conversion!$B$14,2020,2050),Report_Scenarios!$A$7:$A$13,1)))),IF($D94="Central",IF(INDEX(Report_Scenarios!$A$18:$A$24,MIN(MATCH(MEDIAN($B94-Conversion!$B$14,2020,2050),Report_Scenarios!$A$18:$A$24,1)+1,7))=INDEX(Report_Scenarios!$A$18:$A$24,MATCH(MEDIAN($B94-Conversion!$B$14,2020,2050),Report_Scenarios!$A$18:$A$24,1)),INDEX(Report_Scenarios!$D$18:$D$24,MATCH(MEDIAN($B94-Conversion!$B$14,2020,2050),Report_Scenarios!$A$18:$A$24,1)),INDEX(Report_Scenarios!$D$18:$D$24,MATCH(MEDIAN($B94-Conversion!$B$14,2020,2050),Report_Scenarios!$A$18:$A$24,1))+(INDEX(Report_Scenarios!$D$18:$D$24,MIN(MATCH(MEDIAN($B94-Conversion!$B$14,2020,2050),Report_Scenarios!$A$18:$A$24,1)+1,7))-INDEX(Report_Scenarios!$D$18:$D$24,MATCH(MEDIAN($B94-Conversion!$B$14,2020,2050),Report_Scenarios!$A$18:$A$24,1)))*(MEDIAN($B94-Conversion!$B$14,2020,2050)-INDEX(Report_Scenarios!$A$18:$A$24,MATCH(MEDIAN($B94-Conversion!$B$14,2020,2050),Report_Scenarios!$A$18:$A$24,1)))/(INDEX(Report_Scenarios!$A$18:$A$24,MIN(MATCH(MEDIAN($B94-Conversion!$B$14,2020,2050),Report_Scenarios!$A$18:$A$24,1)+1,7))-INDEX(Report_Scenarios!$A$18:$A$24,MATCH(MEDIAN($B94-Conversion!$B$14,2020,2050),Report_Scenarios!$A$18:$A$24,1)))),IF(INDEX(Report_Scenarios!$A$29:$A$35,MIN(MATCH(MEDIAN($B94-Conversion!$B$14,2020,2050),Report_Scenarios!$A$29:$A$35,1)+1,7))=INDEX(Report_Scenarios!$A$29:$A$35,MATCH(MEDIAN($B94-Conversion!$B$14,2020,2050),Report_Scenarios!$A$29:$A$35,1)),INDEX(Report_Scenarios!$D$29:$D$35,MATCH(MEDIAN($B94-Conversion!$B$14,2020,2050),Report_Scenarios!$A$29:$A$35,1)),INDEX(Report_Scenarios!$D$29:$D$35,MATCH(MEDIAN($B94-Conversion!$B$14,2020,2050),Report_Scenarios!$A$29:$A$35,1))+(INDEX(Report_Scenarios!$D$29:$D$35,MIN(MATCH(MEDIAN($B94-Conversion!$B$14,2020,2050),Report_Scenarios!$A$29:$A$35,1)+1,7))-INDEX(Report_Scenarios!$D$29:$D$35,MATCH(MEDIAN($B94-Conversion!$B$14,2020,2050),Report_Scenarios!$A$29:$A$35,1)))*(MEDIAN($B94-Conversion!$B$14,2020,2050)-INDEX(Report_Scenarios!$A$29:$A$35,MATCH(MEDIAN($B94-Conversion!$B$14,2020,2050),Report_Scenarios!$A$29:$A$35,1)))/(INDEX(Report_Scenarios!$A$29:$A$35,MIN(MATCH(MEDIAN($B94-Conversion!$B$14,2020,2050),Report_Scenarios!$A$29:$A$35,1)+1,7))-INDEX(Report_Scenarios!$A$29:$A$35,MATCH(MEDIAN($B94-Conversion!$B$14,2020,2050),Report_Scenarios!$A$29:$A$35,1))))))</f>
        <v/>
      </c>
      <c r="H94" s="23">
        <f>IF($D94="Conservative",IF(INDEX(Report_Scenarios!$A$7:$A$13,MIN(MATCH(MEDIAN($B94-Conversion!$B$14,2020,2050),Report_Scenarios!$A$7:$A$13,1)+1,7))=INDEX(Report_Scenarios!$A$7:$A$13,MATCH(MEDIAN($B94-Conversion!$B$14,2020,2050),Report_Scenarios!$A$7:$A$13,1)),INDEX(Report_Scenarios!$E$7:$E$13,MATCH(MEDIAN($B94-Conversion!$B$14,2020,2050),Report_Scenarios!$A$7:$A$13,1)),INDEX(Report_Scenarios!$E$7:$E$13,MATCH(MEDIAN($B94-Conversion!$B$14,2020,2050),Report_Scenarios!$A$7:$A$13,1))+(INDEX(Report_Scenarios!$E$7:$E$13,MIN(MATCH(MEDIAN($B94-Conversion!$B$14,2020,2050),Report_Scenarios!$A$7:$A$13,1)+1,7))-INDEX(Report_Scenarios!$E$7:$E$13,MATCH(MEDIAN($B94-Conversion!$B$14,2020,2050),Report_Scenarios!$A$7:$A$13,1)))*(MEDIAN($B94-Conversion!$B$14,2020,2050)-INDEX(Report_Scenarios!$A$7:$A$13,MATCH(MEDIAN($B94-Conversion!$B$14,2020,2050),Report_Scenarios!$A$7:$A$13,1)))/(INDEX(Report_Scenarios!$A$7:$A$13,MIN(MATCH(MEDIAN($B94-Conversion!$B$14,2020,2050),Report_Scenarios!$A$7:$A$13,1)+1,7))-INDEX(Report_Scenarios!$A$7:$A$13,MATCH(MEDIAN($B94-Conversion!$B$14,2020,2050),Report_Scenarios!$A$7:$A$13,1)))),IF($D94="Central",IF(INDEX(Report_Scenarios!$A$18:$A$24,MIN(MATCH(MEDIAN($B94-Conversion!$B$14,2020,2050),Report_Scenarios!$A$18:$A$24,1)+1,7))=INDEX(Report_Scenarios!$A$18:$A$24,MATCH(MEDIAN($B94-Conversion!$B$14,2020,2050),Report_Scenarios!$A$18:$A$24,1)),INDEX(Report_Scenarios!$E$18:$E$24,MATCH(MEDIAN($B94-Conversion!$B$14,2020,2050),Report_Scenarios!$A$18:$A$24,1)),INDEX(Report_Scenarios!$E$18:$E$24,MATCH(MEDIAN($B94-Conversion!$B$14,2020,2050),Report_Scenarios!$A$18:$A$24,1))+(INDEX(Report_Scenarios!$E$18:$E$24,MIN(MATCH(MEDIAN($B94-Conversion!$B$14,2020,2050),Report_Scenarios!$A$18:$A$24,1)+1,7))-INDEX(Report_Scenarios!$E$18:$E$24,MATCH(MEDIAN($B94-Conversion!$B$14,2020,2050),Report_Scenarios!$A$18:$A$24,1)))*(MEDIAN($B94-Conversion!$B$14,2020,2050)-INDEX(Report_Scenarios!$A$18:$A$24,MATCH(MEDIAN($B94-Conversion!$B$14,2020,2050),Report_Scenarios!$A$18:$A$24,1)))/(INDEX(Report_Scenarios!$A$18:$A$24,MIN(MATCH(MEDIAN($B94-Conversion!$B$14,2020,2050),Report_Scenarios!$A$18:$A$24,1)+1,7))-INDEX(Report_Scenarios!$A$18:$A$24,MATCH(MEDIAN($B94-Conversion!$B$14,2020,2050),Report_Scenarios!$A$18:$A$24,1)))),IF(INDEX(Report_Scenarios!$A$29:$A$35,MIN(MATCH(MEDIAN($B94-Conversion!$B$14,2020,2050),Report_Scenarios!$A$29:$A$35,1)+1,7))=INDEX(Report_Scenarios!$A$29:$A$35,MATCH(MEDIAN($B94-Conversion!$B$14,2020,2050),Report_Scenarios!$A$29:$A$35,1)),INDEX(Report_Scenarios!$E$29:$E$35,MATCH(MEDIAN($B94-Conversion!$B$14,2020,2050),Report_Scenarios!$A$29:$A$35,1)),INDEX(Report_Scenarios!$E$29:$E$35,MATCH(MEDIAN($B94-Conversion!$B$14,2020,2050),Report_Scenarios!$A$29:$A$35,1))+(INDEX(Report_Scenarios!$E$29:$E$35,MIN(MATCH(MEDIAN($B94-Conversion!$B$14,2020,2050),Report_Scenarios!$A$29:$A$35,1)+1,7))-INDEX(Report_Scenarios!$E$29:$E$35,MATCH(MEDIAN($B94-Conversion!$B$14,2020,2050),Report_Scenarios!$A$29:$A$35,1)))*(MEDIAN($B94-Conversion!$B$14,2020,2050)-INDEX(Report_Scenarios!$A$29:$A$35,MATCH(MEDIAN($B94-Conversion!$B$14,2020,2050),Report_Scenarios!$A$29:$A$35,1)))/(INDEX(Report_Scenarios!$A$29:$A$35,MIN(MATCH(MEDIAN($B94-Conversion!$B$14,2020,2050),Report_Scenarios!$A$29:$A$35,1)+1,7))-INDEX(Report_Scenarios!$A$29:$A$35,MATCH(MEDIAN($B94-Conversion!$B$14,2020,2050),Report_Scenarios!$A$29:$A$35,1))))))</f>
        <v/>
      </c>
      <c r="I94" s="23">
        <f>IF($D94="Conservative",IF(INDEX(Report_Scenarios!$A$7:$A$13,MIN(MATCH(MEDIAN($B94-Conversion!$B$14,2020,2050),Report_Scenarios!$A$7:$A$13,1)+1,7))=INDEX(Report_Scenarios!$A$7:$A$13,MATCH(MEDIAN($B94-Conversion!$B$14,2020,2050),Report_Scenarios!$A$7:$A$13,1)),INDEX(Report_Scenarios!$F$7:$F$13,MATCH(MEDIAN($B94-Conversion!$B$14,2020,2050),Report_Scenarios!$A$7:$A$13,1)),INDEX(Report_Scenarios!$F$7:$F$13,MATCH(MEDIAN($B94-Conversion!$B$14,2020,2050),Report_Scenarios!$A$7:$A$13,1))+(INDEX(Report_Scenarios!$F$7:$F$13,MIN(MATCH(MEDIAN($B94-Conversion!$B$14,2020,2050),Report_Scenarios!$A$7:$A$13,1)+1,7))-INDEX(Report_Scenarios!$F$7:$F$13,MATCH(MEDIAN($B94-Conversion!$B$14,2020,2050),Report_Scenarios!$A$7:$A$13,1)))*(MEDIAN($B94-Conversion!$B$14,2020,2050)-INDEX(Report_Scenarios!$A$7:$A$13,MATCH(MEDIAN($B94-Conversion!$B$14,2020,2050),Report_Scenarios!$A$7:$A$13,1)))/(INDEX(Report_Scenarios!$A$7:$A$13,MIN(MATCH(MEDIAN($B94-Conversion!$B$14,2020,2050),Report_Scenarios!$A$7:$A$13,1)+1,7))-INDEX(Report_Scenarios!$A$7:$A$13,MATCH(MEDIAN($B94-Conversion!$B$14,2020,2050),Report_Scenarios!$A$7:$A$13,1)))),IF($D94="Central",IF(INDEX(Report_Scenarios!$A$18:$A$24,MIN(MATCH(MEDIAN($B94-Conversion!$B$14,2020,2050),Report_Scenarios!$A$18:$A$24,1)+1,7))=INDEX(Report_Scenarios!$A$18:$A$24,MATCH(MEDIAN($B94-Conversion!$B$14,2020,2050),Report_Scenarios!$A$18:$A$24,1)),INDEX(Report_Scenarios!$F$18:$F$24,MATCH(MEDIAN($B94-Conversion!$B$14,2020,2050),Report_Scenarios!$A$18:$A$24,1)),INDEX(Report_Scenarios!$F$18:$F$24,MATCH(MEDIAN($B94-Conversion!$B$14,2020,2050),Report_Scenarios!$A$18:$A$24,1))+(INDEX(Report_Scenarios!$F$18:$F$24,MIN(MATCH(MEDIAN($B94-Conversion!$B$14,2020,2050),Report_Scenarios!$A$18:$A$24,1)+1,7))-INDEX(Report_Scenarios!$F$18:$F$24,MATCH(MEDIAN($B94-Conversion!$B$14,2020,2050),Report_Scenarios!$A$18:$A$24,1)))*(MEDIAN($B94-Conversion!$B$14,2020,2050)-INDEX(Report_Scenarios!$A$18:$A$24,MATCH(MEDIAN($B94-Conversion!$B$14,2020,2050),Report_Scenarios!$A$18:$A$24,1)))/(INDEX(Report_Scenarios!$A$18:$A$24,MIN(MATCH(MEDIAN($B94-Conversion!$B$14,2020,2050),Report_Scenarios!$A$18:$A$24,1)+1,7))-INDEX(Report_Scenarios!$A$18:$A$24,MATCH(MEDIAN($B94-Conversion!$B$14,2020,2050),Report_Scenarios!$A$18:$A$24,1)))),IF(INDEX(Report_Scenarios!$A$29:$A$35,MIN(MATCH(MEDIAN($B94-Conversion!$B$14,2020,2050),Report_Scenarios!$A$29:$A$35,1)+1,7))=INDEX(Report_Scenarios!$A$29:$A$35,MATCH(MEDIAN($B94-Conversion!$B$14,2020,2050),Report_Scenarios!$A$29:$A$35,1)),INDEX(Report_Scenarios!$F$29:$F$35,MATCH(MEDIAN($B94-Conversion!$B$14,2020,2050),Report_Scenarios!$A$29:$A$35,1)),INDEX(Report_Scenarios!$F$29:$F$35,MATCH(MEDIAN($B94-Conversion!$B$14,2020,2050),Report_Scenarios!$A$29:$A$35,1))+(INDEX(Report_Scenarios!$F$29:$F$35,MIN(MATCH(MEDIAN($B94-Conversion!$B$14,2020,2050),Report_Scenarios!$A$29:$A$35,1)+1,7))-INDEX(Report_Scenarios!$F$29:$F$35,MATCH(MEDIAN($B94-Conversion!$B$14,2020,2050),Report_Scenarios!$A$29:$A$35,1)))*(MEDIAN($B94-Conversion!$B$14,2020,2050)-INDEX(Report_Scenarios!$A$29:$A$35,MATCH(MEDIAN($B94-Conversion!$B$14,2020,2050),Report_Scenarios!$A$29:$A$35,1)))/(INDEX(Report_Scenarios!$A$29:$A$35,MIN(MATCH(MEDIAN($B94-Conversion!$B$14,2020,2050),Report_Scenarios!$A$29:$A$35,1)+1,7))-INDEX(Report_Scenarios!$A$29:$A$35,MATCH(MEDIAN($B94-Conversion!$B$14,2020,2050),Report_Scenarios!$A$29:$A$35,1))))))</f>
        <v/>
      </c>
      <c r="J94" s="23">
        <f>IF($D94="Conservative",IF(INDEX(Report_Scenarios!$A$7:$A$13,MIN(MATCH(MEDIAN($B94-Conversion!$B$14,2020,2050),Report_Scenarios!$A$7:$A$13,1)+1,7))=INDEX(Report_Scenarios!$A$7:$A$13,MATCH(MEDIAN($B94-Conversion!$B$14,2020,2050),Report_Scenarios!$A$7:$A$13,1)),INDEX(Report_Scenarios!$G$7:$G$13,MATCH(MEDIAN($B94-Conversion!$B$14,2020,2050),Report_Scenarios!$A$7:$A$13,1)),INDEX(Report_Scenarios!$G$7:$G$13,MATCH(MEDIAN($B94-Conversion!$B$14,2020,2050),Report_Scenarios!$A$7:$A$13,1))+(INDEX(Report_Scenarios!$G$7:$G$13,MIN(MATCH(MEDIAN($B94-Conversion!$B$14,2020,2050),Report_Scenarios!$A$7:$A$13,1)+1,7))-INDEX(Report_Scenarios!$G$7:$G$13,MATCH(MEDIAN($B94-Conversion!$B$14,2020,2050),Report_Scenarios!$A$7:$A$13,1)))*(MEDIAN($B94-Conversion!$B$14,2020,2050)-INDEX(Report_Scenarios!$A$7:$A$13,MATCH(MEDIAN($B94-Conversion!$B$14,2020,2050),Report_Scenarios!$A$7:$A$13,1)))/(INDEX(Report_Scenarios!$A$7:$A$13,MIN(MATCH(MEDIAN($B94-Conversion!$B$14,2020,2050),Report_Scenarios!$A$7:$A$13,1)+1,7))-INDEX(Report_Scenarios!$A$7:$A$13,MATCH(MEDIAN($B94-Conversion!$B$14,2020,2050),Report_Scenarios!$A$7:$A$13,1)))),IF($D94="Central",IF(INDEX(Report_Scenarios!$A$18:$A$24,MIN(MATCH(MEDIAN($B94-Conversion!$B$14,2020,2050),Report_Scenarios!$A$18:$A$24,1)+1,7))=INDEX(Report_Scenarios!$A$18:$A$24,MATCH(MEDIAN($B94-Conversion!$B$14,2020,2050),Report_Scenarios!$A$18:$A$24,1)),INDEX(Report_Scenarios!$G$18:$G$24,MATCH(MEDIAN($B94-Conversion!$B$14,2020,2050),Report_Scenarios!$A$18:$A$24,1)),INDEX(Report_Scenarios!$G$18:$G$24,MATCH(MEDIAN($B94-Conversion!$B$14,2020,2050),Report_Scenarios!$A$18:$A$24,1))+(INDEX(Report_Scenarios!$G$18:$G$24,MIN(MATCH(MEDIAN($B94-Conversion!$B$14,2020,2050),Report_Scenarios!$A$18:$A$24,1)+1,7))-INDEX(Report_Scenarios!$G$18:$G$24,MATCH(MEDIAN($B94-Conversion!$B$14,2020,2050),Report_Scenarios!$A$18:$A$24,1)))*(MEDIAN($B94-Conversion!$B$14,2020,2050)-INDEX(Report_Scenarios!$A$18:$A$24,MATCH(MEDIAN($B94-Conversion!$B$14,2020,2050),Report_Scenarios!$A$18:$A$24,1)))/(INDEX(Report_Scenarios!$A$18:$A$24,MIN(MATCH(MEDIAN($B94-Conversion!$B$14,2020,2050),Report_Scenarios!$A$18:$A$24,1)+1,7))-INDEX(Report_Scenarios!$A$18:$A$24,MATCH(MEDIAN($B94-Conversion!$B$14,2020,2050),Report_Scenarios!$A$18:$A$24,1)))),IF(INDEX(Report_Scenarios!$A$29:$A$35,MIN(MATCH(MEDIAN($B94-Conversion!$B$14,2020,2050),Report_Scenarios!$A$29:$A$35,1)+1,7))=INDEX(Report_Scenarios!$A$29:$A$35,MATCH(MEDIAN($B94-Conversion!$B$14,2020,2050),Report_Scenarios!$A$29:$A$35,1)),INDEX(Report_Scenarios!$G$29:$G$35,MATCH(MEDIAN($B94-Conversion!$B$14,2020,2050),Report_Scenarios!$A$29:$A$35,1)),INDEX(Report_Scenarios!$G$29:$G$35,MATCH(MEDIAN($B94-Conversion!$B$14,2020,2050),Report_Scenarios!$A$29:$A$35,1))+(INDEX(Report_Scenarios!$G$29:$G$35,MIN(MATCH(MEDIAN($B94-Conversion!$B$14,2020,2050),Report_Scenarios!$A$29:$A$35,1)+1,7))-INDEX(Report_Scenarios!$G$29:$G$35,MATCH(MEDIAN($B94-Conversion!$B$14,2020,2050),Report_Scenarios!$A$29:$A$35,1)))*(MEDIAN($B94-Conversion!$B$14,2020,2050)-INDEX(Report_Scenarios!$A$29:$A$35,MATCH(MEDIAN($B94-Conversion!$B$14,2020,2050),Report_Scenarios!$A$29:$A$35,1)))/(INDEX(Report_Scenarios!$A$29:$A$35,MIN(MATCH(MEDIAN($B94-Conversion!$B$14,2020,2050),Report_Scenarios!$A$29:$A$35,1)+1,7))-INDEX(Report_Scenarios!$A$29:$A$35,MATCH(MEDIAN($B94-Conversion!$B$14,2020,2050),Report_Scenarios!$A$29:$A$35,1))))))</f>
        <v/>
      </c>
      <c r="K94" s="23">
        <f>SUM(E94:J94)</f>
        <v/>
      </c>
      <c r="L94" s="23">
        <f>IF(R94&lt;&gt;"",R94,IF($K94=0,0,E94/$K94))</f>
        <v/>
      </c>
      <c r="M94" s="23">
        <f>IF(S94&lt;&gt;"",S94,IF($K94=0,0,F94/$K94))</f>
        <v/>
      </c>
      <c r="N94" s="23">
        <f>IF(T94&lt;&gt;"",T94,IF($K94=0,0,G94/$K94))</f>
        <v/>
      </c>
      <c r="O94" s="23">
        <f>IF(U94&lt;&gt;"",U94,IF($K94=0,0,H94/$K94))</f>
        <v/>
      </c>
      <c r="P94" s="23">
        <f>IF(V94&lt;&gt;"",V94,IF($K94=0,0,I94/$K94))</f>
        <v/>
      </c>
      <c r="Q94" s="23">
        <f>IF(W94&lt;&gt;"",W94,IF($K94=0,0,J94/$K94))</f>
        <v/>
      </c>
      <c r="R94" s="24" t="n"/>
      <c r="S94" s="24" t="n"/>
      <c r="T94" s="24" t="n"/>
      <c r="U94" s="24" t="n"/>
      <c r="V94" s="24" t="n"/>
      <c r="W94" s="24" t="n"/>
    </row>
    <row r="96">
      <c r="A96" s="2" t="inlineStr">
        <is>
          <t>Green OVERRIDE columns are empty by default. Type a share there to pin a value; leave blank to use the derived number.</t>
        </is>
      </c>
    </row>
    <row r="97">
      <c r="A97" s="2" t="inlineStr">
        <is>
          <t>Use the override to encode a view the report does not support - e.g. a higher EF L3 for European premium new sales.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2026-08-04T12:50:17Z</dcterms:created>
  <dcterms:modified xsi:type="dcterms:W3CDTF">2026-08-05T10:42:58Z</dcterms:modified>
  <cp:lastModifiedBy>Matthias Roesslein</cp:lastModifiedBy>
</cp:coreProperties>
</file>