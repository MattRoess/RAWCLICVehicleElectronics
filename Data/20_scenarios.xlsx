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rol" sheetId="1" state="visible" r:id="rId1"/>
    <sheet name="Scenarios" sheetId="2" state="visible" r:id="rId2"/>
    <sheet name="Notes" sheetId="3" state="visible" r:id="rId3"/>
    <sheet name="Motor_Scenarios" sheetId="4" state="visible" r:id="rId4"/>
  </sheets>
  <definedNames/>
  <calcPr calcId="12451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b val="1"/>
      <sz val="13"/>
    </font>
    <font>
      <b val="1"/>
      <sz val="12"/>
    </font>
    <font>
      <b val="1"/>
    </font>
  </fonts>
  <fills count="6">
    <fill>
      <patternFill/>
    </fill>
    <fill>
      <patternFill patternType="gray125"/>
    </fill>
    <fill>
      <patternFill patternType="solid">
        <fgColor rgb="00FFF2CC"/>
      </patternFill>
    </fill>
    <fill>
      <patternFill patternType="solid">
        <fgColor rgb="00D9D9D9"/>
      </patternFill>
    </fill>
    <fill>
      <patternFill patternType="solid">
        <fgColor rgb="00EDEDED"/>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2" fillId="2" borderId="1" pivotButton="0" quotePrefix="0" xfId="0"/>
    <xf numFmtId="0" fontId="3" fillId="0" borderId="0" pivotButton="0" quotePrefix="0" xfId="0"/>
    <xf numFmtId="0" fontId="3" fillId="3" borderId="1" applyAlignment="1" pivotButton="0" quotePrefix="0" xfId="0">
      <alignment vertical="top" wrapText="1"/>
    </xf>
    <xf numFmtId="2" fontId="0" fillId="2" borderId="1" pivotButton="0" quotePrefix="0" xfId="0"/>
    <xf numFmtId="164" fontId="0" fillId="4" borderId="0" pivotButton="0" quotePrefix="0" xfId="0"/>
    <xf numFmtId="0" fontId="0" fillId="0" borderId="1" pivotButton="0" quotePrefix="0" xfId="0"/>
    <xf numFmtId="0" fontId="0" fillId="0" borderId="1" applyAlignment="1" pivotButton="0" quotePrefix="0" xfId="0">
      <alignment vertical="top" wrapText="1"/>
    </xf>
    <xf numFmtId="0" fontId="3"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105" customWidth="1" min="2" max="2"/>
  </cols>
  <sheetData>
    <row r="1">
      <c r="A1" s="1" t="inlineStr">
        <is>
          <t>PROJECT-WIDE SCENARIO SELECTION</t>
        </is>
      </c>
    </row>
    <row r="2">
      <c r="A2" s="2" t="inlineStr">
        <is>
          <t>This one cell drives EVERY model -- wiring, sensors, PCB. Change it here and nowhere else.</t>
        </is>
      </c>
    </row>
    <row r="4">
      <c r="A4" s="3" t="inlineStr">
        <is>
          <t>Active_Scenario</t>
        </is>
      </c>
      <c r="B4" s="4" t="inlineStr">
        <is>
          <t>SAMPLE</t>
        </is>
      </c>
    </row>
    <row r="6">
      <c r="A6" s="5" t="inlineStr">
        <is>
          <t>Allowed values</t>
        </is>
      </c>
    </row>
    <row r="7">
      <c r="A7" s="5" t="inlineStr">
        <is>
          <t>SAMPLE</t>
        </is>
      </c>
      <c r="B7" s="2" t="inlineStr">
        <is>
          <t>DEFAULT. Each Monte Carlo iteration draws a scenario by weight, so ONE run's band spans all three. This is what should be quoted -- pinning discards the scenario spread and reports a narrower band than the evidence supports.</t>
        </is>
      </c>
    </row>
    <row r="8">
      <c r="A8" s="5" t="inlineStr">
        <is>
          <t>S1</t>
        </is>
      </c>
      <c r="B8" s="2" t="inlineStr">
        <is>
          <t>Pin every iteration to S1. Outputs take a _S1 suffix.</t>
        </is>
      </c>
    </row>
    <row r="9">
      <c r="A9" s="5" t="inlineStr">
        <is>
          <t>S2</t>
        </is>
      </c>
      <c r="B9" s="2" t="inlineStr">
        <is>
          <t>Pin every iteration to S2. Outputs take a _S2 suffix.</t>
        </is>
      </c>
    </row>
    <row r="10">
      <c r="A10" s="5" t="inlineStr">
        <is>
          <t>S3</t>
        </is>
      </c>
      <c r="B10" s="2" t="inlineStr">
        <is>
          <t>Pin every iteration to S3. Outputs take a _S3 suffix.</t>
        </is>
      </c>
    </row>
    <row r="12">
      <c r="A12" s="5" t="inlineStr">
        <is>
          <t>Code override</t>
        </is>
      </c>
      <c r="B12" s="2" t="inlineStr">
        <is>
          <t>SCENARIO_OVERRIDE in BevWiring.py section 0 beats this cell, for scripted sweeps across all three without editing Excel. Set it to None to obey this file.</t>
        </is>
      </c>
    </row>
    <row r="14">
      <c r="A14" s="5" t="inlineStr">
        <is>
          <t>Read by</t>
        </is>
      </c>
      <c r="B14" s="2" t="inlineStr">
        <is>
          <t>Wiring/BevWiring.py. SensorNumbersMC.py and the PCB models once they are rewired -- see docs/SENSOR_MODEL_DESIGN.md section 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cols>
    <col width="11" customWidth="1" min="1" max="1"/>
    <col width="26" customWidth="1" min="2" max="2"/>
    <col width="8" customWidth="1" min="3" max="3"/>
    <col width="8" customWidth="1" min="4" max="4"/>
    <col width="8" customWidth="1" min="5" max="5"/>
    <col width="8" customWidth="1" min="6" max="6"/>
    <col width="9" customWidth="1" min="7" max="7"/>
    <col width="60" customWidth="1" min="8" max="8"/>
    <col width="70" customWidth="1" min="12" max="12"/>
  </cols>
  <sheetData>
    <row r="1">
      <c r="A1" s="1" t="inlineStr">
        <is>
          <t>Driver C -- post-2040 sensor-count scenarios</t>
        </is>
      </c>
    </row>
    <row r="2">
      <c r="A2" s="2" t="inlineStr">
        <is>
          <t>A model needs to know HOW MANY sensors, not WHICH. After 2040 the count is set by two observable mechanisms: (1) cost decline with volume -- by ~2040-45 sensor cost is negligible against vehicle price, so cost stops constraining count; (2) safety redundancy -- once cost is not binding, required redundancy sets the count. A new sensor modality, if one arrives, simply appears as 'more sensors'. This replaces the withdrawn rule E4 ('no new modality before 2070'), which assumed zero over 45 years against a historical rate of roughly one new modality every 10-15 years.</t>
        </is>
      </c>
    </row>
    <row r="4">
      <c r="A4" s="6" t="inlineStr">
        <is>
          <t>Scenario</t>
        </is>
      </c>
      <c r="B4" s="6" t="inlineStr">
        <is>
          <t>Name</t>
        </is>
      </c>
      <c r="C4" s="6" t="inlineStr">
        <is>
          <t>2040</t>
        </is>
      </c>
      <c r="D4" s="6" t="inlineStr">
        <is>
          <t>2050</t>
        </is>
      </c>
      <c r="E4" s="6" t="inlineStr">
        <is>
          <t>2060</t>
        </is>
      </c>
      <c r="F4" s="6" t="inlineStr">
        <is>
          <t>2070</t>
        </is>
      </c>
      <c r="G4" s="6" t="inlineStr">
        <is>
          <t>Weight</t>
        </is>
      </c>
      <c r="H4" s="6" t="inlineStr">
        <is>
          <t>Mechanism</t>
        </is>
      </c>
    </row>
    <row r="5">
      <c r="A5" s="5" t="inlineStr">
        <is>
          <t>S1</t>
        </is>
      </c>
      <c r="B5" t="inlineStr">
        <is>
          <t>Cost-driven convergence</t>
        </is>
      </c>
      <c r="C5" s="7" t="n">
        <v>1</v>
      </c>
      <c r="D5" s="7" t="n">
        <v>1</v>
      </c>
      <c r="E5" s="7" t="n">
        <v>1</v>
      </c>
      <c r="F5" s="7" t="n">
        <v>1</v>
      </c>
      <c r="G5" s="7" t="n">
        <v>0.25</v>
      </c>
      <c r="H5" s="2" t="inlineStr">
        <is>
          <t>Sensors get cheap, but sensing converges on a minimal efficient set (camera + radar). Redundancy achieved in COMPUTE, not hardware. The vision-only thesis.</t>
        </is>
      </c>
    </row>
    <row r="6">
      <c r="A6" s="5" t="inlineStr">
        <is>
          <t>S2</t>
        </is>
      </c>
      <c r="B6" t="inlineStr">
        <is>
          <t>Regulated redundancy</t>
        </is>
      </c>
      <c r="C6" s="7" t="n">
        <v>1</v>
      </c>
      <c r="D6" s="7" t="n">
        <v>1.15</v>
      </c>
      <c r="E6" s="7" t="n">
        <v>1.28</v>
      </c>
      <c r="F6" s="7" t="n">
        <v>1.4</v>
      </c>
      <c r="G6" s="7" t="n">
        <v>0.5</v>
      </c>
      <c r="H6" s="2" t="inlineStr">
        <is>
          <t>Cost decline makes redundancy affordable; L3/L4 type approval requires independent modality redundancy for fail-operational behaviour. MODE.</t>
        </is>
      </c>
    </row>
    <row r="7">
      <c r="A7" s="5" t="inlineStr">
        <is>
          <t>S3</t>
        </is>
      </c>
      <c r="B7" t="inlineStr">
        <is>
          <t>Full fail-operational</t>
        </is>
      </c>
      <c r="C7" s="7" t="n">
        <v>1</v>
      </c>
      <c r="D7" s="7" t="n">
        <v>1.35</v>
      </c>
      <c r="E7" s="7" t="n">
        <v>1.7</v>
      </c>
      <c r="F7" s="7" t="n">
        <v>2</v>
      </c>
      <c r="G7" s="7" t="n">
        <v>0.25</v>
      </c>
      <c r="H7" s="2" t="inlineStr">
        <is>
          <t>Private L4 requires dual-redundant sensing across every modality plus degraded-mode operation. Each sensing function duplicated.</t>
        </is>
      </c>
    </row>
    <row r="8">
      <c r="B8" s="5" t="inlineStr">
        <is>
          <t>Weights sum (V10, must be 1.000)</t>
        </is>
      </c>
      <c r="G8" s="8">
        <f>SUM(G5:G7)</f>
        <v/>
      </c>
    </row>
    <row r="10">
      <c r="L10" s="2" t="inlineStr">
        <is>
          <t>All scenarios are 1.00 at 2040 BY CONSTRUCTION, so Driver C cannot perturb any year for which sourced data exists (validation V9). Anchors are read through PCHIP -- add or delete year columns freely.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6" customWidth="1" min="1" max="1"/>
    <col width="100" customWidth="1" min="2" max="2"/>
    <col width="10" customWidth="1" min="3" max="3"/>
    <col width="10" customWidth="1" min="4" max="4"/>
    <col width="46" customWidth="1" min="5" max="5"/>
  </cols>
  <sheetData>
    <row r="1">
      <c r="A1" s="1" t="inlineStr">
        <is>
          <t>READ BEFORE WIRING A NEW MODEL TO THIS FILE</t>
        </is>
      </c>
    </row>
    <row r="3">
      <c r="A3" s="3" t="inlineStr">
        <is>
          <t>SCENARIOS ARE NOT LOW / MEDIUM / HIGH</t>
        </is>
      </c>
    </row>
    <row r="4">
      <c r="A4" s="2" t="inlineStr">
        <is>
          <t>S1 says: sensors converge on a minimal set, and redundancy is achieved in COMPUTE rather than in hardware. So S1 is the LOW case for sensors and wiring but the HIGH case for PCB and compute area. Wiring S1 to 'low' everywhere would delete that substitution and understate PCB uncertainty.</t>
        </is>
      </c>
    </row>
    <row r="6">
      <c r="A6" s="6" t="inlineStr">
        <is>
          <t>Quantity</t>
        </is>
      </c>
      <c r="B6" s="6" t="inlineStr">
        <is>
          <t>S1</t>
        </is>
      </c>
      <c r="C6" s="6" t="inlineStr">
        <is>
          <t>S2</t>
        </is>
      </c>
      <c r="D6" s="6" t="inlineStr">
        <is>
          <t>S3</t>
        </is>
      </c>
      <c r="E6" s="6" t="inlineStr">
        <is>
          <t>Why</t>
        </is>
      </c>
    </row>
    <row r="7">
      <c r="A7" s="9" t="inlineStr">
        <is>
          <t>Sensor count</t>
        </is>
      </c>
      <c r="B7" s="9" t="inlineStr">
        <is>
          <t>lowest</t>
        </is>
      </c>
      <c r="C7" s="9" t="inlineStr">
        <is>
          <t>mid</t>
        </is>
      </c>
      <c r="D7" s="9" t="inlineStr">
        <is>
          <t>highest</t>
        </is>
      </c>
      <c r="E7" s="10" t="inlineStr">
        <is>
          <t>S1 converges on a minimal sensor set.</t>
        </is>
      </c>
    </row>
    <row r="8">
      <c r="A8" s="9" t="inlineStr">
        <is>
          <t>Wiring length</t>
        </is>
      </c>
      <c r="B8" s="9" t="inlineStr">
        <is>
          <t>lowest</t>
        </is>
      </c>
      <c r="C8" s="9" t="inlineStr">
        <is>
          <t>mid</t>
        </is>
      </c>
      <c r="D8" s="9" t="inlineStr">
        <is>
          <t>highest</t>
        </is>
      </c>
      <c r="E8" s="10" t="inlineStr">
        <is>
          <t>Follows sensor count, via metres-per-sensor.</t>
        </is>
      </c>
    </row>
    <row r="9">
      <c r="A9" s="9" t="inlineStr">
        <is>
          <t>PCB / compute area</t>
        </is>
      </c>
      <c r="B9" s="11" t="inlineStr">
        <is>
          <t>HIGHEST</t>
        </is>
      </c>
      <c r="C9" s="9" t="inlineStr">
        <is>
          <t>mid</t>
        </is>
      </c>
      <c r="D9" s="9" t="inlineStr">
        <is>
          <t>highest</t>
        </is>
      </c>
      <c r="E9" s="10" t="inlineStr">
        <is>
          <t>S1 moves redundancy INTO silicon -- fewer sensors, more compute. ANTI-CORRELATED with the two rows above.</t>
        </is>
      </c>
    </row>
    <row r="12">
      <c r="A12" s="5" t="inlineStr">
        <is>
          <t>Same trap, three times</t>
        </is>
      </c>
      <c r="B12" s="2" t="inlineStr">
        <is>
          <t>This is the same structural problem as CAN-vs-Ethernet in BevWiring_STATUS.md section 10, and as Presence_per_Tier row 9 in 19_, where 'ADAS camera ECU (basic)' falls 1.00 -&gt; 0.10 as the domain controller and central computer rise. Components that SUBSTITUTE for each other must be drawn jointly, never independently.</t>
        </is>
      </c>
    </row>
    <row r="14">
      <c r="A14" s="5" t="inlineStr">
        <is>
          <t>Why SAMPLE is the default</t>
        </is>
      </c>
      <c r="B14" s="2" t="inlineStr">
        <is>
          <t>Pinning to one scenario produces a narrower band than the evidence supports, because it silently discards the S1/S3 spread. Pinned runs are for UNDERSTANDING the scenarios; SAMPLE is what to quote.</t>
        </is>
      </c>
    </row>
    <row r="16">
      <c r="A16" s="5" t="inlineStr">
        <is>
          <t>Weakest input in the chain</t>
        </is>
      </c>
      <c r="B16" s="2" t="inlineStr">
        <is>
          <t>The multipliers 1.0 / 1.4 / 2.0 are the largest single lever on the 2070 answer and are NOT sourced. The two mechanisms behind them are observable; the specific values are judgment. See docs/ADAS_Sensor_Adoption_Report_2025_2070.md section 9.2.</t>
        </is>
      </c>
    </row>
    <row r="18">
      <c r="A18" s="5" t="inlineStr">
        <is>
          <t>History</t>
        </is>
      </c>
      <c r="B18" s="2" t="inlineStr">
        <is>
          <t>Created 2026-08-05, moved out of 19_ sheet Scenarios so that one selection drives every model. 19_ keeps tiers, lidar and presence.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10" customWidth="1" min="1" max="1"/>
    <col width="22" customWidth="1" min="2" max="2"/>
    <col width="9" customWidth="1" min="3" max="3"/>
    <col width="15" customWidth="1" min="4" max="4"/>
    <col width="16" customWidth="1" min="5" max="5"/>
    <col width="15" customWidth="1" min="6" max="6"/>
    <col width="9" customWidth="1" min="7" max="7"/>
    <col width="95" customWidth="1" min="8" max="8"/>
  </cols>
  <sheetData>
    <row r="1">
      <c r="A1" s="5" t="inlineStr">
        <is>
          <t>Driver F -- auxiliary motor content scenarios. Added 2026-08-12.</t>
        </is>
      </c>
    </row>
    <row r="2">
      <c r="A2" t="inlineStr"/>
    </row>
    <row r="3">
      <c r="A3" s="5" t="inlineStr">
        <is>
          <t>WHY SCENARIOS AND NOT A WIDER BAND. A triangular Min/Mode/Max says 'the truth is somewhere</t>
        </is>
      </c>
    </row>
    <row r="4">
      <c r="A4" t="inlineStr">
        <is>
          <t>in this range, most likely near the mode'. That is right for MEASUREMENT uncertainty. But</t>
        </is>
      </c>
    </row>
    <row r="5">
      <c r="A5" t="inlineStr">
        <is>
          <t>whether Chinese-style executive interiors become the European norm is a STRUCTURAL FORK:</t>
        </is>
      </c>
    </row>
    <row r="6">
      <c r="A6" t="inlineStr">
        <is>
          <t>either they do or they do not, and those are two different worlds, not two points on a</t>
        </is>
      </c>
    </row>
    <row r="7">
      <c r="A7" t="inlineStr">
        <is>
          <t>continuum. A single band with mode 1.35 for EF describes a world nobody expects -- the</t>
        </is>
      </c>
    </row>
    <row r="8">
      <c r="A8" t="inlineStr">
        <is>
          <t>average of 'Europe stays European' (~1.15) and 'Europe adopts Chinese content' (~1.50).</t>
        </is>
      </c>
    </row>
    <row r="9">
      <c r="A9" t="inlineStr"/>
    </row>
    <row r="10">
      <c r="A10" t="inlineStr">
        <is>
          <t>This is the same argument the project already makes for architecture states:</t>
        </is>
      </c>
    </row>
    <row r="11">
      <c r="A11" t="inlineStr">
        <is>
          <t xml:space="preserve">  'A vehicle is one design, never a blend. Share-weighting collapses a bimodal mixture</t>
        </is>
      </c>
    </row>
    <row r="12">
      <c r="A12" t="inlineStr">
        <is>
          <t xml:space="preserve">   into its mean and destroys the band.'  (PCB_MODEL_DESIGN.md 2.2d)</t>
        </is>
      </c>
    </row>
    <row r="13">
      <c r="A13" t="inlineStr"/>
    </row>
    <row r="14">
      <c r="A14" s="5" t="inlineStr">
        <is>
          <t>MECHANISM. One scenario drawn per vehicle by Weight and HELD ACROSS ALL YEARS, then the</t>
        </is>
      </c>
    </row>
    <row r="15">
      <c r="A15" t="inlineStr">
        <is>
          <t>headroom drawn inside that scenario. Output is bimodal, which is the truth, rather than a</t>
        </is>
      </c>
    </row>
    <row r="16">
      <c r="A16" t="inlineStr">
        <is>
          <t>smeared unimodal band. Set Control!B4 to a scenario Name to pin one, or SAMPLE to draw.</t>
        </is>
      </c>
    </row>
    <row r="17">
      <c r="A17" t="inlineStr"/>
    </row>
    <row r="18">
      <c r="A18" s="5" t="inlineStr">
        <is>
          <t>THE GRADIENT AB &gt; CD &gt; EF HOLDS INSIDE EVERY SCENARIO -- validation M4 tests the mechanism,</t>
        </is>
      </c>
    </row>
    <row r="19">
      <c r="A19" t="inlineStr">
        <is>
          <t>so it must not be satisfied only on average.</t>
        </is>
      </c>
    </row>
    <row r="20">
      <c r="A20" t="inlineStr"/>
    </row>
    <row r="21">
      <c r="A21" s="5" t="inlineStr">
        <is>
          <t>EVIDENCE: docs/AUX_MOTOR_ADOPTION_RESEARCH.md sections 7 and 8. The EF numbers rest on an</t>
        </is>
      </c>
    </row>
    <row r="22">
      <c r="A22" t="inlineStr">
        <is>
          <t>adjustment-AXIS build-up (one motor per 'way'), not on a fitment survey -- ASSUMPTION.</t>
        </is>
      </c>
    </row>
    <row r="23">
      <c r="A23" t="inlineStr"/>
    </row>
    <row r="24">
      <c r="A24" s="5" t="inlineStr">
        <is>
          <t>Scenario</t>
        </is>
      </c>
      <c r="B24" s="5" t="inlineStr">
        <is>
          <t>Name</t>
        </is>
      </c>
      <c r="C24" s="5" t="inlineStr">
        <is>
          <t>Segment</t>
        </is>
      </c>
      <c r="D24" s="5" t="inlineStr">
        <is>
          <t>Headroom_Min</t>
        </is>
      </c>
      <c r="E24" s="5" t="inlineStr">
        <is>
          <t>Headroom_Mode</t>
        </is>
      </c>
      <c r="F24" s="5" t="inlineStr">
        <is>
          <t>Headroom_Max</t>
        </is>
      </c>
      <c r="G24" s="5" t="inlineStr">
        <is>
          <t>Weight</t>
        </is>
      </c>
      <c r="H24" s="5" t="inlineStr">
        <is>
          <t>Mechanism</t>
        </is>
      </c>
    </row>
    <row r="25">
      <c r="A25" t="inlineStr">
        <is>
          <t>MS1</t>
        </is>
      </c>
      <c r="B25" t="inlineStr">
        <is>
          <t>European_Content</t>
        </is>
      </c>
      <c r="C25" t="inlineStr">
        <is>
          <t>AB</t>
        </is>
      </c>
      <c r="D25" t="n">
        <v>1.25</v>
      </c>
      <c r="E25" t="n">
        <v>1.4</v>
      </c>
      <c r="F25" t="n">
        <v>1.6</v>
      </c>
      <c r="G25" t="n">
        <v>0.4</v>
      </c>
      <c r="H25" t="inlineStr">
        <is>
          <t>EF feature set is complete; AB/CD keep closing the European gap. Liftgate 20-&gt;40%+ by 2030, e-latch 10.7% CAGR.</t>
        </is>
      </c>
    </row>
    <row r="26">
      <c r="A26" t="inlineStr">
        <is>
          <t>MS1</t>
        </is>
      </c>
      <c r="B26" t="inlineStr">
        <is>
          <t>European_Content</t>
        </is>
      </c>
      <c r="C26" t="inlineStr">
        <is>
          <t>CD</t>
        </is>
      </c>
      <c r="D26" t="n">
        <v>1.15</v>
      </c>
      <c r="E26" t="n">
        <v>1.28</v>
      </c>
      <c r="F26" t="n">
        <v>1.45</v>
      </c>
      <c r="G26" t="inlineStr"/>
      <c r="H26" t="inlineStr"/>
    </row>
    <row r="27">
      <c r="A27" t="inlineStr">
        <is>
          <t>MS1</t>
        </is>
      </c>
      <c r="B27" t="inlineStr">
        <is>
          <t>European_Content</t>
        </is>
      </c>
      <c r="C27" t="inlineStr">
        <is>
          <t>EF</t>
        </is>
      </c>
      <c r="D27" t="n">
        <v>1.05</v>
      </c>
      <c r="E27" t="n">
        <v>1.12</v>
      </c>
      <c r="F27" t="n">
        <v>1.22</v>
      </c>
      <c r="G27" t="inlineStr"/>
      <c r="H27" t="inlineStr">
        <is>
          <t>EF near-saturated on European content: power seats/windows universal, &gt;62% hands-free liftgate.</t>
        </is>
      </c>
    </row>
    <row r="28">
      <c r="A28" t="inlineStr">
        <is>
          <t>MS2</t>
        </is>
      </c>
      <c r="B28" t="inlineStr">
        <is>
          <t>Chinese_Convergence</t>
        </is>
      </c>
      <c r="C28" t="inlineStr">
        <is>
          <t>AB</t>
        </is>
      </c>
      <c r="D28" t="n">
        <v>1.35</v>
      </c>
      <c r="E28" t="n">
        <v>1.55</v>
      </c>
      <c r="F28" t="n">
        <v>1.85</v>
      </c>
      <c r="G28" t="n">
        <v>0.35</v>
      </c>
      <c r="H28" t="inlineStr">
        <is>
          <t>Chinese executive-interior adjustment axes become the European premium norm and cascade down.</t>
        </is>
      </c>
    </row>
    <row r="29">
      <c r="A29" t="inlineStr">
        <is>
          <t>MS2</t>
        </is>
      </c>
      <c r="B29" t="inlineStr">
        <is>
          <t>Chinese_Convergence</t>
        </is>
      </c>
      <c r="C29" t="inlineStr">
        <is>
          <t>CD</t>
        </is>
      </c>
      <c r="D29" t="n">
        <v>1.3</v>
      </c>
      <c r="E29" t="n">
        <v>1.48</v>
      </c>
      <c r="F29" t="n">
        <v>1.7</v>
      </c>
      <c r="G29" t="inlineStr"/>
      <c r="H29" t="inlineStr"/>
    </row>
    <row r="30">
      <c r="A30" t="inlineStr">
        <is>
          <t>MS2</t>
        </is>
      </c>
      <c r="B30" t="inlineStr">
        <is>
          <t>Chinese_Convergence</t>
        </is>
      </c>
      <c r="C30" t="inlineStr">
        <is>
          <t>EF</t>
        </is>
      </c>
      <c r="D30" t="n">
        <v>1.3</v>
      </c>
      <c r="E30" t="n">
        <v>1.45</v>
      </c>
      <c r="F30" t="n">
        <v>1.65</v>
      </c>
      <c r="G30" t="inlineStr"/>
      <c r="H30" t="inlineStr">
        <is>
          <t>2 front x 14-way + 2 rear x 10-way = 48 seat motors vs ~18.5 implied by 05_. Rear legrest/footrest/thigh/lumbar. Same China-leads-Europe-follows mechanism as lidar.</t>
        </is>
      </c>
    </row>
    <row r="31">
      <c r="A31" t="inlineStr">
        <is>
          <t>MS3</t>
        </is>
      </c>
      <c r="B31" t="inlineStr">
        <is>
          <t>Cost_Constrained</t>
        </is>
      </c>
      <c r="C31" t="inlineStr">
        <is>
          <t>AB</t>
        </is>
      </c>
      <c r="D31" t="n">
        <v>1.1</v>
      </c>
      <c r="E31" t="n">
        <v>1.2</v>
      </c>
      <c r="F31" t="n">
        <v>1.35</v>
      </c>
      <c r="G31" t="n">
        <v>0.25</v>
      </c>
      <c r="H31" t="inlineStr">
        <is>
          <t>Content growth checked by affordability; smart motors carry a 25-40% price premium.</t>
        </is>
      </c>
    </row>
    <row r="32">
      <c r="A32" t="inlineStr">
        <is>
          <t>MS3</t>
        </is>
      </c>
      <c r="B32" t="inlineStr">
        <is>
          <t>Cost_Constrained</t>
        </is>
      </c>
      <c r="C32" t="inlineStr">
        <is>
          <t>CD</t>
        </is>
      </c>
      <c r="D32" t="n">
        <v>1.05</v>
      </c>
      <c r="E32" t="n">
        <v>1.15</v>
      </c>
      <c r="F32" t="n">
        <v>1.28</v>
      </c>
      <c r="G32" t="inlineStr"/>
      <c r="H32" t="inlineStr"/>
    </row>
    <row r="33">
      <c r="A33" t="inlineStr">
        <is>
          <t>MS3</t>
        </is>
      </c>
      <c r="B33" t="inlineStr">
        <is>
          <t>Cost_Constrained</t>
        </is>
      </c>
      <c r="C33" t="inlineStr">
        <is>
          <t>EF</t>
        </is>
      </c>
      <c r="D33" t="n">
        <v>1.02</v>
      </c>
      <c r="E33" t="n">
        <v>1.08</v>
      </c>
      <c r="F33" t="n">
        <v>1.18</v>
      </c>
      <c r="G33" t="inlineStr"/>
      <c r="H33" t="inlineStr">
        <is>
          <t>Integration (one multi-function actuator replacing two) offsets feature growth.</t>
        </is>
      </c>
    </row>
    <row r="35">
      <c r="A35" s="5" t="inlineStr">
        <is>
          <t>Weights sum (must be 1.000)</t>
        </is>
      </c>
      <c r="G35">
        <f>SUM(G25,G28,G31)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2026-08-06T12:37:14Z</dcterms:created>
  <dcterms:modified xsi:type="dcterms:W3CDTF">2026-08-12T07:14:47Z</dcterms:modified>
</cp:coreProperties>
</file>