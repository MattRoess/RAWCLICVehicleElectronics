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m/Documents/GitHub/RAWCLICVehicleElectronics/Data/"/>
    </mc:Choice>
  </mc:AlternateContent>
  <xr:revisionPtr revIDLastSave="0" documentId="8_{8BBEE4D9-F864-3C49-A730-8E8BBFBEC305}" xr6:coauthVersionLast="47" xr6:coauthVersionMax="47" xr10:uidLastSave="{00000000-0000-0000-0000-000000000000}"/>
  <bookViews>
    <workbookView xWindow="0" yWindow="600" windowWidth="102400" windowHeight="41680" activeTab="4" xr2:uid="{00000000-000D-0000-FFFF-FFFF00000000}"/>
  </bookViews>
  <sheets>
    <sheet name="Baseline_2025" sheetId="1" r:id="rId1"/>
    <sheet name="Checks" sheetId="2" r:id="rId2"/>
    <sheet name="Mapping" sheetId="3" r:id="rId3"/>
    <sheet name="Notes" sheetId="4" r:id="rId4"/>
    <sheet name="SDV_Depth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I7" i="2" s="1"/>
  <c r="E7" i="2"/>
  <c r="F6" i="2"/>
  <c r="I6" i="2" s="1"/>
  <c r="F5" i="2"/>
  <c r="I5" i="2" s="1"/>
  <c r="O35" i="1"/>
  <c r="N35" i="1"/>
  <c r="E6" i="2" s="1"/>
  <c r="M35" i="1"/>
  <c r="E5" i="2" s="1"/>
  <c r="L35" i="1"/>
  <c r="B7" i="2" s="1"/>
  <c r="K35" i="1"/>
  <c r="B6" i="2" s="1"/>
  <c r="J35" i="1"/>
  <c r="B5" i="2" s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G5" i="2" l="1"/>
  <c r="D5" i="2"/>
  <c r="D6" i="2"/>
  <c r="G6" i="2"/>
  <c r="G7" i="2"/>
  <c r="D7" i="2"/>
</calcChain>
</file>

<file path=xl/sharedStrings.xml><?xml version="1.0" encoding="utf-8"?>
<sst xmlns="http://schemas.openxmlformats.org/spreadsheetml/2006/main" count="315" uniqueCount="203">
  <si>
    <t>BEV wiring 2025 baseline, rebuilt from bev_wiring_harness_report.pdf</t>
  </si>
  <si>
    <t>Length per category = report Table 9.1 (sums exactly to the report totals for AB and CD). Cu-per-metre = gauge (report Appendix A) x copper density. The report's OWN per-category kg column is reproduced in grey for reference ONLY - it is 13-28% short of its own totals. Do not use it.</t>
  </si>
  <si>
    <t>Cu density (g/cm3)</t>
  </si>
  <si>
    <t>Editable. 1 mm2 x 1 m = 1 cm3, so Cu(g/m) = gauge(mm2) x density.</t>
  </si>
  <si>
    <t>Code</t>
  </si>
  <si>
    <t>Full Name</t>
  </si>
  <si>
    <t>Functional Group</t>
  </si>
  <si>
    <t>Voltage Class</t>
  </si>
  <si>
    <t>Gauge_Min_mm2</t>
  </si>
  <si>
    <t>Gauge_Max_mm2</t>
  </si>
  <si>
    <t>Cu_per_m_Min_g</t>
  </si>
  <si>
    <t>Cu_per_m_Mode_g</t>
  </si>
  <si>
    <t>Cu_per_m_Max_g</t>
  </si>
  <si>
    <t>AB_Length_m</t>
  </si>
  <si>
    <t>CD_Length_m</t>
  </si>
  <si>
    <t>EF_Length_m</t>
  </si>
  <si>
    <t>report_kg_AB</t>
  </si>
  <si>
    <t>report_kg_CD</t>
  </si>
  <si>
    <t>report_kg_EF</t>
  </si>
  <si>
    <t>SDV_Base_Length_Factor</t>
  </si>
  <si>
    <t>SDV factor source</t>
  </si>
  <si>
    <t>HV_MAIN</t>
  </si>
  <si>
    <t>HV Main Battery Cable</t>
  </si>
  <si>
    <t>HV Power</t>
  </si>
  <si>
    <t>400/800V DC</t>
  </si>
  <si>
    <t>HV architecture-independent (report 6.2 / workbook methodology)</t>
  </si>
  <si>
    <t>HV_MOTOR</t>
  </si>
  <si>
    <t>Motor Inverter Cable</t>
  </si>
  <si>
    <t>HV architecture-independent</t>
  </si>
  <si>
    <t>HV_CHARGE</t>
  </si>
  <si>
    <t>DC Fast Charge Cable</t>
  </si>
  <si>
    <t>HV_HVAC</t>
  </si>
  <si>
    <t>HV HVAC Cable</t>
  </si>
  <si>
    <t>LV_MAIN</t>
  </si>
  <si>
    <t>Main 12V Battery Feed</t>
  </si>
  <si>
    <t>LV Power</t>
  </si>
  <si>
    <t>12V DC</t>
  </si>
  <si>
    <t>INFERRED - main feeds largely retained</t>
  </si>
  <si>
    <t>LV_DIST</t>
  </si>
  <si>
    <t>Primary Power Distribution</t>
  </si>
  <si>
    <t>REPORT 8.4: LV_DIST branch reduction 25% (6.2 range 20-30%)</t>
  </si>
  <si>
    <t>LV_GND</t>
  </si>
  <si>
    <t>Ground Return Straps</t>
  </si>
  <si>
    <t>0V reference</t>
  </si>
  <si>
    <t>INFERRED - ground returns largely retained</t>
  </si>
  <si>
    <t>LV_BODY</t>
  </si>
  <si>
    <t>Body Control Circuits</t>
  </si>
  <si>
    <t>REPORT 8.4: LV_BODY branch reduction 40% (6.2 range 35-45%)</t>
  </si>
  <si>
    <t>LV_LIGHT</t>
  </si>
  <si>
    <t>Lighting Circuits</t>
  </si>
  <si>
    <t>INFERRED - partial zonal routing benefit</t>
  </si>
  <si>
    <t>LV_FUSE</t>
  </si>
  <si>
    <t>Fuse Box Interconnects</t>
  </si>
  <si>
    <t>INFERRED - report 6.2 'eliminates many LV_FUSE branch runs', no number given</t>
  </si>
  <si>
    <t>LV_DOOR</t>
  </si>
  <si>
    <t>Door Module Harness</t>
  </si>
  <si>
    <t>INFERRED</t>
  </si>
  <si>
    <t>LV_MISC</t>
  </si>
  <si>
    <t>Miscellaneous LV Circuits</t>
  </si>
  <si>
    <t>CAN_BUS</t>
  </si>
  <si>
    <t>CAN / CAN-FD Bus</t>
  </si>
  <si>
    <t>Signal / Comm</t>
  </si>
  <si>
    <t>Signal</t>
  </si>
  <si>
    <t>REPORT 8.4: CAN_BUS reduction 55%</t>
  </si>
  <si>
    <t>LIN_BUS</t>
  </si>
  <si>
    <t>LIN Bus</t>
  </si>
  <si>
    <t>INFERRED from report 6.2 signal wire net effect 40-50%</t>
  </si>
  <si>
    <t>ETH_BUS</t>
  </si>
  <si>
    <t>Automotive Ethernet</t>
  </si>
  <si>
    <t>REPORT: Ethernet backbone replaces CAN mesh; GROWS. 100% zone-to-zone penetration</t>
  </si>
  <si>
    <t>MOST_FO</t>
  </si>
  <si>
    <t>MOST Fiber Optic</t>
  </si>
  <si>
    <t>Optical</t>
  </si>
  <si>
    <t>Obsolete technology, eliminated</t>
  </si>
  <si>
    <t>USB_DATA</t>
  </si>
  <si>
    <t>USB Data Cable</t>
  </si>
  <si>
    <t>LVDS_CAM</t>
  </si>
  <si>
    <t>LVDS Camera Cable</t>
  </si>
  <si>
    <t>COAX_RF</t>
  </si>
  <si>
    <t>RF / Antenna Coax</t>
  </si>
  <si>
    <t>RF Signal</t>
  </si>
  <si>
    <t>INFERRED - antenna runs unaffected</t>
  </si>
  <si>
    <t>SIG_MISC</t>
  </si>
  <si>
    <t>Misc Analog Signal</t>
  </si>
  <si>
    <t>ADAS_PWR</t>
  </si>
  <si>
    <t>ADAS Power Supply</t>
  </si>
  <si>
    <t>ADAS / Sensor</t>
  </si>
  <si>
    <t>GROWS - report 4.3 ADAS fastest-growing category</t>
  </si>
  <si>
    <t>ADAS_CAM</t>
  </si>
  <si>
    <t>ADAS Camera Data</t>
  </si>
  <si>
    <t>GROWS - report 4.3</t>
  </si>
  <si>
    <t>ADAS_RADAR</t>
  </si>
  <si>
    <t>Radar / Lidar Data</t>
  </si>
  <si>
    <t>ADAS_USS</t>
  </si>
  <si>
    <t>Ultrasonic Sensor</t>
  </si>
  <si>
    <t>GROWS, more modestly</t>
  </si>
  <si>
    <t>BMS_CELL</t>
  </si>
  <si>
    <t>BMS Cell Monitoring</t>
  </si>
  <si>
    <t>Specialized</t>
  </si>
  <si>
    <t>mV signal</t>
  </si>
  <si>
    <t>Wireless BMS reduces sense wires</t>
  </si>
  <si>
    <t>THERM_SEN</t>
  </si>
  <si>
    <t>Thermal Management Sensors</t>
  </si>
  <si>
    <t>CHG_PILOT</t>
  </si>
  <si>
    <t>Charging Pilot / Control Pilot</t>
  </si>
  <si>
    <t>INFERRED - unaffected</t>
  </si>
  <si>
    <t>SAFETY</t>
  </si>
  <si>
    <t>Safety / Airbag Circuits</t>
  </si>
  <si>
    <t>12V DC / Signal</t>
  </si>
  <si>
    <t>Safety circuits retained (report 8.5)</t>
  </si>
  <si>
    <t>TOTAL</t>
  </si>
  <si>
    <t>Consistency checks against the report's own stated totals</t>
  </si>
  <si>
    <t>Route A = report's per-category kg column, summed.   Route B = length x mode gauge x density (LENGTH-FIRST).   Route C = total length x report Table 1.1 copper density.</t>
  </si>
  <si>
    <t>Segment</t>
  </si>
  <si>
    <t>Sum length (m)</t>
  </si>
  <si>
    <t>Report total (m)</t>
  </si>
  <si>
    <t>Length diff</t>
  </si>
  <si>
    <t>Route A kg</t>
  </si>
  <si>
    <t>Route B kg</t>
  </si>
  <si>
    <t>Route C kg</t>
  </si>
  <si>
    <t>Report total kg</t>
  </si>
  <si>
    <t>B vs report</t>
  </si>
  <si>
    <t>AB</t>
  </si>
  <si>
    <t>CD</t>
  </si>
  <si>
    <t>EF</t>
  </si>
  <si>
    <t>READ THIS</t>
  </si>
  <si>
    <t>Route A (the report's own per-category kg column) is 13-28% SHORT of the report's own stated totals. It is not usable.</t>
  </si>
  <si>
    <t>Route B (length-first, gauge-based) lands within about 1-7% of the stated totals.</t>
  </si>
  <si>
    <t>Route C reproduces the totals by construction - it is the same arithmetic the report used to make them.</t>
  </si>
  <si>
    <t>EF length sums to 3,646 m against a stated 3,546 m. A 100 m discrepancy sits somewhere in the EF column (unresolved).</t>
  </si>
  <si>
    <t>Report category codes vs 15_ workbook wire types - NOT 1:1</t>
  </si>
  <si>
    <t>Both taxonomies have 28 entries, but they do not correspond. Adopting the report changes output category naming.</t>
  </si>
  <si>
    <t>Report code</t>
  </si>
  <si>
    <t>Workbook wire type(s)</t>
  </si>
  <si>
    <t>Relation</t>
  </si>
  <si>
    <t>HV_Battery_Main</t>
  </si>
  <si>
    <t>1:1</t>
  </si>
  <si>
    <t>HV_Inverter_Motor_Front + _Rear + HV_Battery_to_Rear_Inv</t>
  </si>
  <si>
    <t>1:3</t>
  </si>
  <si>
    <t>HV_Charger_AC + HV_Charger_DC</t>
  </si>
  <si>
    <t>1:2</t>
  </si>
  <si>
    <t>HV_HVAC_Compressor + HV_PTC_Heater</t>
  </si>
  <si>
    <t>LV_Main_Feed</t>
  </si>
  <si>
    <t>LV_Power_Distribution</t>
  </si>
  <si>
    <t>LV_Ground_Network</t>
  </si>
  <si>
    <t>LV_Power_Light_Duty (shared)</t>
  </si>
  <si>
    <t>5:1 with LIGHT/FUSE/DOOR/MISC</t>
  </si>
  <si>
    <t>5:1</t>
  </si>
  <si>
    <t>Signal_CAN_HS + Signal_CAN_LS</t>
  </si>
  <si>
    <t>Signal_LIN</t>
  </si>
  <si>
    <t>Signal_Ethernet_100M + Signal_Ethernet_1G</t>
  </si>
  <si>
    <t>(none)</t>
  </si>
  <si>
    <t>report only</t>
  </si>
  <si>
    <t>Coax_Camera_ADAS (shared)</t>
  </si>
  <si>
    <t>2:1 with ADAS_CAM</t>
  </si>
  <si>
    <t>Coax_Antenna_RF</t>
  </si>
  <si>
    <t>2:1</t>
  </si>
  <si>
    <t>Coax_Radar</t>
  </si>
  <si>
    <t>Sensor_Digital (partial)</t>
  </si>
  <si>
    <t>partial</t>
  </si>
  <si>
    <t>Sensor_BMS_Internal</t>
  </si>
  <si>
    <t>Sensor_Analog (partial)</t>
  </si>
  <si>
    <t>Airbag_Squib</t>
  </si>
  <si>
    <t>--</t>
  </si>
  <si>
    <t>HV_DCDC / HV_Interlock / Signal_FlexRay / Sensor_TPMS_Receiver</t>
  </si>
  <si>
    <t>workbook only, no report equivalent</t>
  </si>
  <si>
    <t>Sources and open questions</t>
  </si>
  <si>
    <t>Source</t>
  </si>
  <si>
    <t>bev_wiring_harness_report.pdf, VehicleComposition/Reasearch/BEV_Wiring/</t>
  </si>
  <si>
    <t>Length</t>
  </si>
  <si>
    <t>Table 9.1 Master Wire Category Reference (2025 baseline), per category per segment.</t>
  </si>
  <si>
    <t>Gauge</t>
  </si>
  <si>
    <t>Appendix A Table A.1 Complete Wire Category Code Reference, 'Typical Gauge (mm2)'.</t>
  </si>
  <si>
    <t>Cu density</t>
  </si>
  <si>
    <t>Table 1.1 gives fleet averages 24.4 / 24.3 / 21.0 g/m for AB / CD / EF. Used only in the Checks sheet.</t>
  </si>
  <si>
    <t>Identity</t>
  </si>
  <si>
    <t>1 mm2 cross-section x 1 m length = 1 cm3, so Cu (g/m) = gauge (mm2) x density (g/cm3). No fill factor applied.</t>
  </si>
  <si>
    <t>NOT USED</t>
  </si>
  <si>
    <t>The report's per-category kg column (grey on Baseline_2025). It sums 13-28% short of the report's own totals.</t>
  </si>
  <si>
    <t>Kept visible only so the discrepancy stays auditable.</t>
  </si>
  <si>
    <t>Supersedes</t>
  </si>
  <si>
    <t>15_BEV_wiring_harness_data.xlsx 2020 and 2030 columns are not used at all. This file is a 2025 baseline only;</t>
  </si>
  <si>
    <t>time evolution comes from rates plus 16_BEV_wiring_transition_parameters.xlsx.</t>
  </si>
  <si>
    <t>OPEN 1</t>
  </si>
  <si>
    <t>EF length column sums to 3,646 m vs stated 3,546 m. 100 m unaccounted. Options: scale EF by 0.9726 to match</t>
  </si>
  <si>
    <t>the stated total, or find the offending row. Currently NOT adjusted - the raw report figures are stored.</t>
  </si>
  <si>
    <t>OPEN 2</t>
  </si>
  <si>
    <t>Report and workbook taxonomies are not 1:1 (see Mapping). Adopting report codes changes output naming.</t>
  </si>
  <si>
    <t>OPEN 3</t>
  </si>
  <si>
    <t>HV_CHARGE gauge is given as '35-50 (DC) / 6-16 (AC)'. The AC range 6-16 is stored, since AB/CD lengths imply</t>
  </si>
  <si>
    <t>mostly AC charging. EF report kg (4.5) implies DC-dominant - may need splitting into two categories.</t>
  </si>
  <si>
    <t>SDV reduction depth per segment - the single biggest lever in the model</t>
  </si>
  <si>
    <t>The report contradicts itself. Its per-category mechanisms (6.2 / 8.4) imply only -12/-11/-8% total length at full SDV; its stated segment totals (6.3 / 7.1) claim -44/-40/-23%. Depth spans the two readings:</t>
  </si>
  <si>
    <t>depth = 1.0  -&gt; mechanism-consistent (honours LV_BODY -40%, CAN -55% etc. exactly as section 6.2 states)</t>
  </si>
  <si>
    <t>depth = max  -&gt; total-consistent (reproduces 780 / 1492 / 2730 m, but forces CAN and LIN to zero)</t>
  </si>
  <si>
    <t>Applied only to shrinking categories (factor &lt; 1):  factor(depth) = MAX(0, 1-(1-base)*depth). Growth categories are unaffected.</t>
  </si>
  <si>
    <t>Depth_Min</t>
  </si>
  <si>
    <t>Depth_Mode</t>
  </si>
  <si>
    <t>Depth_Max</t>
  </si>
  <si>
    <t>Full-SDV length at Min (m)</t>
  </si>
  <si>
    <t>at Mode</t>
  </si>
  <si>
    <t>at Max</t>
  </si>
  <si>
    <t>Columns E-H are indicative values computed at the time of writing, for orientation only. The model recomputes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</si>
</sst>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546A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6" fillId="0" borderId="1" xfId="0" applyFont="1" applyBorder="1"/>
    <xf numFmtId="2" fontId="6" fillId="0" borderId="1" xfId="0" applyNumberFormat="1" applyFont="1" applyBorder="1"/>
    <xf numFmtId="1" fontId="4" fillId="2" borderId="1" xfId="0" applyNumberFormat="1" applyFont="1" applyFill="1" applyBorder="1"/>
    <xf numFmtId="164" fontId="7" fillId="4" borderId="1" xfId="0" applyNumberFormat="1" applyFont="1" applyFill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0" fontId="5" fillId="3" borderId="1" xfId="0" applyFont="1" applyFill="1" applyBorder="1"/>
    <xf numFmtId="0" fontId="6" fillId="0" borderId="0" xfId="0" applyFont="1"/>
    <xf numFmtId="2" fontId="4" fillId="2" borderId="1" xfId="0" applyNumberFormat="1" applyFont="1" applyFill="1" applyBorder="1"/>
    <xf numFmtId="1" fontId="7" fillId="0" borderId="1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4" width="15" customWidth="1"/>
    <col min="5" max="7" width="11" customWidth="1"/>
    <col min="8" max="8" width="12" customWidth="1"/>
    <col min="9" max="12" width="11" customWidth="1"/>
    <col min="13" max="15" width="10" customWidth="1"/>
    <col min="16" max="16" width="14" customWidth="1"/>
    <col min="17" max="17" width="70" customWidth="1"/>
  </cols>
  <sheetData>
    <row r="1" spans="1:17" ht="16" x14ac:dyDescent="0.2">
      <c r="A1" s="1" t="s">
        <v>0</v>
      </c>
    </row>
    <row r="2" spans="1:17" x14ac:dyDescent="0.2">
      <c r="A2" s="2" t="s">
        <v>1</v>
      </c>
    </row>
    <row r="4" spans="1:17" x14ac:dyDescent="0.2">
      <c r="A4" s="3" t="s">
        <v>2</v>
      </c>
      <c r="B4" s="4">
        <v>8.9600000000000009</v>
      </c>
      <c r="C4" s="2" t="s">
        <v>3</v>
      </c>
    </row>
    <row r="6" spans="1:17" ht="29" x14ac:dyDescent="0.2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</row>
    <row r="7" spans="1:17" x14ac:dyDescent="0.2">
      <c r="A7" s="6" t="s">
        <v>21</v>
      </c>
      <c r="B7" s="6" t="s">
        <v>22</v>
      </c>
      <c r="C7" s="6" t="s">
        <v>23</v>
      </c>
      <c r="D7" s="6" t="s">
        <v>24</v>
      </c>
      <c r="E7" s="4">
        <v>70</v>
      </c>
      <c r="F7" s="4">
        <v>95</v>
      </c>
      <c r="G7" s="7">
        <f t="shared" ref="G7:G34" si="0">E7*$B$4</f>
        <v>627.20000000000005</v>
      </c>
      <c r="H7" s="7">
        <f t="shared" ref="H7:H34" si="1">(E7+F7)/2*$B$4</f>
        <v>739.2</v>
      </c>
      <c r="I7" s="7">
        <f t="shared" ref="I7:I34" si="2">F7*$B$4</f>
        <v>851.2</v>
      </c>
      <c r="J7" s="8">
        <v>8</v>
      </c>
      <c r="K7" s="8">
        <v>10</v>
      </c>
      <c r="L7" s="8">
        <v>12</v>
      </c>
      <c r="M7" s="9">
        <v>4.8</v>
      </c>
      <c r="N7" s="9">
        <v>6</v>
      </c>
      <c r="O7" s="9">
        <v>7.2</v>
      </c>
      <c r="P7" s="17">
        <v>1</v>
      </c>
      <c r="Q7" s="6" t="s">
        <v>25</v>
      </c>
    </row>
    <row r="8" spans="1:17" x14ac:dyDescent="0.2">
      <c r="A8" s="6" t="s">
        <v>26</v>
      </c>
      <c r="B8" s="6" t="s">
        <v>27</v>
      </c>
      <c r="C8" s="6" t="s">
        <v>23</v>
      </c>
      <c r="D8" s="6" t="s">
        <v>24</v>
      </c>
      <c r="E8" s="4">
        <v>35</v>
      </c>
      <c r="F8" s="4">
        <v>50</v>
      </c>
      <c r="G8" s="7">
        <f t="shared" si="0"/>
        <v>313.60000000000002</v>
      </c>
      <c r="H8" s="7">
        <f t="shared" si="1"/>
        <v>380.8</v>
      </c>
      <c r="I8" s="7">
        <f t="shared" si="2"/>
        <v>448.00000000000006</v>
      </c>
      <c r="J8" s="8">
        <v>6</v>
      </c>
      <c r="K8" s="8">
        <v>9</v>
      </c>
      <c r="L8" s="8">
        <v>15</v>
      </c>
      <c r="M8" s="9">
        <v>1.7</v>
      </c>
      <c r="N8" s="9">
        <v>2.5</v>
      </c>
      <c r="O8" s="9">
        <v>4.2</v>
      </c>
      <c r="P8" s="17">
        <v>1</v>
      </c>
      <c r="Q8" s="6" t="s">
        <v>28</v>
      </c>
    </row>
    <row r="9" spans="1:17" x14ac:dyDescent="0.2">
      <c r="A9" s="6" t="s">
        <v>29</v>
      </c>
      <c r="B9" s="6" t="s">
        <v>30</v>
      </c>
      <c r="C9" s="6" t="s">
        <v>23</v>
      </c>
      <c r="D9" s="6" t="s">
        <v>24</v>
      </c>
      <c r="E9" s="4">
        <v>6</v>
      </c>
      <c r="F9" s="4">
        <v>16</v>
      </c>
      <c r="G9" s="7">
        <f t="shared" si="0"/>
        <v>53.760000000000005</v>
      </c>
      <c r="H9" s="7">
        <f t="shared" si="1"/>
        <v>98.56</v>
      </c>
      <c r="I9" s="7">
        <f t="shared" si="2"/>
        <v>143.36000000000001</v>
      </c>
      <c r="J9" s="8">
        <v>18</v>
      </c>
      <c r="K9" s="8">
        <v>28</v>
      </c>
      <c r="L9" s="8">
        <v>38</v>
      </c>
      <c r="M9" s="9">
        <v>0.4</v>
      </c>
      <c r="N9" s="9">
        <v>0.6</v>
      </c>
      <c r="O9" s="9">
        <v>4.5</v>
      </c>
      <c r="P9" s="17">
        <v>1</v>
      </c>
      <c r="Q9" s="6" t="s">
        <v>28</v>
      </c>
    </row>
    <row r="10" spans="1:17" x14ac:dyDescent="0.2">
      <c r="A10" s="6" t="s">
        <v>31</v>
      </c>
      <c r="B10" s="6" t="s">
        <v>32</v>
      </c>
      <c r="C10" s="6" t="s">
        <v>23</v>
      </c>
      <c r="D10" s="6" t="s">
        <v>24</v>
      </c>
      <c r="E10" s="4">
        <v>10</v>
      </c>
      <c r="F10" s="4">
        <v>16</v>
      </c>
      <c r="G10" s="7">
        <f t="shared" si="0"/>
        <v>89.600000000000009</v>
      </c>
      <c r="H10" s="7">
        <f t="shared" si="1"/>
        <v>116.48000000000002</v>
      </c>
      <c r="I10" s="7">
        <f t="shared" si="2"/>
        <v>143.36000000000001</v>
      </c>
      <c r="J10" s="8">
        <v>10</v>
      </c>
      <c r="K10" s="8">
        <v>21</v>
      </c>
      <c r="L10" s="8">
        <v>24</v>
      </c>
      <c r="M10" s="9">
        <v>0.3</v>
      </c>
      <c r="N10" s="9">
        <v>0.7</v>
      </c>
      <c r="O10" s="9">
        <v>1.3</v>
      </c>
      <c r="P10" s="17">
        <v>1</v>
      </c>
      <c r="Q10" s="6" t="s">
        <v>28</v>
      </c>
    </row>
    <row r="11" spans="1:17" x14ac:dyDescent="0.2">
      <c r="A11" s="6" t="s">
        <v>33</v>
      </c>
      <c r="B11" s="6" t="s">
        <v>34</v>
      </c>
      <c r="C11" s="6" t="s">
        <v>35</v>
      </c>
      <c r="D11" s="6" t="s">
        <v>36</v>
      </c>
      <c r="E11" s="4">
        <v>10</v>
      </c>
      <c r="F11" s="4">
        <v>16</v>
      </c>
      <c r="G11" s="7">
        <f t="shared" si="0"/>
        <v>89.600000000000009</v>
      </c>
      <c r="H11" s="7">
        <f t="shared" si="1"/>
        <v>116.48000000000002</v>
      </c>
      <c r="I11" s="7">
        <f t="shared" si="2"/>
        <v>143.36000000000001</v>
      </c>
      <c r="J11" s="8">
        <v>5</v>
      </c>
      <c r="K11" s="8">
        <v>6</v>
      </c>
      <c r="L11" s="8">
        <v>8</v>
      </c>
      <c r="M11" s="9">
        <v>0.5</v>
      </c>
      <c r="N11" s="9">
        <v>0.7</v>
      </c>
      <c r="O11" s="9">
        <v>1</v>
      </c>
      <c r="P11" s="17">
        <v>0.85</v>
      </c>
      <c r="Q11" s="6" t="s">
        <v>37</v>
      </c>
    </row>
    <row r="12" spans="1:17" x14ac:dyDescent="0.2">
      <c r="A12" s="6" t="s">
        <v>38</v>
      </c>
      <c r="B12" s="6" t="s">
        <v>39</v>
      </c>
      <c r="C12" s="6" t="s">
        <v>35</v>
      </c>
      <c r="D12" s="6" t="s">
        <v>36</v>
      </c>
      <c r="E12" s="4">
        <v>2.5</v>
      </c>
      <c r="F12" s="4">
        <v>6</v>
      </c>
      <c r="G12" s="7">
        <f t="shared" si="0"/>
        <v>22.400000000000002</v>
      </c>
      <c r="H12" s="7">
        <f t="shared" si="1"/>
        <v>38.080000000000005</v>
      </c>
      <c r="I12" s="7">
        <f t="shared" si="2"/>
        <v>53.760000000000005</v>
      </c>
      <c r="J12" s="8">
        <v>152</v>
      </c>
      <c r="K12" s="8">
        <v>270</v>
      </c>
      <c r="L12" s="8">
        <v>385</v>
      </c>
      <c r="M12" s="9">
        <v>5.5</v>
      </c>
      <c r="N12" s="9">
        <v>9.6999999999999993</v>
      </c>
      <c r="O12" s="9">
        <v>13.9</v>
      </c>
      <c r="P12" s="17">
        <v>0.75</v>
      </c>
      <c r="Q12" s="6" t="s">
        <v>40</v>
      </c>
    </row>
    <row r="13" spans="1:17" x14ac:dyDescent="0.2">
      <c r="A13" s="6" t="s">
        <v>41</v>
      </c>
      <c r="B13" s="6" t="s">
        <v>42</v>
      </c>
      <c r="C13" s="6" t="s">
        <v>35</v>
      </c>
      <c r="D13" s="6" t="s">
        <v>43</v>
      </c>
      <c r="E13" s="4">
        <v>6</v>
      </c>
      <c r="F13" s="4">
        <v>16</v>
      </c>
      <c r="G13" s="7">
        <f t="shared" si="0"/>
        <v>53.760000000000005</v>
      </c>
      <c r="H13" s="7">
        <f t="shared" si="1"/>
        <v>98.56</v>
      </c>
      <c r="I13" s="7">
        <f t="shared" si="2"/>
        <v>143.36000000000001</v>
      </c>
      <c r="J13" s="8">
        <v>72</v>
      </c>
      <c r="K13" s="8">
        <v>128</v>
      </c>
      <c r="L13" s="8">
        <v>185</v>
      </c>
      <c r="M13" s="9">
        <v>4.8</v>
      </c>
      <c r="N13" s="9">
        <v>8.5</v>
      </c>
      <c r="O13" s="9">
        <v>12.3</v>
      </c>
      <c r="P13" s="17">
        <v>0.85</v>
      </c>
      <c r="Q13" s="6" t="s">
        <v>44</v>
      </c>
    </row>
    <row r="14" spans="1:17" x14ac:dyDescent="0.2">
      <c r="A14" s="6" t="s">
        <v>45</v>
      </c>
      <c r="B14" s="6" t="s">
        <v>46</v>
      </c>
      <c r="C14" s="6" t="s">
        <v>35</v>
      </c>
      <c r="D14" s="6" t="s">
        <v>36</v>
      </c>
      <c r="E14" s="4">
        <v>0.5</v>
      </c>
      <c r="F14" s="4">
        <v>1.5</v>
      </c>
      <c r="G14" s="7">
        <f t="shared" si="0"/>
        <v>4.4800000000000004</v>
      </c>
      <c r="H14" s="7">
        <f t="shared" si="1"/>
        <v>8.9600000000000009</v>
      </c>
      <c r="I14" s="7">
        <f t="shared" si="2"/>
        <v>13.440000000000001</v>
      </c>
      <c r="J14" s="8">
        <v>165</v>
      </c>
      <c r="K14" s="8">
        <v>296</v>
      </c>
      <c r="L14" s="8">
        <v>420</v>
      </c>
      <c r="M14" s="9">
        <v>1.5</v>
      </c>
      <c r="N14" s="9">
        <v>2.7</v>
      </c>
      <c r="O14" s="9">
        <v>3.8</v>
      </c>
      <c r="P14" s="17">
        <v>0.6</v>
      </c>
      <c r="Q14" s="6" t="s">
        <v>47</v>
      </c>
    </row>
    <row r="15" spans="1:17" x14ac:dyDescent="0.2">
      <c r="A15" s="6" t="s">
        <v>48</v>
      </c>
      <c r="B15" s="6" t="s">
        <v>49</v>
      </c>
      <c r="C15" s="6" t="s">
        <v>35</v>
      </c>
      <c r="D15" s="6" t="s">
        <v>36</v>
      </c>
      <c r="E15" s="4">
        <v>0.75</v>
      </c>
      <c r="F15" s="4">
        <v>1.5</v>
      </c>
      <c r="G15" s="7">
        <f t="shared" si="0"/>
        <v>6.7200000000000006</v>
      </c>
      <c r="H15" s="7">
        <f t="shared" si="1"/>
        <v>10.080000000000002</v>
      </c>
      <c r="I15" s="7">
        <f t="shared" si="2"/>
        <v>13.440000000000001</v>
      </c>
      <c r="J15" s="8">
        <v>118</v>
      </c>
      <c r="K15" s="8">
        <v>210</v>
      </c>
      <c r="L15" s="8">
        <v>298</v>
      </c>
      <c r="M15" s="9">
        <v>0.8</v>
      </c>
      <c r="N15" s="9">
        <v>1.4</v>
      </c>
      <c r="O15" s="9">
        <v>2</v>
      </c>
      <c r="P15" s="17">
        <v>0.8</v>
      </c>
      <c r="Q15" s="6" t="s">
        <v>50</v>
      </c>
    </row>
    <row r="16" spans="1:17" x14ac:dyDescent="0.2">
      <c r="A16" s="6" t="s">
        <v>51</v>
      </c>
      <c r="B16" s="6" t="s">
        <v>52</v>
      </c>
      <c r="C16" s="6" t="s">
        <v>35</v>
      </c>
      <c r="D16" s="6" t="s">
        <v>36</v>
      </c>
      <c r="E16" s="4">
        <v>2.5</v>
      </c>
      <c r="F16" s="4">
        <v>6</v>
      </c>
      <c r="G16" s="7">
        <f t="shared" si="0"/>
        <v>22.400000000000002</v>
      </c>
      <c r="H16" s="7">
        <f t="shared" si="1"/>
        <v>38.080000000000005</v>
      </c>
      <c r="I16" s="7">
        <f t="shared" si="2"/>
        <v>53.760000000000005</v>
      </c>
      <c r="J16" s="8">
        <v>85</v>
      </c>
      <c r="K16" s="8">
        <v>152</v>
      </c>
      <c r="L16" s="8">
        <v>218</v>
      </c>
      <c r="M16" s="9">
        <v>2.2999999999999998</v>
      </c>
      <c r="N16" s="9">
        <v>4.0999999999999996</v>
      </c>
      <c r="O16" s="9">
        <v>5.9</v>
      </c>
      <c r="P16" s="17">
        <v>0.65</v>
      </c>
      <c r="Q16" s="6" t="s">
        <v>53</v>
      </c>
    </row>
    <row r="17" spans="1:17" x14ac:dyDescent="0.2">
      <c r="A17" s="6" t="s">
        <v>54</v>
      </c>
      <c r="B17" s="6" t="s">
        <v>55</v>
      </c>
      <c r="C17" s="6" t="s">
        <v>35</v>
      </c>
      <c r="D17" s="6" t="s">
        <v>36</v>
      </c>
      <c r="E17" s="4">
        <v>0.35</v>
      </c>
      <c r="F17" s="4">
        <v>1</v>
      </c>
      <c r="G17" s="7">
        <f t="shared" si="0"/>
        <v>3.1360000000000001</v>
      </c>
      <c r="H17" s="7">
        <f t="shared" si="1"/>
        <v>6.0480000000000009</v>
      </c>
      <c r="I17" s="7">
        <f t="shared" si="2"/>
        <v>8.9600000000000009</v>
      </c>
      <c r="J17" s="8">
        <v>105</v>
      </c>
      <c r="K17" s="8">
        <v>185</v>
      </c>
      <c r="L17" s="8">
        <v>260</v>
      </c>
      <c r="M17" s="9">
        <v>0.6</v>
      </c>
      <c r="N17" s="9">
        <v>1.1000000000000001</v>
      </c>
      <c r="O17" s="9">
        <v>1.5</v>
      </c>
      <c r="P17" s="17">
        <v>0.8</v>
      </c>
      <c r="Q17" s="6" t="s">
        <v>56</v>
      </c>
    </row>
    <row r="18" spans="1:17" x14ac:dyDescent="0.2">
      <c r="A18" s="6" t="s">
        <v>57</v>
      </c>
      <c r="B18" s="6" t="s">
        <v>58</v>
      </c>
      <c r="C18" s="6" t="s">
        <v>35</v>
      </c>
      <c r="D18" s="6" t="s">
        <v>36</v>
      </c>
      <c r="E18" s="4">
        <v>0.35</v>
      </c>
      <c r="F18" s="4">
        <v>1</v>
      </c>
      <c r="G18" s="7">
        <f t="shared" si="0"/>
        <v>3.1360000000000001</v>
      </c>
      <c r="H18" s="7">
        <f t="shared" si="1"/>
        <v>6.0480000000000009</v>
      </c>
      <c r="I18" s="7">
        <f t="shared" si="2"/>
        <v>8.9600000000000009</v>
      </c>
      <c r="J18" s="8">
        <v>24</v>
      </c>
      <c r="K18" s="8">
        <v>57</v>
      </c>
      <c r="L18" s="8">
        <v>76</v>
      </c>
      <c r="M18" s="9">
        <v>0.5</v>
      </c>
      <c r="N18" s="9">
        <v>1.2</v>
      </c>
      <c r="O18" s="9">
        <v>1.6</v>
      </c>
      <c r="P18" s="17">
        <v>0.8</v>
      </c>
      <c r="Q18" s="6" t="s">
        <v>56</v>
      </c>
    </row>
    <row r="19" spans="1:17" x14ac:dyDescent="0.2">
      <c r="A19" s="6" t="s">
        <v>59</v>
      </c>
      <c r="B19" s="6" t="s">
        <v>60</v>
      </c>
      <c r="C19" s="6" t="s">
        <v>61</v>
      </c>
      <c r="D19" s="6" t="s">
        <v>62</v>
      </c>
      <c r="E19" s="4">
        <v>0.35</v>
      </c>
      <c r="F19" s="4">
        <v>0.35</v>
      </c>
      <c r="G19" s="7">
        <f t="shared" si="0"/>
        <v>3.1360000000000001</v>
      </c>
      <c r="H19" s="7">
        <f t="shared" si="1"/>
        <v>3.1360000000000001</v>
      </c>
      <c r="I19" s="7">
        <f t="shared" si="2"/>
        <v>3.1360000000000001</v>
      </c>
      <c r="J19" s="8">
        <v>142</v>
      </c>
      <c r="K19" s="8">
        <v>252</v>
      </c>
      <c r="L19" s="8">
        <v>360</v>
      </c>
      <c r="M19" s="9">
        <v>0.5</v>
      </c>
      <c r="N19" s="9">
        <v>0.8</v>
      </c>
      <c r="O19" s="9">
        <v>1.2</v>
      </c>
      <c r="P19" s="17">
        <v>0.45</v>
      </c>
      <c r="Q19" s="6" t="s">
        <v>63</v>
      </c>
    </row>
    <row r="20" spans="1:17" x14ac:dyDescent="0.2">
      <c r="A20" s="6" t="s">
        <v>64</v>
      </c>
      <c r="B20" s="6" t="s">
        <v>65</v>
      </c>
      <c r="C20" s="6" t="s">
        <v>61</v>
      </c>
      <c r="D20" s="6" t="s">
        <v>62</v>
      </c>
      <c r="E20" s="4">
        <v>0.22</v>
      </c>
      <c r="F20" s="4">
        <v>0.35</v>
      </c>
      <c r="G20" s="7">
        <f t="shared" si="0"/>
        <v>1.9712000000000003</v>
      </c>
      <c r="H20" s="7">
        <f t="shared" si="1"/>
        <v>2.5535999999999999</v>
      </c>
      <c r="I20" s="7">
        <f t="shared" si="2"/>
        <v>3.1360000000000001</v>
      </c>
      <c r="J20" s="8">
        <v>92</v>
      </c>
      <c r="K20" s="8">
        <v>165</v>
      </c>
      <c r="L20" s="8">
        <v>235</v>
      </c>
      <c r="M20" s="9">
        <v>0.2</v>
      </c>
      <c r="N20" s="9">
        <v>0.4</v>
      </c>
      <c r="O20" s="9">
        <v>0.5</v>
      </c>
      <c r="P20" s="17">
        <v>0.55000000000000004</v>
      </c>
      <c r="Q20" s="6" t="s">
        <v>66</v>
      </c>
    </row>
    <row r="21" spans="1:17" x14ac:dyDescent="0.2">
      <c r="A21" s="6" t="s">
        <v>67</v>
      </c>
      <c r="B21" s="6" t="s">
        <v>68</v>
      </c>
      <c r="C21" s="6" t="s">
        <v>61</v>
      </c>
      <c r="D21" s="6" t="s">
        <v>62</v>
      </c>
      <c r="E21" s="4">
        <v>0.35</v>
      </c>
      <c r="F21" s="4">
        <v>0.35</v>
      </c>
      <c r="G21" s="7">
        <f t="shared" si="0"/>
        <v>3.1360000000000001</v>
      </c>
      <c r="H21" s="7">
        <f t="shared" si="1"/>
        <v>3.1360000000000001</v>
      </c>
      <c r="I21" s="7">
        <f t="shared" si="2"/>
        <v>3.1360000000000001</v>
      </c>
      <c r="J21" s="8">
        <v>65</v>
      </c>
      <c r="K21" s="8">
        <v>118</v>
      </c>
      <c r="L21" s="8">
        <v>168</v>
      </c>
      <c r="M21" s="9">
        <v>0.2</v>
      </c>
      <c r="N21" s="9">
        <v>0.4</v>
      </c>
      <c r="O21" s="9">
        <v>0.5</v>
      </c>
      <c r="P21" s="17">
        <v>3</v>
      </c>
      <c r="Q21" s="6" t="s">
        <v>69</v>
      </c>
    </row>
    <row r="22" spans="1:17" x14ac:dyDescent="0.2">
      <c r="A22" s="6" t="s">
        <v>70</v>
      </c>
      <c r="B22" s="6" t="s">
        <v>71</v>
      </c>
      <c r="C22" s="6" t="s">
        <v>61</v>
      </c>
      <c r="D22" s="6" t="s">
        <v>72</v>
      </c>
      <c r="E22" s="4">
        <v>0</v>
      </c>
      <c r="F22" s="4">
        <v>0</v>
      </c>
      <c r="G22" s="7">
        <f t="shared" si="0"/>
        <v>0</v>
      </c>
      <c r="H22" s="7">
        <f t="shared" si="1"/>
        <v>0</v>
      </c>
      <c r="I22" s="7">
        <f t="shared" si="2"/>
        <v>0</v>
      </c>
      <c r="J22" s="8">
        <v>0</v>
      </c>
      <c r="K22" s="8">
        <v>25</v>
      </c>
      <c r="L22" s="8">
        <v>82</v>
      </c>
      <c r="M22" s="9">
        <v>0</v>
      </c>
      <c r="N22" s="9">
        <v>0</v>
      </c>
      <c r="O22" s="9">
        <v>0</v>
      </c>
      <c r="P22" s="17">
        <v>0</v>
      </c>
      <c r="Q22" s="6" t="s">
        <v>73</v>
      </c>
    </row>
    <row r="23" spans="1:17" x14ac:dyDescent="0.2">
      <c r="A23" s="6" t="s">
        <v>74</v>
      </c>
      <c r="B23" s="6" t="s">
        <v>75</v>
      </c>
      <c r="C23" s="6" t="s">
        <v>61</v>
      </c>
      <c r="D23" s="6" t="s">
        <v>62</v>
      </c>
      <c r="E23" s="4">
        <v>0.22</v>
      </c>
      <c r="F23" s="4">
        <v>0.22</v>
      </c>
      <c r="G23" s="7">
        <f t="shared" si="0"/>
        <v>1.9712000000000003</v>
      </c>
      <c r="H23" s="7">
        <f t="shared" si="1"/>
        <v>1.9712000000000003</v>
      </c>
      <c r="I23" s="7">
        <f t="shared" si="2"/>
        <v>1.9712000000000003</v>
      </c>
      <c r="J23" s="8">
        <v>38</v>
      </c>
      <c r="K23" s="8">
        <v>65</v>
      </c>
      <c r="L23" s="8">
        <v>88</v>
      </c>
      <c r="M23" s="9">
        <v>0.1</v>
      </c>
      <c r="N23" s="9">
        <v>0.1</v>
      </c>
      <c r="O23" s="9">
        <v>0.2</v>
      </c>
      <c r="P23" s="17">
        <v>0.9</v>
      </c>
      <c r="Q23" s="6" t="s">
        <v>56</v>
      </c>
    </row>
    <row r="24" spans="1:17" x14ac:dyDescent="0.2">
      <c r="A24" s="6" t="s">
        <v>76</v>
      </c>
      <c r="B24" s="6" t="s">
        <v>77</v>
      </c>
      <c r="C24" s="6" t="s">
        <v>61</v>
      </c>
      <c r="D24" s="6" t="s">
        <v>62</v>
      </c>
      <c r="E24" s="4">
        <v>0.22</v>
      </c>
      <c r="F24" s="4">
        <v>0.22</v>
      </c>
      <c r="G24" s="7">
        <f t="shared" si="0"/>
        <v>1.9712000000000003</v>
      </c>
      <c r="H24" s="7">
        <f t="shared" si="1"/>
        <v>1.9712000000000003</v>
      </c>
      <c r="I24" s="7">
        <f t="shared" si="2"/>
        <v>1.9712000000000003</v>
      </c>
      <c r="J24" s="8">
        <v>28</v>
      </c>
      <c r="K24" s="8">
        <v>55</v>
      </c>
      <c r="L24" s="8">
        <v>75</v>
      </c>
      <c r="M24" s="9">
        <v>0.1</v>
      </c>
      <c r="N24" s="9">
        <v>0.1</v>
      </c>
      <c r="O24" s="9">
        <v>0.2</v>
      </c>
      <c r="P24" s="17">
        <v>0.85</v>
      </c>
      <c r="Q24" s="6" t="s">
        <v>56</v>
      </c>
    </row>
    <row r="25" spans="1:17" x14ac:dyDescent="0.2">
      <c r="A25" s="6" t="s">
        <v>78</v>
      </c>
      <c r="B25" s="6" t="s">
        <v>79</v>
      </c>
      <c r="C25" s="6" t="s">
        <v>61</v>
      </c>
      <c r="D25" s="6" t="s">
        <v>80</v>
      </c>
      <c r="E25" s="4">
        <v>0.22</v>
      </c>
      <c r="F25" s="4">
        <v>0.22</v>
      </c>
      <c r="G25" s="7">
        <f t="shared" si="0"/>
        <v>1.9712000000000003</v>
      </c>
      <c r="H25" s="7">
        <f t="shared" si="1"/>
        <v>1.9712000000000003</v>
      </c>
      <c r="I25" s="7">
        <f t="shared" si="2"/>
        <v>1.9712000000000003</v>
      </c>
      <c r="J25" s="8">
        <v>28</v>
      </c>
      <c r="K25" s="8">
        <v>52</v>
      </c>
      <c r="L25" s="8">
        <v>72</v>
      </c>
      <c r="M25" s="9">
        <v>0.1</v>
      </c>
      <c r="N25" s="9">
        <v>0.2</v>
      </c>
      <c r="O25" s="9">
        <v>0.3</v>
      </c>
      <c r="P25" s="17">
        <v>0.95</v>
      </c>
      <c r="Q25" s="6" t="s">
        <v>81</v>
      </c>
    </row>
    <row r="26" spans="1:17" x14ac:dyDescent="0.2">
      <c r="A26" s="6" t="s">
        <v>82</v>
      </c>
      <c r="B26" s="6" t="s">
        <v>83</v>
      </c>
      <c r="C26" s="6" t="s">
        <v>61</v>
      </c>
      <c r="D26" s="6" t="s">
        <v>62</v>
      </c>
      <c r="E26" s="4">
        <v>0.22</v>
      </c>
      <c r="F26" s="4">
        <v>0.35</v>
      </c>
      <c r="G26" s="7">
        <f t="shared" si="0"/>
        <v>1.9712000000000003</v>
      </c>
      <c r="H26" s="7">
        <f t="shared" si="1"/>
        <v>2.5535999999999999</v>
      </c>
      <c r="I26" s="7">
        <f t="shared" si="2"/>
        <v>3.1360000000000001</v>
      </c>
      <c r="J26" s="8">
        <v>19</v>
      </c>
      <c r="K26" s="8">
        <v>24</v>
      </c>
      <c r="L26" s="8">
        <v>40</v>
      </c>
      <c r="M26" s="9">
        <v>0.1</v>
      </c>
      <c r="N26" s="9">
        <v>0.1</v>
      </c>
      <c r="O26" s="9">
        <v>0.1</v>
      </c>
      <c r="P26" s="17">
        <v>0.8</v>
      </c>
      <c r="Q26" s="6" t="s">
        <v>56</v>
      </c>
    </row>
    <row r="27" spans="1:17" x14ac:dyDescent="0.2">
      <c r="A27" s="6" t="s">
        <v>84</v>
      </c>
      <c r="B27" s="6" t="s">
        <v>85</v>
      </c>
      <c r="C27" s="6" t="s">
        <v>86</v>
      </c>
      <c r="D27" s="6" t="s">
        <v>36</v>
      </c>
      <c r="E27" s="4">
        <v>0.75</v>
      </c>
      <c r="F27" s="4">
        <v>2.5</v>
      </c>
      <c r="G27" s="7">
        <f t="shared" si="0"/>
        <v>6.7200000000000006</v>
      </c>
      <c r="H27" s="7">
        <f t="shared" si="1"/>
        <v>14.560000000000002</v>
      </c>
      <c r="I27" s="7">
        <f t="shared" si="2"/>
        <v>22.400000000000002</v>
      </c>
      <c r="J27" s="8">
        <v>42</v>
      </c>
      <c r="K27" s="8">
        <v>110</v>
      </c>
      <c r="L27" s="8">
        <v>192</v>
      </c>
      <c r="M27" s="9">
        <v>0.4</v>
      </c>
      <c r="N27" s="9">
        <v>1</v>
      </c>
      <c r="O27" s="9">
        <v>1.7</v>
      </c>
      <c r="P27" s="17">
        <v>1.6</v>
      </c>
      <c r="Q27" s="6" t="s">
        <v>87</v>
      </c>
    </row>
    <row r="28" spans="1:17" x14ac:dyDescent="0.2">
      <c r="A28" s="6" t="s">
        <v>88</v>
      </c>
      <c r="B28" s="6" t="s">
        <v>89</v>
      </c>
      <c r="C28" s="6" t="s">
        <v>86</v>
      </c>
      <c r="D28" s="6" t="s">
        <v>62</v>
      </c>
      <c r="E28" s="4">
        <v>0.22</v>
      </c>
      <c r="F28" s="4">
        <v>0.22</v>
      </c>
      <c r="G28" s="7">
        <f t="shared" si="0"/>
        <v>1.9712000000000003</v>
      </c>
      <c r="H28" s="7">
        <f t="shared" si="1"/>
        <v>1.9712000000000003</v>
      </c>
      <c r="I28" s="7">
        <f t="shared" si="2"/>
        <v>1.9712000000000003</v>
      </c>
      <c r="J28" s="8">
        <v>28</v>
      </c>
      <c r="K28" s="8">
        <v>88</v>
      </c>
      <c r="L28" s="8">
        <v>155</v>
      </c>
      <c r="M28" s="9">
        <v>0.1</v>
      </c>
      <c r="N28" s="9">
        <v>0.3</v>
      </c>
      <c r="O28" s="9">
        <v>0.3</v>
      </c>
      <c r="P28" s="17">
        <v>1.6</v>
      </c>
      <c r="Q28" s="6" t="s">
        <v>90</v>
      </c>
    </row>
    <row r="29" spans="1:17" x14ac:dyDescent="0.2">
      <c r="A29" s="6" t="s">
        <v>91</v>
      </c>
      <c r="B29" s="6" t="s">
        <v>92</v>
      </c>
      <c r="C29" s="6" t="s">
        <v>86</v>
      </c>
      <c r="D29" s="6" t="s">
        <v>62</v>
      </c>
      <c r="E29" s="4">
        <v>0.35</v>
      </c>
      <c r="F29" s="4">
        <v>0.35</v>
      </c>
      <c r="G29" s="7">
        <f t="shared" si="0"/>
        <v>3.1360000000000001</v>
      </c>
      <c r="H29" s="7">
        <f t="shared" si="1"/>
        <v>3.1360000000000001</v>
      </c>
      <c r="I29" s="7">
        <f t="shared" si="2"/>
        <v>3.1360000000000001</v>
      </c>
      <c r="J29" s="8">
        <v>10</v>
      </c>
      <c r="K29" s="8">
        <v>12</v>
      </c>
      <c r="L29" s="8">
        <v>18</v>
      </c>
      <c r="M29" s="9">
        <v>0.1</v>
      </c>
      <c r="N29" s="9">
        <v>0.1</v>
      </c>
      <c r="O29" s="9">
        <v>0.1</v>
      </c>
      <c r="P29" s="17">
        <v>1.6</v>
      </c>
      <c r="Q29" s="6" t="s">
        <v>90</v>
      </c>
    </row>
    <row r="30" spans="1:17" x14ac:dyDescent="0.2">
      <c r="A30" s="6" t="s">
        <v>93</v>
      </c>
      <c r="B30" s="6" t="s">
        <v>94</v>
      </c>
      <c r="C30" s="6" t="s">
        <v>86</v>
      </c>
      <c r="D30" s="6" t="s">
        <v>62</v>
      </c>
      <c r="E30" s="4">
        <v>0.22</v>
      </c>
      <c r="F30" s="4">
        <v>0.22</v>
      </c>
      <c r="G30" s="7">
        <f t="shared" si="0"/>
        <v>1.9712000000000003</v>
      </c>
      <c r="H30" s="7">
        <f t="shared" si="1"/>
        <v>1.9712000000000003</v>
      </c>
      <c r="I30" s="7">
        <f t="shared" si="2"/>
        <v>1.9712000000000003</v>
      </c>
      <c r="J30" s="8">
        <v>7</v>
      </c>
      <c r="K30" s="8">
        <v>8</v>
      </c>
      <c r="L30" s="8">
        <v>17</v>
      </c>
      <c r="M30" s="9">
        <v>0.1</v>
      </c>
      <c r="N30" s="9">
        <v>0.1</v>
      </c>
      <c r="O30" s="9">
        <v>0.1</v>
      </c>
      <c r="P30" s="17">
        <v>1.3</v>
      </c>
      <c r="Q30" s="6" t="s">
        <v>95</v>
      </c>
    </row>
    <row r="31" spans="1:17" x14ac:dyDescent="0.2">
      <c r="A31" s="6" t="s">
        <v>96</v>
      </c>
      <c r="B31" s="6" t="s">
        <v>97</v>
      </c>
      <c r="C31" s="6" t="s">
        <v>98</v>
      </c>
      <c r="D31" s="6" t="s">
        <v>99</v>
      </c>
      <c r="E31" s="4">
        <v>0.22</v>
      </c>
      <c r="F31" s="4">
        <v>0.22</v>
      </c>
      <c r="G31" s="7">
        <f t="shared" si="0"/>
        <v>1.9712000000000003</v>
      </c>
      <c r="H31" s="7">
        <f t="shared" si="1"/>
        <v>1.9712000000000003</v>
      </c>
      <c r="I31" s="7">
        <f t="shared" si="2"/>
        <v>1.9712000000000003</v>
      </c>
      <c r="J31" s="8">
        <v>55</v>
      </c>
      <c r="K31" s="8">
        <v>62</v>
      </c>
      <c r="L31" s="8">
        <v>88</v>
      </c>
      <c r="M31" s="9">
        <v>0.2</v>
      </c>
      <c r="N31" s="9">
        <v>0.2</v>
      </c>
      <c r="O31" s="9">
        <v>0.3</v>
      </c>
      <c r="P31" s="17">
        <v>0.65</v>
      </c>
      <c r="Q31" s="6" t="s">
        <v>100</v>
      </c>
    </row>
    <row r="32" spans="1:17" x14ac:dyDescent="0.2">
      <c r="A32" s="6" t="s">
        <v>101</v>
      </c>
      <c r="B32" s="6" t="s">
        <v>102</v>
      </c>
      <c r="C32" s="6" t="s">
        <v>98</v>
      </c>
      <c r="D32" s="6" t="s">
        <v>62</v>
      </c>
      <c r="E32" s="4">
        <v>0.22</v>
      </c>
      <c r="F32" s="4">
        <v>0.22</v>
      </c>
      <c r="G32" s="7">
        <f t="shared" si="0"/>
        <v>1.9712000000000003</v>
      </c>
      <c r="H32" s="7">
        <f t="shared" si="1"/>
        <v>1.9712000000000003</v>
      </c>
      <c r="I32" s="7">
        <f t="shared" si="2"/>
        <v>1.9712000000000003</v>
      </c>
      <c r="J32" s="8">
        <v>28</v>
      </c>
      <c r="K32" s="8">
        <v>35</v>
      </c>
      <c r="L32" s="8">
        <v>52</v>
      </c>
      <c r="M32" s="9">
        <v>0.1</v>
      </c>
      <c r="N32" s="9">
        <v>0.1</v>
      </c>
      <c r="O32" s="9">
        <v>0.2</v>
      </c>
      <c r="P32" s="17">
        <v>0.9</v>
      </c>
      <c r="Q32" s="6" t="s">
        <v>56</v>
      </c>
    </row>
    <row r="33" spans="1:17" x14ac:dyDescent="0.2">
      <c r="A33" s="6" t="s">
        <v>103</v>
      </c>
      <c r="B33" s="6" t="s">
        <v>104</v>
      </c>
      <c r="C33" s="6" t="s">
        <v>98</v>
      </c>
      <c r="D33" s="6" t="s">
        <v>62</v>
      </c>
      <c r="E33" s="4">
        <v>0.75</v>
      </c>
      <c r="F33" s="4">
        <v>0.75</v>
      </c>
      <c r="G33" s="7">
        <f t="shared" si="0"/>
        <v>6.7200000000000006</v>
      </c>
      <c r="H33" s="7">
        <f t="shared" si="1"/>
        <v>6.7200000000000006</v>
      </c>
      <c r="I33" s="7">
        <f t="shared" si="2"/>
        <v>6.7200000000000006</v>
      </c>
      <c r="J33" s="8">
        <v>22</v>
      </c>
      <c r="K33" s="8">
        <v>28</v>
      </c>
      <c r="L33" s="8">
        <v>42</v>
      </c>
      <c r="M33" s="9">
        <v>0.2</v>
      </c>
      <c r="N33" s="9">
        <v>0.2</v>
      </c>
      <c r="O33" s="9">
        <v>0.2</v>
      </c>
      <c r="P33" s="17">
        <v>1</v>
      </c>
      <c r="Q33" s="6" t="s">
        <v>105</v>
      </c>
    </row>
    <row r="34" spans="1:17" x14ac:dyDescent="0.2">
      <c r="A34" s="6" t="s">
        <v>106</v>
      </c>
      <c r="B34" s="6" t="s">
        <v>107</v>
      </c>
      <c r="C34" s="6" t="s">
        <v>98</v>
      </c>
      <c r="D34" s="6" t="s">
        <v>108</v>
      </c>
      <c r="E34" s="4">
        <v>0.35</v>
      </c>
      <c r="F34" s="4">
        <v>0.75</v>
      </c>
      <c r="G34" s="7">
        <f t="shared" si="0"/>
        <v>3.1360000000000001</v>
      </c>
      <c r="H34" s="7">
        <f t="shared" si="1"/>
        <v>4.9280000000000008</v>
      </c>
      <c r="I34" s="7">
        <f t="shared" si="2"/>
        <v>6.7200000000000006</v>
      </c>
      <c r="J34" s="8">
        <v>20</v>
      </c>
      <c r="K34" s="8">
        <v>15</v>
      </c>
      <c r="L34" s="8">
        <v>23</v>
      </c>
      <c r="M34" s="9">
        <v>0.2</v>
      </c>
      <c r="N34" s="9">
        <v>0</v>
      </c>
      <c r="O34" s="9">
        <v>0</v>
      </c>
      <c r="P34" s="17">
        <v>1</v>
      </c>
      <c r="Q34" s="6" t="s">
        <v>109</v>
      </c>
    </row>
    <row r="35" spans="1:17" x14ac:dyDescent="0.2">
      <c r="A35" s="3" t="s">
        <v>110</v>
      </c>
      <c r="J35" s="10">
        <f t="shared" ref="J35:O35" si="3">SUM(J7:J34)</f>
        <v>1392</v>
      </c>
      <c r="K35" s="10">
        <f t="shared" si="3"/>
        <v>2486</v>
      </c>
      <c r="L35" s="10">
        <f t="shared" si="3"/>
        <v>3646</v>
      </c>
      <c r="M35" s="11">
        <f t="shared" si="3"/>
        <v>26.400000000000009</v>
      </c>
      <c r="N35" s="11">
        <f t="shared" si="3"/>
        <v>43.300000000000011</v>
      </c>
      <c r="O35" s="11">
        <f t="shared" si="3"/>
        <v>65.100000000000009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baseColWidth="10" defaultColWidth="8.83203125" defaultRowHeight="15" x14ac:dyDescent="0.2"/>
  <cols>
    <col min="1" max="1" width="10" customWidth="1"/>
    <col min="2" max="2" width="15" customWidth="1"/>
    <col min="3" max="3" width="16" customWidth="1"/>
    <col min="4" max="7" width="12" customWidth="1"/>
    <col min="8" max="8" width="15" customWidth="1"/>
    <col min="9" max="9" width="12" customWidth="1"/>
  </cols>
  <sheetData>
    <row r="1" spans="1:9" ht="16" x14ac:dyDescent="0.2">
      <c r="A1" s="1" t="s">
        <v>111</v>
      </c>
    </row>
    <row r="2" spans="1:9" x14ac:dyDescent="0.2">
      <c r="A2" s="2" t="s">
        <v>112</v>
      </c>
    </row>
    <row r="4" spans="1:9" x14ac:dyDescent="0.2">
      <c r="A4" s="5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</row>
    <row r="5" spans="1:9" x14ac:dyDescent="0.2">
      <c r="A5" s="12" t="s">
        <v>122</v>
      </c>
      <c r="B5" s="13">
        <f>Baseline_2025!J35</f>
        <v>1392</v>
      </c>
      <c r="C5" s="13">
        <v>1392</v>
      </c>
      <c r="D5" s="13">
        <f>B5-C5</f>
        <v>0</v>
      </c>
      <c r="E5" s="12">
        <f>Baseline_2025!M35</f>
        <v>26.400000000000009</v>
      </c>
      <c r="F5" s="12">
        <f>SUMPRODUCT(Baseline_2025!J7:J34,Baseline_2025!$H$7:$H$34)/1000</f>
        <v>33.528767999999992</v>
      </c>
      <c r="G5" s="12">
        <f>B5*24.4/1000</f>
        <v>33.964799999999997</v>
      </c>
      <c r="H5" s="12">
        <v>33.9</v>
      </c>
      <c r="I5" s="14">
        <f>F5/H5-1</f>
        <v>-1.0950796460177159E-2</v>
      </c>
    </row>
    <row r="6" spans="1:9" x14ac:dyDescent="0.2">
      <c r="A6" s="12" t="s">
        <v>123</v>
      </c>
      <c r="B6" s="13">
        <f>Baseline_2025!K35</f>
        <v>2486</v>
      </c>
      <c r="C6" s="13">
        <v>2486</v>
      </c>
      <c r="D6" s="13">
        <f>B6-C6</f>
        <v>0</v>
      </c>
      <c r="E6" s="12">
        <f>Baseline_2025!N35</f>
        <v>43.300000000000011</v>
      </c>
      <c r="F6" s="12">
        <f>SUMPRODUCT(Baseline_2025!K7:K34,Baseline_2025!$H$7:$H$34)/1000</f>
        <v>55.905606399999989</v>
      </c>
      <c r="G6" s="12">
        <f>B6*24.3/1000</f>
        <v>60.409800000000004</v>
      </c>
      <c r="H6" s="12">
        <v>60.3</v>
      </c>
      <c r="I6" s="14">
        <f>F6/H6-1</f>
        <v>-7.2875515754560638E-2</v>
      </c>
    </row>
    <row r="7" spans="1:9" x14ac:dyDescent="0.2">
      <c r="A7" s="12" t="s">
        <v>124</v>
      </c>
      <c r="B7" s="13">
        <f>Baseline_2025!L35</f>
        <v>3646</v>
      </c>
      <c r="C7" s="13">
        <v>3546</v>
      </c>
      <c r="D7" s="13">
        <f>B7-C7</f>
        <v>100</v>
      </c>
      <c r="E7" s="12">
        <f>Baseline_2025!O35</f>
        <v>65.100000000000009</v>
      </c>
      <c r="F7" s="12">
        <f>SUMPRODUCT(Baseline_2025!L7:L34,Baseline_2025!$H$7:$H$34)/1000</f>
        <v>78.733894399999997</v>
      </c>
      <c r="G7" s="12">
        <f>B7*21/1000</f>
        <v>76.566000000000003</v>
      </c>
      <c r="H7" s="12">
        <v>74.599999999999994</v>
      </c>
      <c r="I7" s="14">
        <f>F7/H7-1</f>
        <v>5.5414134048257457E-2</v>
      </c>
    </row>
    <row r="9" spans="1:9" ht="16" x14ac:dyDescent="0.2">
      <c r="A9" s="1" t="s">
        <v>125</v>
      </c>
    </row>
    <row r="10" spans="1:9" x14ac:dyDescent="0.2">
      <c r="A10" s="2" t="s">
        <v>126</v>
      </c>
    </row>
    <row r="11" spans="1:9" x14ac:dyDescent="0.2">
      <c r="A11" s="2" t="s">
        <v>127</v>
      </c>
    </row>
    <row r="12" spans="1:9" x14ac:dyDescent="0.2">
      <c r="A12" s="2" t="s">
        <v>128</v>
      </c>
    </row>
    <row r="13" spans="1:9" x14ac:dyDescent="0.2">
      <c r="A13" s="2"/>
    </row>
    <row r="14" spans="1:9" x14ac:dyDescent="0.2">
      <c r="A14" s="2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/>
  </sheetViews>
  <sheetFormatPr baseColWidth="10" defaultColWidth="8.83203125" defaultRowHeight="15" x14ac:dyDescent="0.2"/>
  <cols>
    <col min="1" max="1" width="14" customWidth="1"/>
    <col min="2" max="2" width="58" customWidth="1"/>
    <col min="3" max="3" width="30" customWidth="1"/>
  </cols>
  <sheetData>
    <row r="1" spans="1:3" ht="16" x14ac:dyDescent="0.2">
      <c r="A1" s="1" t="s">
        <v>130</v>
      </c>
    </row>
    <row r="2" spans="1:3" x14ac:dyDescent="0.2">
      <c r="A2" s="2" t="s">
        <v>131</v>
      </c>
    </row>
    <row r="4" spans="1:3" x14ac:dyDescent="0.2">
      <c r="A4" s="15" t="s">
        <v>132</v>
      </c>
      <c r="B4" s="15" t="s">
        <v>133</v>
      </c>
      <c r="C4" s="15" t="s">
        <v>134</v>
      </c>
    </row>
    <row r="5" spans="1:3" x14ac:dyDescent="0.2">
      <c r="A5" s="6" t="s">
        <v>21</v>
      </c>
      <c r="B5" s="6" t="s">
        <v>135</v>
      </c>
      <c r="C5" s="6" t="s">
        <v>136</v>
      </c>
    </row>
    <row r="6" spans="1:3" x14ac:dyDescent="0.2">
      <c r="A6" s="6" t="s">
        <v>26</v>
      </c>
      <c r="B6" s="6" t="s">
        <v>137</v>
      </c>
      <c r="C6" s="6" t="s">
        <v>138</v>
      </c>
    </row>
    <row r="7" spans="1:3" x14ac:dyDescent="0.2">
      <c r="A7" s="6" t="s">
        <v>29</v>
      </c>
      <c r="B7" s="6" t="s">
        <v>139</v>
      </c>
      <c r="C7" s="6" t="s">
        <v>140</v>
      </c>
    </row>
    <row r="8" spans="1:3" x14ac:dyDescent="0.2">
      <c r="A8" s="6" t="s">
        <v>31</v>
      </c>
      <c r="B8" s="6" t="s">
        <v>141</v>
      </c>
      <c r="C8" s="6" t="s">
        <v>140</v>
      </c>
    </row>
    <row r="9" spans="1:3" x14ac:dyDescent="0.2">
      <c r="A9" s="6" t="s">
        <v>33</v>
      </c>
      <c r="B9" s="6" t="s">
        <v>142</v>
      </c>
      <c r="C9" s="6" t="s">
        <v>136</v>
      </c>
    </row>
    <row r="10" spans="1:3" x14ac:dyDescent="0.2">
      <c r="A10" s="6" t="s">
        <v>38</v>
      </c>
      <c r="B10" s="6" t="s">
        <v>143</v>
      </c>
      <c r="C10" s="6" t="s">
        <v>136</v>
      </c>
    </row>
    <row r="11" spans="1:3" x14ac:dyDescent="0.2">
      <c r="A11" s="6" t="s">
        <v>41</v>
      </c>
      <c r="B11" s="6" t="s">
        <v>144</v>
      </c>
      <c r="C11" s="6" t="s">
        <v>136</v>
      </c>
    </row>
    <row r="12" spans="1:3" x14ac:dyDescent="0.2">
      <c r="A12" s="6" t="s">
        <v>45</v>
      </c>
      <c r="B12" s="6" t="s">
        <v>145</v>
      </c>
      <c r="C12" s="6" t="s">
        <v>146</v>
      </c>
    </row>
    <row r="13" spans="1:3" x14ac:dyDescent="0.2">
      <c r="A13" s="6" t="s">
        <v>48</v>
      </c>
      <c r="B13" s="6" t="s">
        <v>145</v>
      </c>
      <c r="C13" s="6" t="s">
        <v>147</v>
      </c>
    </row>
    <row r="14" spans="1:3" x14ac:dyDescent="0.2">
      <c r="A14" s="6" t="s">
        <v>51</v>
      </c>
      <c r="B14" s="6" t="s">
        <v>145</v>
      </c>
      <c r="C14" s="6" t="s">
        <v>147</v>
      </c>
    </row>
    <row r="15" spans="1:3" x14ac:dyDescent="0.2">
      <c r="A15" s="6" t="s">
        <v>54</v>
      </c>
      <c r="B15" s="6" t="s">
        <v>145</v>
      </c>
      <c r="C15" s="6" t="s">
        <v>147</v>
      </c>
    </row>
    <row r="16" spans="1:3" x14ac:dyDescent="0.2">
      <c r="A16" s="6" t="s">
        <v>57</v>
      </c>
      <c r="B16" s="6" t="s">
        <v>145</v>
      </c>
      <c r="C16" s="6" t="s">
        <v>147</v>
      </c>
    </row>
    <row r="17" spans="1:3" x14ac:dyDescent="0.2">
      <c r="A17" s="6" t="s">
        <v>59</v>
      </c>
      <c r="B17" s="6" t="s">
        <v>148</v>
      </c>
      <c r="C17" s="6" t="s">
        <v>140</v>
      </c>
    </row>
    <row r="18" spans="1:3" x14ac:dyDescent="0.2">
      <c r="A18" s="6" t="s">
        <v>64</v>
      </c>
      <c r="B18" s="6" t="s">
        <v>149</v>
      </c>
      <c r="C18" s="6" t="s">
        <v>136</v>
      </c>
    </row>
    <row r="19" spans="1:3" x14ac:dyDescent="0.2">
      <c r="A19" s="6" t="s">
        <v>67</v>
      </c>
      <c r="B19" s="6" t="s">
        <v>150</v>
      </c>
      <c r="C19" s="6" t="s">
        <v>140</v>
      </c>
    </row>
    <row r="20" spans="1:3" x14ac:dyDescent="0.2">
      <c r="A20" s="6" t="s">
        <v>70</v>
      </c>
      <c r="B20" s="6" t="s">
        <v>151</v>
      </c>
      <c r="C20" s="6" t="s">
        <v>152</v>
      </c>
    </row>
    <row r="21" spans="1:3" x14ac:dyDescent="0.2">
      <c r="A21" s="6" t="s">
        <v>74</v>
      </c>
      <c r="B21" s="6" t="s">
        <v>151</v>
      </c>
      <c r="C21" s="6" t="s">
        <v>152</v>
      </c>
    </row>
    <row r="22" spans="1:3" x14ac:dyDescent="0.2">
      <c r="A22" s="6" t="s">
        <v>76</v>
      </c>
      <c r="B22" s="6" t="s">
        <v>153</v>
      </c>
      <c r="C22" s="6" t="s">
        <v>154</v>
      </c>
    </row>
    <row r="23" spans="1:3" x14ac:dyDescent="0.2">
      <c r="A23" s="6" t="s">
        <v>78</v>
      </c>
      <c r="B23" s="6" t="s">
        <v>155</v>
      </c>
      <c r="C23" s="6" t="s">
        <v>136</v>
      </c>
    </row>
    <row r="24" spans="1:3" x14ac:dyDescent="0.2">
      <c r="A24" s="6" t="s">
        <v>82</v>
      </c>
      <c r="B24" s="6" t="s">
        <v>151</v>
      </c>
      <c r="C24" s="6" t="s">
        <v>152</v>
      </c>
    </row>
    <row r="25" spans="1:3" x14ac:dyDescent="0.2">
      <c r="A25" s="6" t="s">
        <v>84</v>
      </c>
      <c r="B25" s="6" t="s">
        <v>151</v>
      </c>
      <c r="C25" s="6" t="s">
        <v>152</v>
      </c>
    </row>
    <row r="26" spans="1:3" x14ac:dyDescent="0.2">
      <c r="A26" s="6" t="s">
        <v>88</v>
      </c>
      <c r="B26" s="6" t="s">
        <v>153</v>
      </c>
      <c r="C26" s="6" t="s">
        <v>156</v>
      </c>
    </row>
    <row r="27" spans="1:3" x14ac:dyDescent="0.2">
      <c r="A27" s="6" t="s">
        <v>91</v>
      </c>
      <c r="B27" s="6" t="s">
        <v>157</v>
      </c>
      <c r="C27" s="6" t="s">
        <v>136</v>
      </c>
    </row>
    <row r="28" spans="1:3" x14ac:dyDescent="0.2">
      <c r="A28" s="6" t="s">
        <v>93</v>
      </c>
      <c r="B28" s="6" t="s">
        <v>158</v>
      </c>
      <c r="C28" s="6" t="s">
        <v>159</v>
      </c>
    </row>
    <row r="29" spans="1:3" x14ac:dyDescent="0.2">
      <c r="A29" s="6" t="s">
        <v>96</v>
      </c>
      <c r="B29" s="6" t="s">
        <v>160</v>
      </c>
      <c r="C29" s="6" t="s">
        <v>136</v>
      </c>
    </row>
    <row r="30" spans="1:3" x14ac:dyDescent="0.2">
      <c r="A30" s="6" t="s">
        <v>101</v>
      </c>
      <c r="B30" s="6" t="s">
        <v>161</v>
      </c>
      <c r="C30" s="6" t="s">
        <v>159</v>
      </c>
    </row>
    <row r="31" spans="1:3" x14ac:dyDescent="0.2">
      <c r="A31" s="6" t="s">
        <v>103</v>
      </c>
      <c r="B31" s="6" t="s">
        <v>151</v>
      </c>
      <c r="C31" s="6" t="s">
        <v>152</v>
      </c>
    </row>
    <row r="32" spans="1:3" x14ac:dyDescent="0.2">
      <c r="A32" s="6" t="s">
        <v>106</v>
      </c>
      <c r="B32" s="6" t="s">
        <v>162</v>
      </c>
      <c r="C32" s="6" t="s">
        <v>136</v>
      </c>
    </row>
    <row r="33" spans="1:3" x14ac:dyDescent="0.2">
      <c r="A33" s="6" t="s">
        <v>163</v>
      </c>
      <c r="B33" s="6" t="s">
        <v>164</v>
      </c>
      <c r="C33" s="6" t="s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0" customWidth="1"/>
  </cols>
  <sheetData>
    <row r="1" spans="1:2" ht="16" x14ac:dyDescent="0.2">
      <c r="A1" s="1" t="s">
        <v>166</v>
      </c>
    </row>
    <row r="3" spans="1:2" x14ac:dyDescent="0.2">
      <c r="A3" s="3" t="s">
        <v>167</v>
      </c>
      <c r="B3" s="16" t="s">
        <v>168</v>
      </c>
    </row>
    <row r="4" spans="1:2" x14ac:dyDescent="0.2">
      <c r="A4" s="3" t="s">
        <v>169</v>
      </c>
      <c r="B4" s="16" t="s">
        <v>170</v>
      </c>
    </row>
    <row r="5" spans="1:2" x14ac:dyDescent="0.2">
      <c r="A5" s="3" t="s">
        <v>171</v>
      </c>
      <c r="B5" s="16" t="s">
        <v>172</v>
      </c>
    </row>
    <row r="6" spans="1:2" x14ac:dyDescent="0.2">
      <c r="A6" s="3" t="s">
        <v>173</v>
      </c>
      <c r="B6" s="16" t="s">
        <v>174</v>
      </c>
    </row>
    <row r="7" spans="1:2" x14ac:dyDescent="0.2">
      <c r="A7" s="3" t="s">
        <v>175</v>
      </c>
      <c r="B7" s="16" t="s">
        <v>176</v>
      </c>
    </row>
    <row r="8" spans="1:2" x14ac:dyDescent="0.2">
      <c r="A8" s="16"/>
      <c r="B8" s="16"/>
    </row>
    <row r="9" spans="1:2" x14ac:dyDescent="0.2">
      <c r="A9" s="3" t="s">
        <v>177</v>
      </c>
      <c r="B9" s="16" t="s">
        <v>178</v>
      </c>
    </row>
    <row r="10" spans="1:2" x14ac:dyDescent="0.2">
      <c r="A10" s="16"/>
      <c r="B10" s="16" t="s">
        <v>179</v>
      </c>
    </row>
    <row r="11" spans="1:2" x14ac:dyDescent="0.2">
      <c r="A11" s="16"/>
      <c r="B11" s="16"/>
    </row>
    <row r="12" spans="1:2" x14ac:dyDescent="0.2">
      <c r="A12" s="3" t="s">
        <v>180</v>
      </c>
      <c r="B12" s="16" t="s">
        <v>181</v>
      </c>
    </row>
    <row r="13" spans="1:2" x14ac:dyDescent="0.2">
      <c r="A13" s="16"/>
      <c r="B13" s="16" t="s">
        <v>182</v>
      </c>
    </row>
    <row r="14" spans="1:2" x14ac:dyDescent="0.2">
      <c r="A14" s="16"/>
      <c r="B14" s="16"/>
    </row>
    <row r="15" spans="1:2" x14ac:dyDescent="0.2">
      <c r="A15" s="3" t="s">
        <v>183</v>
      </c>
      <c r="B15" s="16" t="s">
        <v>184</v>
      </c>
    </row>
    <row r="16" spans="1:2" x14ac:dyDescent="0.2">
      <c r="A16" s="16"/>
      <c r="B16" s="16" t="s">
        <v>185</v>
      </c>
    </row>
    <row r="17" spans="1:2" x14ac:dyDescent="0.2">
      <c r="A17" s="3" t="s">
        <v>186</v>
      </c>
      <c r="B17" s="16" t="s">
        <v>187</v>
      </c>
    </row>
    <row r="18" spans="1:2" x14ac:dyDescent="0.2">
      <c r="A18" s="3" t="s">
        <v>188</v>
      </c>
      <c r="B18" s="16" t="s">
        <v>189</v>
      </c>
    </row>
    <row r="19" spans="1:2" x14ac:dyDescent="0.2">
      <c r="A19" s="16"/>
      <c r="B19" s="16" t="s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2" width="11" customWidth="1"/>
    <col min="3" max="3" width="12" customWidth="1"/>
    <col min="4" max="4" width="11" customWidth="1"/>
    <col min="5" max="5" width="22" customWidth="1"/>
    <col min="6" max="7" width="10" customWidth="1"/>
    <col min="8" max="8" width="16" customWidth="1"/>
  </cols>
  <sheetData>
    <row r="1" spans="1:8" ht="16" x14ac:dyDescent="0.2">
      <c r="A1" s="1" t="s">
        <v>191</v>
      </c>
    </row>
    <row r="2" spans="1:8" x14ac:dyDescent="0.2">
      <c r="A2" s="2" t="s">
        <v>192</v>
      </c>
    </row>
    <row r="3" spans="1:8" x14ac:dyDescent="0.2">
      <c r="A3" s="2" t="s">
        <v>193</v>
      </c>
    </row>
    <row r="4" spans="1:8" x14ac:dyDescent="0.2">
      <c r="A4" s="2" t="s">
        <v>194</v>
      </c>
    </row>
    <row r="5" spans="1:8" x14ac:dyDescent="0.2">
      <c r="A5" s="2" t="s">
        <v>195</v>
      </c>
    </row>
    <row r="7" spans="1:8" ht="29" x14ac:dyDescent="0.2">
      <c r="A7" s="5" t="s">
        <v>113</v>
      </c>
      <c r="B7" s="5" t="s">
        <v>196</v>
      </c>
      <c r="C7" s="5" t="s">
        <v>197</v>
      </c>
      <c r="D7" s="5" t="s">
        <v>198</v>
      </c>
      <c r="E7" s="5" t="s">
        <v>199</v>
      </c>
      <c r="F7" s="5" t="s">
        <v>200</v>
      </c>
      <c r="G7" s="5" t="s">
        <v>201</v>
      </c>
      <c r="H7" s="5" t="s">
        <v>115</v>
      </c>
    </row>
    <row r="8" spans="1:8" x14ac:dyDescent="0.2">
      <c r="A8" s="6" t="s">
        <v>122</v>
      </c>
      <c r="B8" s="17">
        <v>1</v>
      </c>
      <c r="C8" s="17">
        <v>1.71</v>
      </c>
      <c r="D8" s="17">
        <v>2.4300000000000002</v>
      </c>
      <c r="E8" s="18">
        <v>1223</v>
      </c>
      <c r="F8" s="18">
        <v>973</v>
      </c>
      <c r="G8" s="18">
        <v>780</v>
      </c>
      <c r="H8" s="18">
        <v>780</v>
      </c>
    </row>
    <row r="9" spans="1:8" x14ac:dyDescent="0.2">
      <c r="A9" s="6" t="s">
        <v>123</v>
      </c>
      <c r="B9" s="17">
        <v>1</v>
      </c>
      <c r="C9" s="17">
        <v>1.65</v>
      </c>
      <c r="D9" s="17">
        <v>2.31</v>
      </c>
      <c r="E9" s="18">
        <v>2216</v>
      </c>
      <c r="F9" s="18">
        <v>1816</v>
      </c>
      <c r="G9" s="18">
        <v>1492</v>
      </c>
      <c r="H9" s="18">
        <v>1492</v>
      </c>
    </row>
    <row r="10" spans="1:8" x14ac:dyDescent="0.2">
      <c r="A10" s="6" t="s">
        <v>124</v>
      </c>
      <c r="B10" s="17">
        <v>1</v>
      </c>
      <c r="C10" s="17">
        <v>1.3</v>
      </c>
      <c r="D10" s="17">
        <v>1.61</v>
      </c>
      <c r="E10" s="18">
        <v>3256</v>
      </c>
      <c r="F10" s="18">
        <v>2993</v>
      </c>
      <c r="G10" s="18">
        <v>2730</v>
      </c>
      <c r="H10" s="18">
        <v>2730</v>
      </c>
    </row>
    <row r="12" spans="1:8" x14ac:dyDescent="0.2">
      <c r="A12" s="2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Baseline_2025</vt:lpstr>
      <vt:lpstr>Checks</vt:lpstr>
      <vt:lpstr>Mapping</vt:lpstr>
      <vt:lpstr>Notes</vt:lpstr>
      <vt:lpstr>SDV_Depth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Roesslein</cp:lastModifiedBy>
  <dcterms:created xsi:type="dcterms:W3CDTF">2026-08-04T07:40:01Z</dcterms:created>
  <dcterms:modified xsi:type="dcterms:W3CDTF">2026-08-04T14:06:15Z</dcterms:modified>
</cp:coreProperties>
</file>